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rageace.sharepoint.com/sites/MirageAECPrivateLimited/Shared Documents/Projects/Sample Automation Project/"/>
    </mc:Choice>
  </mc:AlternateContent>
  <xr:revisionPtr revIDLastSave="146" documentId="8_{4B3E58A4-D688-4973-AB12-4D2F49D8D03A}" xr6:coauthVersionLast="47" xr6:coauthVersionMax="47" xr10:uidLastSave="{08B36C0B-F8DE-4464-93D0-1348E09415E4}"/>
  <bookViews>
    <workbookView xWindow="-120" yWindow="-16320" windowWidth="29040" windowHeight="15720" firstSheet="8" activeTab="11" xr2:uid="{9139F161-B0C9-4DA7-8427-CDCD87CBD33E}"/>
  </bookViews>
  <sheets>
    <sheet name="DD - Comment Session" sheetId="13" r:id="rId1"/>
    <sheet name="DD - Submission" sheetId="12" r:id="rId2"/>
    <sheet name="DD - HVAC Detailed Design" sheetId="10" r:id="rId3"/>
    <sheet name="DD - Electrical Detailed Design" sheetId="9" r:id="rId4"/>
    <sheet name="DD - BOH - Coordination" sheetId="8" r:id="rId5"/>
    <sheet name="DD-ID - Coordination" sheetId="7" r:id="rId6"/>
    <sheet name="DD-Deliverable Setup" sheetId="4" r:id="rId7"/>
    <sheet name="DD-Space Planning" sheetId="2" r:id="rId8"/>
    <sheet name="DD-Major Services Routing" sheetId="3" r:id="rId9"/>
    <sheet name="DD - PHE Detailed Design Update" sheetId="11" r:id="rId10"/>
    <sheet name="DD - Secondary Service Routing" sheetId="5" r:id="rId11"/>
    <sheet name="DD - STR - Coordination" sheetId="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<sst xmlns="http://schemas.openxmlformats.org/spreadsheetml/2006/main" count="514" uniqueCount="346">
  <si>
    <t>Response of 100% SD comments tracker</t>
  </si>
  <si>
    <t>NOT INCLUDED</t>
  </si>
  <si>
    <t>Send the MEP (100% SD) comments impacting other disciplines like Arch/STR/ID to PM</t>
  </si>
  <si>
    <t>Obtain FM comments</t>
  </si>
  <si>
    <t>Obtain Multi-D comments</t>
  </si>
  <si>
    <t>Obtain STR comments impacting MEP</t>
  </si>
  <si>
    <t>Obtain ARCH comments</t>
  </si>
  <si>
    <t>Obtain LNDS comments</t>
  </si>
  <si>
    <t>Obtain LS comments</t>
  </si>
  <si>
    <t>Obtain ID comments</t>
  </si>
  <si>
    <t>Obtain Baseline program from PM for DD stage</t>
  </si>
  <si>
    <r>
      <rPr>
        <b/>
        <sz val="11"/>
        <color rgb="FF000000"/>
        <rFont val="Calibri"/>
        <family val="2"/>
        <scheme val="minor"/>
      </rPr>
      <t xml:space="preserve">Send the List of dependencies to PM </t>
    </r>
    <r>
      <rPr>
        <b/>
        <sz val="11"/>
        <color rgb="FFFF0000"/>
        <rFont val="Calibri"/>
        <family val="2"/>
        <scheme val="minor"/>
      </rPr>
      <t>(Refer 100% DD Dependencies Tab)</t>
    </r>
  </si>
  <si>
    <t>Calculation validation</t>
  </si>
  <si>
    <t>Engrs to update AC calculations based on the above coordination</t>
  </si>
  <si>
    <t>Engrs to update Ventilation calculations based on the above coordination</t>
  </si>
  <si>
    <t>Engrs to update Smoke Ventilation calculations based on the above coordination</t>
  </si>
  <si>
    <t>Engrs to update Fire fighting calculations based on the above coordination</t>
  </si>
  <si>
    <t>Engrs to update Rainwater/Drainage calculations based on the above coordination</t>
  </si>
  <si>
    <t>Engrs to update Irrigation/domestic water calculations based on the above coordination</t>
  </si>
  <si>
    <t>Engrs to update EM ltg calculations based on the above coordination</t>
  </si>
  <si>
    <t>Engrs to update FA calculations based on the above coordination</t>
  </si>
  <si>
    <t>Engrs to update Busbar calculations based on the above coordination</t>
  </si>
  <si>
    <t>Engrs to update Normal lighting calculations based on the above coordination</t>
  </si>
  <si>
    <t>Engrs to update Voltage drop calculation based on the above coordination</t>
  </si>
  <si>
    <t>Engrs to update Containment  calculation based on the above coordination</t>
  </si>
  <si>
    <t>100% DD Report</t>
  </si>
  <si>
    <t>Identify any risks based on the progress during DD and append to the report</t>
  </si>
  <si>
    <t>Engrs to update the latest bulk loads/equipment in the report</t>
  </si>
  <si>
    <t>Engrs to update any strategies as applicable in the report</t>
  </si>
  <si>
    <t>Issue the report to QA/QC team</t>
  </si>
  <si>
    <t>Obtain QA/QC comments</t>
  </si>
  <si>
    <t>Update the report based on QA/QC comments</t>
  </si>
  <si>
    <t>Lead engr to review all the calculations</t>
  </si>
  <si>
    <t>Engrs to update and upload  to ACC submission folder</t>
  </si>
  <si>
    <t>Outline specifications</t>
  </si>
  <si>
    <t>Obtain the latest Abudhabi based specs from MLD team</t>
  </si>
  <si>
    <t>Ensure all the authority specified product (transformer, QRM/TRM) specs are included</t>
  </si>
  <si>
    <t>Identify any special requirement from the operator's guidelines and include in the respective sections</t>
  </si>
  <si>
    <t>Issue the Specs to QA/QC team</t>
  </si>
  <si>
    <t>Update the comments based on QA/QC comments</t>
  </si>
  <si>
    <t>Engrs to upload all the specs to ACC submission folder</t>
  </si>
  <si>
    <t>100% DD Calculations</t>
  </si>
  <si>
    <t>Engrs to update all the calculations based on the above coordination</t>
  </si>
  <si>
    <t>Issue the calculations to QA/QC team</t>
  </si>
  <si>
    <t>Update the calculations based on review</t>
  </si>
  <si>
    <t>Engrs to update and upload all the calculations to ACC submission folder</t>
  </si>
  <si>
    <t xml:space="preserve">100% SD Schematics </t>
  </si>
  <si>
    <t>Engrs to review and update the schematics based on the above coordination &amp; calculations</t>
  </si>
  <si>
    <t>Modellers to update the schematics</t>
  </si>
  <si>
    <t>Engrs to review the updated schematics</t>
  </si>
  <si>
    <t>Lead engrs to review all the schematics</t>
  </si>
  <si>
    <t>Update the schematics based on the review</t>
  </si>
  <si>
    <t>Issue the schematics to QA/QC team</t>
  </si>
  <si>
    <t>Update the calculations based on QA/QC comments</t>
  </si>
  <si>
    <t>Modellers to update the model based on the comments, carry out interference check</t>
  </si>
  <si>
    <t>BIM leads to verify all the comments are incorporated</t>
  </si>
  <si>
    <t>Repeat the above steps until all the comments are closed</t>
  </si>
  <si>
    <t>BIM leads to verify the final layouts and upload on the ACC submission folder</t>
  </si>
  <si>
    <t>100% DD Layouts</t>
  </si>
  <si>
    <t>Project BIM leads to verify all the layouts against TIDP</t>
  </si>
  <si>
    <t>Project BIM leads to review the models &amp; layouts and share it with BIM manager for further review</t>
  </si>
  <si>
    <t>BIM leads / Modelers to share all the layouts with Engrs for review</t>
  </si>
  <si>
    <t>Engrs to review all the layouts and provide comments</t>
  </si>
  <si>
    <t>Modelers to share the final layouts with Engrs</t>
  </si>
  <si>
    <t>Engrs to share the final layouts with MLD for QA/QC</t>
  </si>
  <si>
    <t>Engrs to validate the comments from MLD, discuss with MLD QA/QC team and agree on the way forward</t>
  </si>
  <si>
    <t>Engrs to provide the mark-up/information to the modelers to update the models</t>
  </si>
  <si>
    <t>Air Conditioning System  - this activity shall be repeated floor-wise/apartment-wise</t>
  </si>
  <si>
    <t>Obtain Window to Wall ratio from arch</t>
  </si>
  <si>
    <t>Obtain U-values from arch</t>
  </si>
  <si>
    <t>Carry out HAP calculation</t>
  </si>
  <si>
    <t>Use HAPExt to generate FCU schedules</t>
  </si>
  <si>
    <t>Obtain the grill locations from the coordinated RCP</t>
  </si>
  <si>
    <t>Validate the grill size using HAP AirSizer</t>
  </si>
  <si>
    <t>Obtain FCU selections from Vendors</t>
  </si>
  <si>
    <t>Provide mark-ups/information to modelers for duct &amp; chilled water routing</t>
  </si>
  <si>
    <t>Modelers to use the chilled water routing plug-in for annotating the flowrates/sizes</t>
  </si>
  <si>
    <r>
      <t xml:space="preserve">Modelers to model all the ductworks and ensure that the flowrates are included within the family parameters </t>
    </r>
    <r>
      <rPr>
        <b/>
        <sz val="11"/>
        <color rgb="FFFF0000"/>
        <rFont val="Calibri"/>
        <family val="2"/>
        <scheme val="minor"/>
      </rPr>
      <t>(Flowrates should be updated automatically once flowrates are assigned to the grilles)</t>
    </r>
  </si>
  <si>
    <t>Modelers to generate duct quantity schedule having flowrates, velocities and pressure drop for engineers review</t>
  </si>
  <si>
    <t>Engineers to review the layouts and duct schedules and provide comments</t>
  </si>
  <si>
    <t>Modelers to incorporate the comments and finalise the layout</t>
  </si>
  <si>
    <t>Air Conditioning System Schematics - this activity shall commence after completing the layouts</t>
  </si>
  <si>
    <t>Based on the updates on the layouts, update the overall AC &amp; CHW schematics</t>
  </si>
  <si>
    <t>Engr to review the updated schematics and provide their comments</t>
  </si>
  <si>
    <t>Modelers to incorporate the comments and finalise the schematics</t>
  </si>
  <si>
    <t>Ventilation System  - this activity shall be repeated floor-wise/apartment-wise</t>
  </si>
  <si>
    <t>Obtain ventilation requirements for pool/water feature plantrooms</t>
  </si>
  <si>
    <t>Obtain ventilation requirements for commercial kitchens, if any</t>
  </si>
  <si>
    <t>Revise the ventilation calculation</t>
  </si>
  <si>
    <t>Generate FAHU schedule</t>
  </si>
  <si>
    <t>Obtain FAHU selection from Vendors</t>
  </si>
  <si>
    <t>Provide mark-ups/information to modelers for duct routing</t>
  </si>
  <si>
    <t>Ventilation System Schematics - this activity shall commence after completing the layouts</t>
  </si>
  <si>
    <t>Based on the updates on the layouts, update the overall ventilation schematics</t>
  </si>
  <si>
    <t>Lighting &amp; Small Power Layouts - Common Areas
(For FOH areas, the modeling should commence after completing the RCP coordination) - this activity shall be repeated floor-wise</t>
  </si>
  <si>
    <t>Obtain specialist lighting models including control schedules for FOH areas</t>
  </si>
  <si>
    <t>Review the SD layouts and provide mark ups for additional lights - BOH area, where required and circuiting details</t>
  </si>
  <si>
    <t>Review the SD layouts and provide mark ups for additional sockets, where required</t>
  </si>
  <si>
    <t>Mech to provide location of FCU's/VAV's/MSFD's on the model as applicable - This item may take longer but this is a placeholder for tracking</t>
  </si>
  <si>
    <t>PHE to provide location of Water heaters, Urinal sensors, etc on the model as applicable - This item may take longer but this is a placeholder for tracking</t>
  </si>
  <si>
    <t>Populate all the equipment, sockets and issue the draft layout to engrs for circuiting</t>
  </si>
  <si>
    <t>Engineers to complete the DB schedule</t>
  </si>
  <si>
    <t>Engineers to issue the mark-up/load schedule to BIM for modelling</t>
  </si>
  <si>
    <t>Modellers to complete the layout and issue check print to engineers</t>
  </si>
  <si>
    <t>Engrs to review the layouts &amp; provide comments</t>
  </si>
  <si>
    <t>Lighting &amp; Small Power Layouts - Apartement
(For FOH areas, the modeling should commence after completing the RCP coordination) - this activity shall be repeated for every apartment</t>
  </si>
  <si>
    <t>Obtain specialist lighting models including control schedules</t>
  </si>
  <si>
    <t>Review the Coordinated ID RCP layout</t>
  </si>
  <si>
    <t>Provide mark-ups for circuiting and switches</t>
  </si>
  <si>
    <t>Obtain the SMP layout from ID</t>
  </si>
  <si>
    <t>Obtain the white good's selection from ID</t>
  </si>
  <si>
    <t>Align sockets and other power points as per the ID layout</t>
  </si>
  <si>
    <t>LV Power Distribution - Layouts - this activity shall be repeated floor-wise</t>
  </si>
  <si>
    <t>Mechanical/PHE to provide all the equipment loads</t>
  </si>
  <si>
    <t>Engrs to obtain the loads for VT, BMU, ELV, Signage</t>
  </si>
  <si>
    <t>Engr to update all the MCC/SMDB/LV Panel load schedules</t>
  </si>
  <si>
    <t>Engr to update the Cable tray calculations</t>
  </si>
  <si>
    <t>Engrs to provide mark-up/information to modelers for updating the models</t>
  </si>
  <si>
    <t>Mech/PHE to update their models with the location of all equipment</t>
  </si>
  <si>
    <t>Modellers to update the model as per the engr's mark-up &amp; load schedules</t>
  </si>
  <si>
    <t>Modellers to issue check print to engineers</t>
  </si>
  <si>
    <t>Engineers to review &amp; provide comments to modellers</t>
  </si>
  <si>
    <t>Aircraft Warning Lights</t>
  </si>
  <si>
    <t>Engineers to obtain the aeronautical survey report from the PM</t>
  </si>
  <si>
    <t>Engrs to coordinate the location of lights with Façade consultants and architects</t>
  </si>
  <si>
    <t>Engrs to provide mark-ups for lighting positions based on the coordination</t>
  </si>
  <si>
    <t>Engrs to provide mark-ups for UPS/power supply information</t>
  </si>
  <si>
    <t>BIM to incorporate all the comments as per mark-ups &amp; issue check prints</t>
  </si>
  <si>
    <t>Engr to reivew the revised check print</t>
  </si>
  <si>
    <t>LV Power Distribution - Schematics</t>
  </si>
  <si>
    <t>Modeler to start preparing the schematics as per the updated load schedules</t>
  </si>
  <si>
    <t>Lightning Protection System &amp; Earthing</t>
  </si>
  <si>
    <t>Obtain the risk assesment report from atleast three vendors</t>
  </si>
  <si>
    <t>Discuss with vendors about the requirement for intermediate ring conductors and obtain the installation details if required</t>
  </si>
  <si>
    <t>Coordinate the location/details of intermediate ring conductor/strike pads with facade consultant</t>
  </si>
  <si>
    <t>Incorporate the intermediate conductor/strike pads in the model</t>
  </si>
  <si>
    <t>Indicate the air termination network on the roof and provide bonding to any metallic parts if advised by the vendor</t>
  </si>
  <si>
    <t>Indicate the downconductor locations on the all the typical floor/GF/basement power layouts</t>
  </si>
  <si>
    <t>Indicate test points on the columns on basement earthing/LPS layout</t>
  </si>
  <si>
    <t>Review the earthing schematics and provide mark-ups if any change is required</t>
  </si>
  <si>
    <t>Indicate the earth pits on basement layouts as per the schematics</t>
  </si>
  <si>
    <t>Indicate looping conductors and cable tray/conduits for earthing cables from substation/LV rooms to earth pits in the basement</t>
  </si>
  <si>
    <t>Issue check prints to Engr for review</t>
  </si>
  <si>
    <t>Fire Alarm System and Emergency Lighting system - this activity shall be repeated floor-wise</t>
  </si>
  <si>
    <t>BIM to update the location of devices as per the coordinated RCP</t>
  </si>
  <si>
    <t>BIM to superimpose all the Mech/PHE equipment on FA/EM layouts and add IFU's (next to Access Panels) for the equipment</t>
  </si>
  <si>
    <t>Engr to review the FA &amp; EM lighting layouts and provide mark-up for any additional devices</t>
  </si>
  <si>
    <t>Engr to propose cable tray route from FCC/CBS room upto the core &amp; provide mark-ups</t>
  </si>
  <si>
    <t>Review the schematics and provide mark-ups if any change is required</t>
  </si>
  <si>
    <t>RCP (this item to be repeated floor-wise or area-wise)
- validation only where this task has been completed in the SD stage</t>
  </si>
  <si>
    <t>Arch to update their model with RCP</t>
  </si>
  <si>
    <t>BIM to extract latest RCP layouts and Provide to Engineer for markups</t>
  </si>
  <si>
    <t>Lighting calculation - BOH areas</t>
  </si>
  <si>
    <t>EM ltg calculation - BOH areas</t>
  </si>
  <si>
    <t>Provide mark-up for presence sensors/calculation output to BIM modellers</t>
  </si>
  <si>
    <t>Provide mark-ups for fire alarm layouts</t>
  </si>
  <si>
    <t>Arch to finalise the Air Outlet types</t>
  </si>
  <si>
    <t>Provide mark-ups for grilles/diffusers</t>
  </si>
  <si>
    <t>Provide mark-ups for FCU's/access panels</t>
  </si>
  <si>
    <t>Water Heater calculation</t>
  </si>
  <si>
    <t>Obtain Coordinated RCP layouts from BIM</t>
  </si>
  <si>
    <t>Provide mark-ups for EWH location/access panels</t>
  </si>
  <si>
    <t>Validate the Sprinkler Spacing/  IV's &amp; Access Panels for water supply</t>
  </si>
  <si>
    <t>Prepare models for the above and issue coordinated model to engineers for review</t>
  </si>
  <si>
    <t>Update model based on the engineers' comments (if any) and issue coordinated model to Arch for RCP coordination</t>
  </si>
  <si>
    <t>Obtain Arch Comments</t>
  </si>
  <si>
    <t>Initiate MEP/Arch Coordination meeting to agree on Arch comments and any MEP requirements</t>
  </si>
  <si>
    <t xml:space="preserve">BIM Team to update model as per comments </t>
  </si>
  <si>
    <t>Wall Coordination (this item to be repeated floor-wise or area-wise)</t>
  </si>
  <si>
    <t>MEP to finalise location of switches/sockets/MEP fixtures</t>
  </si>
  <si>
    <t>MEP to finalise the thermostat location</t>
  </si>
  <si>
    <t>Validate locations of smoke extract &amp; make-up grilles</t>
  </si>
  <si>
    <t>Update model based on the engineers' comments and issue coordinated model to Arch for coordination</t>
  </si>
  <si>
    <t>Floor Coordination (this item to be repeated floor-wise or area-wise)</t>
  </si>
  <si>
    <t>Populate floor trap locations matching Arch layout</t>
  </si>
  <si>
    <t xml:space="preserve">Validate locations and Update model </t>
  </si>
  <si>
    <t>ID to update their model with RCP having specialist lighting</t>
  </si>
  <si>
    <t>BIM to extract latest RCP layouts and provide to Engineer for markups</t>
  </si>
  <si>
    <t>EM ltg calculation - FOH areas</t>
  </si>
  <si>
    <t>ID to finalise the Air Outlet types</t>
  </si>
  <si>
    <t xml:space="preserve"> - </t>
  </si>
  <si>
    <t>Update model based on the engineers' comments (if any) and issue coordinated model to ID for RCP coordination</t>
  </si>
  <si>
    <t>Obtain ID Comments</t>
  </si>
  <si>
    <t>Initiate MEP/ID Coordination meeting to agree on ID comments and any MEP requirements</t>
  </si>
  <si>
    <t>Obtain the ID layout indicating location of switches/sockets/MEP fixtures</t>
  </si>
  <si>
    <t>Validate locations of Emergency gas switch/ gas detector in model</t>
  </si>
  <si>
    <t>Populate locations of Gas meter, piping and accessories inside the cabinet</t>
  </si>
  <si>
    <t>Update model based on the engineers' comments and issue coordinated model to ID for coordination</t>
  </si>
  <si>
    <t>Populate floor trap locations matching ID layout</t>
  </si>
  <si>
    <t>Engrs to provide the List of Deliverables to BIM Manager</t>
  </si>
  <si>
    <t>Shajjad - Its required for all stage - Will discuss in tomrorow call</t>
  </si>
  <si>
    <t>BIM Manager to prepare the TIDP and share with Engrs for review</t>
  </si>
  <si>
    <t>Engrs to review and provide feedback to BIM manager</t>
  </si>
  <si>
    <t>BIM manager to finalise the TIDP and share with the team</t>
  </si>
  <si>
    <t>Custom Requirement</t>
  </si>
  <si>
    <t>BIM leads to upload the TIDP on ProManage tool and start tracking the progress</t>
  </si>
  <si>
    <t>NO TASKS</t>
  </si>
  <si>
    <t>Validate all the MEP space planning as per the comments received on 100% SD package</t>
  </si>
  <si>
    <t>Issue comments/revised space planning to arch/ID</t>
  </si>
  <si>
    <t>Obtain revised arch/ID layouts based on the above comments</t>
  </si>
  <si>
    <t>Major Services Routing Validation</t>
  </si>
  <si>
    <t>Infra tie-in points to Primary Plantrooms</t>
  </si>
  <si>
    <t>HVAC</t>
  </si>
  <si>
    <t>Validate/model CHW tie-in line upto the ETS room</t>
  </si>
  <si>
    <t>Validate/mark the STR opening for CHW tie-in and share with STR</t>
  </si>
  <si>
    <t>Obtain feedback from STR and modify the route if required</t>
  </si>
  <si>
    <t>Ensure the openings are reflected in the STR model</t>
  </si>
  <si>
    <t>Elect</t>
  </si>
  <si>
    <t>Review the 11kV tie-in connections to the substations (RMU+Tx s/s only)</t>
  </si>
  <si>
    <t>Coordinate with Landscape &amp; STR for including the T-T trenches, if not provided already</t>
  </si>
  <si>
    <t>Validate the 11kV cable routes in the basement - ensure there are no services running in parallel;
Bottom of tray should be at 2400AFFL;
Allow for 1200 from atleast one side for clear access;
Allow for min 400 above the tray from any services/soffit</t>
  </si>
  <si>
    <t>Validate all the LV cable tray routes within the basement/GF</t>
  </si>
  <si>
    <t>Validate all the tray risers</t>
  </si>
  <si>
    <t>Validate tray/trunking routing on the typical floors</t>
  </si>
  <si>
    <t>Main trays all change to ladder &amp; riser floor opening propose,tray sizing check and update</t>
  </si>
  <si>
    <t>PHE</t>
  </si>
  <si>
    <t>Validate/model Drainage tie-in line upto the risers</t>
  </si>
  <si>
    <t>Validate/mark the STR opening for Drainage tie-in and share with STR</t>
  </si>
  <si>
    <t>Validate/model Potable water tie-in line upto the Tank</t>
  </si>
  <si>
    <t>Validate/mark the STR opening for Potable Water tie-in and share with STR</t>
  </si>
  <si>
    <t>Validate/model TSE tie-in line upto the Tank</t>
  </si>
  <si>
    <t>Validate/mark the STR opening for TSE tie-in and share with STR</t>
  </si>
  <si>
    <t>Validate/model Fire water/Irrigation water breaching inlet line upto the Tank</t>
  </si>
  <si>
    <t>Validate/mark the STR opening for breaching inlets and share with STR</t>
  </si>
  <si>
    <t>Validate/model LPG filling line upto the Tank</t>
  </si>
  <si>
    <t>Fire Fighting Layouts  - this activity shall be repeated floor-wise/apartment-wise</t>
  </si>
  <si>
    <t>Obtain the location of sprinkler heads from the coordinated RCP/wall layouts</t>
  </si>
  <si>
    <t>Provide clean agent system as per authority requirements</t>
  </si>
  <si>
    <t>Obtain the pump selection for all fire fighting pumps</t>
  </si>
  <si>
    <t>Provide the information to electrical team (power) and dimensions to modelers</t>
  </si>
  <si>
    <t>Engrs to provide mark-ups/information for pipe sizing</t>
  </si>
  <si>
    <t>Modelers to model all the pipeworks</t>
  </si>
  <si>
    <t>Modelers to provide check prints to Engrs for review</t>
  </si>
  <si>
    <t>Engrs to review and provide comments</t>
  </si>
  <si>
    <t>Modelers to incorporate the comments and finalise the layouts</t>
  </si>
  <si>
    <t>Firefighting System Schematics - this activity shall commence after completing the layouts</t>
  </si>
  <si>
    <t>Based on the updates on the layouts, update the overall fire fighting system schematics</t>
  </si>
  <si>
    <t>Potable Water Supply Layouts - this activity shall be repeated floor-wise/apartment-wise</t>
  </si>
  <si>
    <t>Obtain the location of all plumbing fixtures from ID for all FOH areas</t>
  </si>
  <si>
    <t>Obtain the location of all plumbing fixtures from arch for all BOH areas</t>
  </si>
  <si>
    <t>Carry out the pressure drop calculation until the last fixture and provide PRV's as required</t>
  </si>
  <si>
    <r>
      <t>Check pressure across the utility meters (</t>
    </r>
    <r>
      <rPr>
        <b/>
        <sz val="11"/>
        <color rgb="FFFF0000"/>
        <rFont val="Calibri"/>
        <family val="2"/>
        <scheme val="minor"/>
      </rPr>
      <t>should be within specified pressure limit</t>
    </r>
    <r>
      <rPr>
        <sz val="11"/>
        <color theme="1"/>
        <rFont val="Calibri"/>
        <family val="2"/>
        <scheme val="minor"/>
      </rPr>
      <t>)</t>
    </r>
  </si>
  <si>
    <t>Obtain the pump selection for all domestic water pumps</t>
  </si>
  <si>
    <t>Provide mark-up/information for the modelers to model all the pipe routes</t>
  </si>
  <si>
    <t>Potable Water System Schematics - this activity shall commence after completing the layouts</t>
  </si>
  <si>
    <t>Based on the updates on the layouts, update the overall potable water system schematics</t>
  </si>
  <si>
    <t>Drainage Layouts - this activity shall be repeated floor-wise/apartment-wise</t>
  </si>
  <si>
    <t>Obtain the location of all balcony drains from ID layouts</t>
  </si>
  <si>
    <t>Review the location of WC's against the location of beams and highlight such issues to ID/arch</t>
  </si>
  <si>
    <t>Obtain the location of drain points from landscape/pool/water feature consultants</t>
  </si>
  <si>
    <t>Obtain Piling layout from structure &amp; coordinate the location of sumps &amp; gratings</t>
  </si>
  <si>
    <t xml:space="preserve">Review the requirement of floor gratings at Ramp area and inside Pump rooms at Basement &amp; Ground floors </t>
  </si>
  <si>
    <t>Validate the slope and invert level at the tie-in location</t>
  </si>
  <si>
    <t>Obtain the pump selection for sump pumps</t>
  </si>
  <si>
    <t>Drainage Schematics - this activity shall commence after completing the layouts</t>
  </si>
  <si>
    <t>Based on the updates on the layouts, update the overall drainage schematics</t>
  </si>
  <si>
    <t>LPG Layouts - this activity shall be repeated floor-wise/apartment-wise</t>
  </si>
  <si>
    <t>Obtain the location of all kitchen equipment from ID for all FOH areas</t>
  </si>
  <si>
    <t>Obtain the location of all kitchen equipment from kitchen consultant for commercial kitchen</t>
  </si>
  <si>
    <t>Provide mark-up/information for the modelers to model all the pipe routes/PRV's</t>
  </si>
  <si>
    <t>LPG/SNG Schematics - this activity shall commence after completing the layouts</t>
  </si>
  <si>
    <t>Based on the updates on the layouts, update the overall LPG/SNG schematics</t>
  </si>
  <si>
    <t>Secondary Services Routing</t>
  </si>
  <si>
    <t>Carpark Ventilation</t>
  </si>
  <si>
    <t>Finalise Ventilation Calculations</t>
  </si>
  <si>
    <t>Validate the location of Make-up &amp; Discharge locations</t>
  </si>
  <si>
    <t>Validate the size of louvers</t>
  </si>
  <si>
    <t>Provide Engineering information to BIM team to finalise the ducting from fan room to end distribution</t>
  </si>
  <si>
    <t>Validate the duct routing from makeup air louver to the last supply air grill as per the revised engineering markup post 100% SD</t>
  </si>
  <si>
    <t>Validate the duct routing from  extract air louver to the last extract air grill as per the revised engineering markup post 100% SD</t>
  </si>
  <si>
    <t>Populate the coordination issues in a tracker to ENG for resolution</t>
  </si>
  <si>
    <t>ENG resolution provided issues highlighted above to BIM team</t>
  </si>
  <si>
    <t>Staircase Pressurization</t>
  </si>
  <si>
    <t>Finalise Pressurization Calculations</t>
  </si>
  <si>
    <t>Validate the location of Make-up locations</t>
  </si>
  <si>
    <t>Validate/model the duct routing from Fan to shaft</t>
  </si>
  <si>
    <t>Liftwell Pressurization</t>
  </si>
  <si>
    <t>Corridor smoke control</t>
  </si>
  <si>
    <t>Chilled Water Distribution</t>
  </si>
  <si>
    <t>Finalise HAP calculation</t>
  </si>
  <si>
    <t>Provide Engineering information to BIM team to finalise the CHW pipe distribution</t>
  </si>
  <si>
    <t>Validate/model CHW pipework distribution from ETS to risers and exiting to individual floors</t>
  </si>
  <si>
    <t>General Ventilation</t>
  </si>
  <si>
    <t>Provide Engineering information to BIM team to finalise the ducting from FAHU's to end distribution</t>
  </si>
  <si>
    <t>Validate/model all the duct routes</t>
  </si>
  <si>
    <t>AC (for common areas)</t>
  </si>
  <si>
    <t>Provide ENG inputs for modelling equipment/duct routes for each area</t>
  </si>
  <si>
    <t>Electrical</t>
  </si>
  <si>
    <t>Power Distribution</t>
  </si>
  <si>
    <t>Populate all the equipment &amp; electrical panels on the basement (coordinate with PHE &amp; HVAC)</t>
  </si>
  <si>
    <t>Provide SD load schedules to BIM for tray sizing</t>
  </si>
  <si>
    <t>Provide mark-up for FA/CBS tray route from the riser upto FCC/CBS rooms</t>
  </si>
  <si>
    <t>Size cable trays and model cable trays for missing loads</t>
  </si>
  <si>
    <t>Coordinate tray routes with other services while modelling</t>
  </si>
  <si>
    <t>Review the generator exhaust discharge point &amp; fill point assembly (check the tanker parking)</t>
  </si>
  <si>
    <t>Validate the routing of Fuel fill line from fill point to Day tank</t>
  </si>
  <si>
    <t>Assess &amp; Provide if additional shafts required</t>
  </si>
  <si>
    <t>Provide mark-ups to Arch for incorporating arch model</t>
  </si>
  <si>
    <t>Verify if this is incorporated in the arch model</t>
  </si>
  <si>
    <t>Potable Water Distribution</t>
  </si>
  <si>
    <t>Finalise water demand calculation</t>
  </si>
  <si>
    <t>Validate the size of tanks</t>
  </si>
  <si>
    <t>Provide mark-ups to arch if there are any changes</t>
  </si>
  <si>
    <t>Follow-up with arch for updated layouts incorporating the changes</t>
  </si>
  <si>
    <t>Finalise transfer pump &amp; transfer pipe sizing</t>
  </si>
  <si>
    <t>Obtain pump selections from vendor and provide the information to Elect team (power) and dimensions to modelers</t>
  </si>
  <si>
    <t>Validate the riser sizes</t>
  </si>
  <si>
    <t>Validate/model transfer pipes based on the calculation</t>
  </si>
  <si>
    <t>Finalise pipe sizing calculation for branch pipes from risers to apartments</t>
  </si>
  <si>
    <t>Provide mark-ups/information to modelers to validate/model the pipe routes</t>
  </si>
  <si>
    <t>Eng to review and provide comments</t>
  </si>
  <si>
    <t>Modelers to update the model based on the comments</t>
  </si>
  <si>
    <t>Fire Water Distribution</t>
  </si>
  <si>
    <t>Finalise fire water demand calculation</t>
  </si>
  <si>
    <t>Finalise the riser pipe sizing including low/high zone interconnection</t>
  </si>
  <si>
    <t>Validate/model riser pipes based on the calculation</t>
  </si>
  <si>
    <t>Drainage</t>
  </si>
  <si>
    <t>Finalise drainage pipe sizing calculation</t>
  </si>
  <si>
    <t>Obtain landscape drain locations from landscape consultant</t>
  </si>
  <si>
    <t>Rainwater Distribution</t>
  </si>
  <si>
    <t>Finalise the rainwater calculation for number of outlets &amp; downpipe sizing</t>
  </si>
  <si>
    <t>Verify if a secondary outlet is required as per client/operator requirement</t>
  </si>
  <si>
    <t>LPG/SNG Distribution</t>
  </si>
  <si>
    <t>Finalise the gas demand &amp; riser pipe sizing calculation</t>
  </si>
  <si>
    <t>Validate the tank size &amp; riser sizes</t>
  </si>
  <si>
    <t>Validate the clearances around gas tank where applicable</t>
  </si>
  <si>
    <r>
      <t xml:space="preserve">Coordination (to follow after finalising Primary &amp; Secondary Services Routing) </t>
    </r>
    <r>
      <rPr>
        <b/>
        <sz val="11"/>
        <color rgb="FFFF0000"/>
        <rFont val="Calibri"/>
        <family val="2"/>
        <scheme val="minor"/>
      </rPr>
      <t>- This coordination shall happen within 2weeks from the DD kick-off</t>
    </r>
  </si>
  <si>
    <t>Wall/Floor Openings</t>
  </si>
  <si>
    <t>BIM manager to generate clash report for MEP vs STR &amp; MEP vs MEP</t>
  </si>
  <si>
    <t>BIM manager to produce coordination tracker and assign modelers against the each item</t>
  </si>
  <si>
    <t>Modelers to complete the coordination issues and validate all the openings (Wall/floor)</t>
  </si>
  <si>
    <t>Modelers to highlight any missing openings to Engrs</t>
  </si>
  <si>
    <t>Engr to review and issue a consolidated feedback to arch/str for all the openings</t>
  </si>
  <si>
    <t>Engrs to obtain the finalised arch/str layout</t>
  </si>
  <si>
    <t>Equipment weights &amp; plinths</t>
  </si>
  <si>
    <t>Based on the DD calculations Engrs to obtain equipment selections</t>
  </si>
  <si>
    <t>Engrs to validate the weight of the equipment &amp; associated plinth sizes</t>
  </si>
  <si>
    <t>Attic Slabs</t>
  </si>
  <si>
    <t>Engrs to review any wet areas above electrical/ELV rooms</t>
  </si>
  <si>
    <t>Engrs to validate all drainage riser diversions</t>
  </si>
  <si>
    <t>Engrs to validate all Gas riser diversions</t>
  </si>
  <si>
    <t>Engrs to validate all HVAC riser diversions</t>
  </si>
  <si>
    <t>Engrs to validate any landlord services within the Retail/F&amp;B spaces</t>
  </si>
  <si>
    <t>Engrs to validate or modify attic slab extents as per the above and share with arch/str</t>
  </si>
  <si>
    <t>Engrs to obtain the revised arch/str models for review</t>
  </si>
  <si>
    <t>Engrs to review and provide feedback to arch/str,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</si>
</sst>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left" vertical="center" indent="3"/>
    </xf>
    <xf numFmtId="0" fontId="0" fillId="2" borderId="1" xfId="0" applyFill="1" applyBorder="1" applyAlignment="1">
      <alignment horizontal="left" vertical="center" indent="3"/>
    </xf>
    <xf numFmtId="0" fontId="2" fillId="0" borderId="1" xfId="0" applyFont="1" applyBorder="1" applyAlignment="1">
      <alignment horizontal="left" vertical="center" indent="3"/>
    </xf>
    <xf numFmtId="0" fontId="0" fillId="4" borderId="0" xfId="0" applyFill="1" applyAlignment="1">
      <alignment vertical="center"/>
    </xf>
    <xf numFmtId="0" fontId="0" fillId="0" borderId="1" xfId="0" applyBorder="1" applyAlignment="1">
      <alignment horizontal="left" vertical="center" indent="2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5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90"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2B65-93AA-4384-A8D7-13A3CD8B1981}">
  <dimension ref="B3:C13"/>
  <sheetViews>
    <sheetView workbookViewId="0">
      <selection activeCell="G11" sqref="G11"/>
    </sheetView>
  </sheetViews>
  <sheetFormatPr defaultRowHeight="20.25" customHeight="1"/>
  <cols>
    <col min="2" max="2" width="80.85546875" bestFit="1" customWidth="1"/>
  </cols>
  <sheetData>
    <row r="3" spans="2:3" ht="20.25" customHeight="1">
      <c r="B3" s="6" t="s">
        <v>0</v>
      </c>
      <c r="C3" t="s">
        <v>1</v>
      </c>
    </row>
    <row r="4" spans="2:3" ht="20.25" customHeight="1">
      <c r="B4" s="6" t="s">
        <v>2</v>
      </c>
    </row>
    <row r="5" spans="2:3" ht="20.25" customHeight="1">
      <c r="B5" s="20" t="s">
        <v>3</v>
      </c>
    </row>
    <row r="6" spans="2:3" ht="20.25" customHeight="1">
      <c r="B6" s="6" t="s">
        <v>4</v>
      </c>
    </row>
    <row r="7" spans="2:3" ht="20.25" customHeight="1">
      <c r="B7" s="20" t="s">
        <v>5</v>
      </c>
    </row>
    <row r="8" spans="2:3" ht="20.25" customHeight="1">
      <c r="B8" s="20" t="s">
        <v>6</v>
      </c>
    </row>
    <row r="9" spans="2:3" ht="20.25" customHeight="1">
      <c r="B9" s="20" t="s">
        <v>7</v>
      </c>
    </row>
    <row r="10" spans="2:3" ht="20.25" customHeight="1">
      <c r="B10" s="20" t="s">
        <v>8</v>
      </c>
    </row>
    <row r="11" spans="2:3" ht="20.25" customHeight="1">
      <c r="B11" s="20" t="s">
        <v>9</v>
      </c>
    </row>
    <row r="12" spans="2:3" ht="20.25" customHeight="1">
      <c r="B12" s="20" t="s">
        <v>10</v>
      </c>
    </row>
    <row r="13" spans="2:3" ht="20.25" customHeight="1">
      <c r="B13" s="6" t="s">
        <v>11</v>
      </c>
    </row>
  </sheetData>
  <conditionalFormatting sqref="B3:B13">
    <cfRule type="expression" dxfId="89" priority="1">
      <formula>AND(COUNTA($B3:$M3)&gt;0,$K3="DELAYED;")</formula>
    </cfRule>
    <cfRule type="expression" dxfId="88" priority="2">
      <formula>AND(COUNTA($B3:$M3)&gt;0,$K3="TO BE ACTIONED TODAY")</formula>
    </cfRule>
    <cfRule type="expression" dxfId="87" priority="3">
      <formula>AND(COUNTA($B3:$M3)&gt;0,$K3="ACTION DUE WITHIN 2DAYS")</formula>
    </cfRule>
    <cfRule type="expression" dxfId="86" priority="4">
      <formula>AND(COUNTA($B3:$M3)&gt;0,$K3="COMPLETED")</formula>
    </cfRule>
    <cfRule type="expression" dxfId="85" priority="5">
      <formula>AND(COUNTA($B3:$M3)&gt;0,$K3="ON TRACK")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3587-B368-4BB8-A7FA-46A058E5194F}">
  <dimension ref="F4:F69"/>
  <sheetViews>
    <sheetView topLeftCell="A56" workbookViewId="0">
      <selection activeCell="J9" sqref="J9"/>
    </sheetView>
  </sheetViews>
  <sheetFormatPr defaultRowHeight="20.25" customHeight="1"/>
  <cols>
    <col min="6" max="6" width="98" bestFit="1" customWidth="1"/>
  </cols>
  <sheetData>
    <row r="4" spans="6:6" ht="20.25" customHeight="1">
      <c r="F4" s="6" t="s">
        <v>12</v>
      </c>
    </row>
    <row r="5" spans="6:6" ht="20.25" customHeight="1">
      <c r="F5" s="13" t="s">
        <v>13</v>
      </c>
    </row>
    <row r="6" spans="6:6" ht="20.25" customHeight="1">
      <c r="F6" s="13" t="s">
        <v>14</v>
      </c>
    </row>
    <row r="7" spans="6:6" ht="20.25" customHeight="1">
      <c r="F7" s="13" t="s">
        <v>15</v>
      </c>
    </row>
    <row r="8" spans="6:6" ht="20.25" customHeight="1">
      <c r="F8" s="13" t="s">
        <v>16</v>
      </c>
    </row>
    <row r="9" spans="6:6" ht="20.25" customHeight="1">
      <c r="F9" s="13" t="s">
        <v>17</v>
      </c>
    </row>
    <row r="10" spans="6:6" ht="20.25" customHeight="1">
      <c r="F10" s="13" t="s">
        <v>18</v>
      </c>
    </row>
    <row r="11" spans="6:6" ht="20.25" customHeight="1">
      <c r="F11" s="13" t="s">
        <v>19</v>
      </c>
    </row>
    <row r="12" spans="6:6" ht="20.25" customHeight="1">
      <c r="F12" s="13" t="s">
        <v>20</v>
      </c>
    </row>
    <row r="13" spans="6:6" ht="20.25" customHeight="1">
      <c r="F13" s="13" t="s">
        <v>21</v>
      </c>
    </row>
    <row r="14" spans="6:6" ht="20.25" customHeight="1">
      <c r="F14" s="13" t="s">
        <v>22</v>
      </c>
    </row>
    <row r="15" spans="6:6" ht="20.25" customHeight="1">
      <c r="F15" s="13" t="s">
        <v>23</v>
      </c>
    </row>
    <row r="16" spans="6:6" ht="20.25" customHeight="1">
      <c r="F16" s="13" t="s">
        <v>24</v>
      </c>
    </row>
    <row r="17" spans="6:6" ht="20.25" customHeight="1">
      <c r="F17" s="6" t="s">
        <v>25</v>
      </c>
    </row>
    <row r="18" spans="6:6" ht="20.25" customHeight="1">
      <c r="F18" s="13" t="s">
        <v>26</v>
      </c>
    </row>
    <row r="19" spans="6:6" ht="20.25" customHeight="1">
      <c r="F19" s="13" t="s">
        <v>27</v>
      </c>
    </row>
    <row r="20" spans="6:6" ht="20.25" customHeight="1">
      <c r="F20" s="13" t="s">
        <v>28</v>
      </c>
    </row>
    <row r="21" spans="6:6" ht="20.25" customHeight="1">
      <c r="F21" s="13" t="s">
        <v>29</v>
      </c>
    </row>
    <row r="22" spans="6:6" ht="20.25" customHeight="1">
      <c r="F22" s="13" t="s">
        <v>30</v>
      </c>
    </row>
    <row r="23" spans="6:6" ht="20.25" customHeight="1">
      <c r="F23" s="13" t="s">
        <v>31</v>
      </c>
    </row>
    <row r="24" spans="6:6" ht="20.25" customHeight="1">
      <c r="F24" s="13" t="s">
        <v>32</v>
      </c>
    </row>
    <row r="25" spans="6:6" ht="20.25" customHeight="1">
      <c r="F25" s="13" t="s">
        <v>33</v>
      </c>
    </row>
    <row r="26" spans="6:6" ht="20.25" customHeight="1">
      <c r="F26" s="13" t="s">
        <v>34</v>
      </c>
    </row>
    <row r="27" spans="6:6" ht="20.25" customHeight="1">
      <c r="F27" s="13" t="s">
        <v>35</v>
      </c>
    </row>
    <row r="28" spans="6:6" ht="20.25" customHeight="1">
      <c r="F28" s="13" t="s">
        <v>36</v>
      </c>
    </row>
    <row r="29" spans="6:6" ht="20.25" customHeight="1">
      <c r="F29" s="13" t="s">
        <v>37</v>
      </c>
    </row>
    <row r="30" spans="6:6" ht="20.25" customHeight="1">
      <c r="F30" s="13" t="s">
        <v>38</v>
      </c>
    </row>
    <row r="31" spans="6:6" ht="20.25" customHeight="1">
      <c r="F31" s="13" t="s">
        <v>30</v>
      </c>
    </row>
    <row r="32" spans="6:6" ht="20.25" customHeight="1">
      <c r="F32" s="13" t="s">
        <v>39</v>
      </c>
    </row>
    <row r="33" spans="6:6" ht="20.25" customHeight="1">
      <c r="F33" s="13" t="s">
        <v>40</v>
      </c>
    </row>
    <row r="34" spans="6:6" ht="20.25" customHeight="1">
      <c r="F34" s="6" t="s">
        <v>41</v>
      </c>
    </row>
    <row r="35" spans="6:6" ht="20.25" customHeight="1">
      <c r="F35" s="13" t="s">
        <v>42</v>
      </c>
    </row>
    <row r="36" spans="6:6" ht="20.25" customHeight="1">
      <c r="F36" s="13" t="s">
        <v>43</v>
      </c>
    </row>
    <row r="37" spans="6:6" ht="20.25" customHeight="1">
      <c r="F37" s="13" t="s">
        <v>32</v>
      </c>
    </row>
    <row r="38" spans="6:6" ht="20.25" customHeight="1">
      <c r="F38" s="13" t="s">
        <v>30</v>
      </c>
    </row>
    <row r="39" spans="6:6" ht="20.25" customHeight="1">
      <c r="F39" s="13" t="s">
        <v>44</v>
      </c>
    </row>
    <row r="40" spans="6:6" ht="20.25" customHeight="1">
      <c r="F40" s="13" t="s">
        <v>45</v>
      </c>
    </row>
    <row r="41" spans="6:6" ht="20.25" customHeight="1">
      <c r="F41" s="13" t="s">
        <v>46</v>
      </c>
    </row>
    <row r="42" spans="6:6" ht="20.25" customHeight="1">
      <c r="F42" s="13" t="s">
        <v>47</v>
      </c>
    </row>
    <row r="43" spans="6:6" ht="20.25" customHeight="1">
      <c r="F43" s="13" t="s">
        <v>48</v>
      </c>
    </row>
    <row r="44" spans="6:6" ht="20.25" customHeight="1">
      <c r="F44" s="13" t="s">
        <v>49</v>
      </c>
    </row>
    <row r="45" spans="6:6" ht="20.25" customHeight="1">
      <c r="F45" s="13" t="s">
        <v>50</v>
      </c>
    </row>
    <row r="46" spans="6:6" ht="20.25" customHeight="1">
      <c r="F46" s="13" t="s">
        <v>51</v>
      </c>
    </row>
    <row r="47" spans="6:6" ht="20.25" customHeight="1">
      <c r="F47" s="13" t="s">
        <v>52</v>
      </c>
    </row>
    <row r="48" spans="6:6" ht="20.25" customHeight="1">
      <c r="F48" s="13" t="s">
        <v>30</v>
      </c>
    </row>
    <row r="49" spans="6:6" ht="20.25" customHeight="1">
      <c r="F49" s="13" t="s">
        <v>53</v>
      </c>
    </row>
    <row r="50" spans="6:6" ht="20.25" customHeight="1">
      <c r="F50" s="13" t="s">
        <v>54</v>
      </c>
    </row>
    <row r="51" spans="6:6" ht="20.25" customHeight="1">
      <c r="F51" s="13" t="s">
        <v>55</v>
      </c>
    </row>
    <row r="52" spans="6:6" ht="20.25" customHeight="1">
      <c r="F52" s="13" t="s">
        <v>56</v>
      </c>
    </row>
    <row r="53" spans="6:6" ht="20.25" customHeight="1">
      <c r="F53" s="13" t="s">
        <v>57</v>
      </c>
    </row>
    <row r="54" spans="6:6" ht="20.25" customHeight="1">
      <c r="F54" s="6" t="s">
        <v>58</v>
      </c>
    </row>
    <row r="55" spans="6:6" ht="20.25" customHeight="1">
      <c r="F55" s="13" t="s">
        <v>59</v>
      </c>
    </row>
    <row r="56" spans="6:6" ht="20.25" customHeight="1">
      <c r="F56" s="13" t="s">
        <v>60</v>
      </c>
    </row>
    <row r="57" spans="6:6" ht="20.25" customHeight="1">
      <c r="F57" s="13" t="s">
        <v>61</v>
      </c>
    </row>
    <row r="58" spans="6:6" ht="20.25" customHeight="1">
      <c r="F58" s="13" t="s">
        <v>62</v>
      </c>
    </row>
    <row r="59" spans="6:6" ht="20.25" customHeight="1">
      <c r="F59" s="13" t="s">
        <v>54</v>
      </c>
    </row>
    <row r="60" spans="6:6" ht="20.25" customHeight="1">
      <c r="F60" s="13" t="s">
        <v>55</v>
      </c>
    </row>
    <row r="61" spans="6:6" ht="20.25" customHeight="1">
      <c r="F61" s="13" t="s">
        <v>56</v>
      </c>
    </row>
    <row r="62" spans="6:6" ht="20.25" customHeight="1">
      <c r="F62" s="13" t="s">
        <v>63</v>
      </c>
    </row>
    <row r="63" spans="6:6" ht="20.25" customHeight="1">
      <c r="F63" s="13" t="s">
        <v>64</v>
      </c>
    </row>
    <row r="64" spans="6:6" ht="20.25" customHeight="1">
      <c r="F64" s="13" t="s">
        <v>65</v>
      </c>
    </row>
    <row r="65" spans="6:6" ht="20.25" customHeight="1">
      <c r="F65" s="13" t="s">
        <v>66</v>
      </c>
    </row>
    <row r="66" spans="6:6" ht="20.25" customHeight="1">
      <c r="F66" s="13" t="s">
        <v>54</v>
      </c>
    </row>
    <row r="67" spans="6:6" ht="20.25" customHeight="1">
      <c r="F67" s="13" t="s">
        <v>55</v>
      </c>
    </row>
    <row r="68" spans="6:6" ht="20.25" customHeight="1">
      <c r="F68" s="13" t="s">
        <v>56</v>
      </c>
    </row>
    <row r="69" spans="6:6" ht="20.25" customHeight="1">
      <c r="F69" s="13" t="s">
        <v>57</v>
      </c>
    </row>
  </sheetData>
  <conditionalFormatting sqref="F4:F69">
    <cfRule type="expression" dxfId="84" priority="1">
      <formula>AND(COUNTA($B4:$M4)&gt;0,$K4="DELAYED;")</formula>
    </cfRule>
    <cfRule type="expression" dxfId="83" priority="2">
      <formula>AND(COUNTA($B4:$M4)&gt;0,$K4="TO BE ACTIONED TODAY")</formula>
    </cfRule>
    <cfRule type="expression" dxfId="82" priority="3">
      <formula>AND(COUNTA($B4:$M4)&gt;0,$K4="ACTION DUE WITHIN 2DAYS")</formula>
    </cfRule>
    <cfRule type="expression" dxfId="81" priority="4">
      <formula>AND(COUNTA($B4:$M4)&gt;0,$K4="COMPLETED")</formula>
    </cfRule>
    <cfRule type="expression" dxfId="80" priority="5">
      <formula>AND(COUNTA($B4:$M4)&gt;0,$K4="ON TRACK")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BD3A-ED53-4F9C-952C-A3E426F9EA5D}">
  <dimension ref="E3:K35"/>
  <sheetViews>
    <sheetView topLeftCell="A17" workbookViewId="0">
      <selection activeCell="E8" sqref="E8"/>
    </sheetView>
  </sheetViews>
  <sheetFormatPr defaultRowHeight="20.25" customHeight="1"/>
  <cols>
    <col min="5" max="5" width="182.28515625" bestFit="1" customWidth="1"/>
  </cols>
  <sheetData>
    <row r="3" spans="5:11" ht="20.25" customHeight="1">
      <c r="E3" s="6" t="s">
        <v>67</v>
      </c>
      <c r="F3" s="16"/>
    </row>
    <row r="4" spans="5:11" ht="20.25" customHeight="1">
      <c r="E4" s="13" t="s">
        <v>68</v>
      </c>
      <c r="F4" s="17"/>
    </row>
    <row r="5" spans="5:11" ht="20.25" customHeight="1">
      <c r="E5" s="13" t="s">
        <v>69</v>
      </c>
      <c r="F5" s="17"/>
      <c r="K5" s="14"/>
    </row>
    <row r="6" spans="5:11" ht="20.25" customHeight="1">
      <c r="E6" s="13" t="s">
        <v>70</v>
      </c>
      <c r="F6" s="17"/>
    </row>
    <row r="7" spans="5:11" ht="20.25" customHeight="1">
      <c r="E7" s="13" t="s">
        <v>71</v>
      </c>
      <c r="F7" s="17"/>
    </row>
    <row r="8" spans="5:11" ht="20.25" customHeight="1">
      <c r="E8" s="13" t="s">
        <v>72</v>
      </c>
      <c r="F8" s="17"/>
    </row>
    <row r="9" spans="5:11" ht="20.25" customHeight="1">
      <c r="E9" s="13" t="s">
        <v>73</v>
      </c>
      <c r="F9" s="17"/>
    </row>
    <row r="10" spans="5:11" ht="20.25" customHeight="1">
      <c r="E10" s="13" t="s">
        <v>74</v>
      </c>
      <c r="F10" s="17"/>
    </row>
    <row r="11" spans="5:11" ht="20.25" customHeight="1">
      <c r="E11" s="13" t="s">
        <v>75</v>
      </c>
      <c r="F11" s="17"/>
    </row>
    <row r="12" spans="5:11" ht="20.25" customHeight="1">
      <c r="E12" s="13" t="s">
        <v>76</v>
      </c>
      <c r="F12" s="17"/>
    </row>
    <row r="13" spans="5:11" ht="20.25" customHeight="1">
      <c r="E13" s="13" t="s">
        <v>77</v>
      </c>
      <c r="F13" s="17"/>
    </row>
    <row r="14" spans="5:11" ht="20.25" customHeight="1">
      <c r="E14" s="13" t="s">
        <v>78</v>
      </c>
      <c r="F14" s="17"/>
    </row>
    <row r="15" spans="5:11" ht="20.25" customHeight="1">
      <c r="E15" s="13" t="s">
        <v>79</v>
      </c>
      <c r="F15" s="17"/>
    </row>
    <row r="16" spans="5:11" ht="20.25" customHeight="1">
      <c r="E16" s="13" t="s">
        <v>80</v>
      </c>
      <c r="F16" s="17"/>
    </row>
    <row r="17" spans="5:6" ht="20.25" customHeight="1">
      <c r="E17" s="6" t="s">
        <v>81</v>
      </c>
      <c r="F17" s="16"/>
    </row>
    <row r="18" spans="5:6" ht="20.25" customHeight="1">
      <c r="E18" s="13" t="s">
        <v>82</v>
      </c>
      <c r="F18" s="17"/>
    </row>
    <row r="19" spans="5:6" ht="20.25" customHeight="1">
      <c r="E19" s="13" t="s">
        <v>83</v>
      </c>
      <c r="F19" s="17"/>
    </row>
    <row r="20" spans="5:6" ht="20.25" customHeight="1">
      <c r="E20" s="13" t="s">
        <v>84</v>
      </c>
      <c r="F20" s="17"/>
    </row>
    <row r="21" spans="5:6" ht="20.25" customHeight="1">
      <c r="E21" s="6" t="s">
        <v>85</v>
      </c>
      <c r="F21" s="16"/>
    </row>
    <row r="22" spans="5:6" ht="20.25" customHeight="1">
      <c r="E22" s="13" t="s">
        <v>86</v>
      </c>
      <c r="F22" s="17"/>
    </row>
    <row r="23" spans="5:6" ht="20.25" customHeight="1">
      <c r="E23" s="13" t="s">
        <v>87</v>
      </c>
      <c r="F23" s="17"/>
    </row>
    <row r="24" spans="5:6" ht="20.25" customHeight="1">
      <c r="E24" s="13" t="s">
        <v>88</v>
      </c>
      <c r="F24" s="17"/>
    </row>
    <row r="25" spans="5:6" ht="20.25" customHeight="1">
      <c r="E25" s="13" t="s">
        <v>89</v>
      </c>
      <c r="F25" s="17"/>
    </row>
    <row r="26" spans="5:6" ht="20.25" customHeight="1">
      <c r="E26" s="13" t="s">
        <v>90</v>
      </c>
      <c r="F26" s="17"/>
    </row>
    <row r="27" spans="5:6" ht="20.25" customHeight="1">
      <c r="E27" s="13" t="s">
        <v>91</v>
      </c>
      <c r="F27" s="17"/>
    </row>
    <row r="28" spans="5:6" ht="20.25" customHeight="1">
      <c r="E28" s="13" t="s">
        <v>77</v>
      </c>
      <c r="F28" s="17"/>
    </row>
    <row r="29" spans="5:6" ht="20.25" customHeight="1">
      <c r="E29" s="13" t="s">
        <v>78</v>
      </c>
      <c r="F29" s="17"/>
    </row>
    <row r="30" spans="5:6" ht="20.25" customHeight="1">
      <c r="E30" s="13" t="s">
        <v>79</v>
      </c>
      <c r="F30" s="17"/>
    </row>
    <row r="31" spans="5:6" ht="20.25" customHeight="1">
      <c r="E31" s="13" t="s">
        <v>80</v>
      </c>
      <c r="F31" s="17"/>
    </row>
    <row r="32" spans="5:6" ht="20.25" customHeight="1">
      <c r="E32" s="6" t="s">
        <v>92</v>
      </c>
      <c r="F32" s="16"/>
    </row>
    <row r="33" spans="5:6" ht="20.25" customHeight="1">
      <c r="E33" s="13" t="s">
        <v>93</v>
      </c>
      <c r="F33" s="17"/>
    </row>
    <row r="34" spans="5:6" ht="20.25" customHeight="1">
      <c r="E34" s="13" t="s">
        <v>83</v>
      </c>
      <c r="F34" s="17"/>
    </row>
    <row r="35" spans="5:6" ht="20.25" customHeight="1">
      <c r="E35" s="13" t="s">
        <v>84</v>
      </c>
      <c r="F35" s="17"/>
    </row>
  </sheetData>
  <conditionalFormatting sqref="E3:F35">
    <cfRule type="expression" dxfId="79" priority="1">
      <formula>AND(COUNTA($B3:$N3)&gt;0,$L3="DELAYED;")</formula>
    </cfRule>
    <cfRule type="expression" dxfId="78" priority="2">
      <formula>AND(COUNTA($B3:$N3)&gt;0,$L3="TO BE ACTIONED TODAY")</formula>
    </cfRule>
    <cfRule type="expression" dxfId="77" priority="3">
      <formula>AND(COUNTA($B3:$N3)&gt;0,$L3="ACTION DUE WITHIN 2DAYS")</formula>
    </cfRule>
    <cfRule type="expression" dxfId="76" priority="4">
      <formula>AND(COUNTA($B3:$N3)&gt;0,$L3="COMPLETED")</formula>
    </cfRule>
    <cfRule type="expression" dxfId="75" priority="5">
      <formula>AND(COUNTA($B3:$N3)&gt;0,$L3="ON TRACK")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56FB-75A5-4D30-ACCC-56266F9B60C6}">
  <dimension ref="D4:H77"/>
  <sheetViews>
    <sheetView topLeftCell="A61" workbookViewId="0">
      <selection activeCell="J9" sqref="J8:J9"/>
    </sheetView>
  </sheetViews>
  <sheetFormatPr defaultRowHeight="20.25" customHeight="1"/>
  <cols>
    <col min="4" max="4" width="170.42578125" bestFit="1" customWidth="1"/>
  </cols>
  <sheetData>
    <row r="4" spans="4:8" ht="20.25" customHeight="1">
      <c r="D4" s="6" t="s">
        <v>94</v>
      </c>
    </row>
    <row r="5" spans="4:8" ht="20.25" customHeight="1">
      <c r="D5" s="13" t="s">
        <v>95</v>
      </c>
    </row>
    <row r="6" spans="4:8" ht="20.25" customHeight="1">
      <c r="D6" s="13" t="s">
        <v>96</v>
      </c>
    </row>
    <row r="7" spans="4:8" ht="20.25" customHeight="1">
      <c r="D7" s="13" t="s">
        <v>97</v>
      </c>
    </row>
    <row r="8" spans="4:8" ht="20.25" customHeight="1">
      <c r="D8" s="13" t="s">
        <v>98</v>
      </c>
    </row>
    <row r="9" spans="4:8" ht="20.25" customHeight="1">
      <c r="D9" s="13" t="s">
        <v>99</v>
      </c>
    </row>
    <row r="10" spans="4:8" ht="20.25" customHeight="1">
      <c r="D10" s="13" t="s">
        <v>100</v>
      </c>
      <c r="H10" s="14"/>
    </row>
    <row r="11" spans="4:8" ht="20.25" customHeight="1">
      <c r="D11" s="13" t="s">
        <v>101</v>
      </c>
    </row>
    <row r="12" spans="4:8" ht="20.25" customHeight="1">
      <c r="D12" s="13" t="s">
        <v>102</v>
      </c>
    </row>
    <row r="13" spans="4:8" ht="20.25" customHeight="1">
      <c r="D13" s="13" t="s">
        <v>103</v>
      </c>
    </row>
    <row r="14" spans="4:8" ht="20.25" customHeight="1">
      <c r="D14" s="13" t="s">
        <v>104</v>
      </c>
    </row>
    <row r="15" spans="4:8" ht="20.25" customHeight="1">
      <c r="D15" s="13" t="s">
        <v>80</v>
      </c>
    </row>
    <row r="16" spans="4:8" ht="20.25" customHeight="1">
      <c r="D16" s="6" t="s">
        <v>105</v>
      </c>
    </row>
    <row r="17" spans="4:4" ht="20.25" customHeight="1">
      <c r="D17" s="13" t="s">
        <v>106</v>
      </c>
    </row>
    <row r="18" spans="4:4" ht="20.25" customHeight="1">
      <c r="D18" s="13" t="s">
        <v>107</v>
      </c>
    </row>
    <row r="19" spans="4:4" ht="20.25" customHeight="1">
      <c r="D19" s="13" t="s">
        <v>108</v>
      </c>
    </row>
    <row r="20" spans="4:4" ht="20.25" customHeight="1">
      <c r="D20" s="13" t="s">
        <v>109</v>
      </c>
    </row>
    <row r="21" spans="4:4" ht="20.25" customHeight="1">
      <c r="D21" s="13" t="s">
        <v>110</v>
      </c>
    </row>
    <row r="22" spans="4:4" ht="20.25" customHeight="1">
      <c r="D22" s="13" t="s">
        <v>111</v>
      </c>
    </row>
    <row r="23" spans="4:4" ht="20.25" customHeight="1">
      <c r="D23" s="13" t="s">
        <v>101</v>
      </c>
    </row>
    <row r="24" spans="4:4" ht="20.25" customHeight="1">
      <c r="D24" s="13" t="s">
        <v>102</v>
      </c>
    </row>
    <row r="25" spans="4:4" ht="20.25" customHeight="1">
      <c r="D25" s="13" t="s">
        <v>103</v>
      </c>
    </row>
    <row r="26" spans="4:4" ht="20.25" customHeight="1">
      <c r="D26" s="13" t="s">
        <v>104</v>
      </c>
    </row>
    <row r="27" spans="4:4" ht="20.25" customHeight="1">
      <c r="D27" s="13" t="s">
        <v>80</v>
      </c>
    </row>
    <row r="28" spans="4:4" ht="20.25" customHeight="1">
      <c r="D28" s="15" t="s">
        <v>112</v>
      </c>
    </row>
    <row r="29" spans="4:4" ht="20.25" customHeight="1">
      <c r="D29" s="13" t="s">
        <v>113</v>
      </c>
    </row>
    <row r="30" spans="4:4" ht="20.25" customHeight="1">
      <c r="D30" s="13" t="s">
        <v>114</v>
      </c>
    </row>
    <row r="31" spans="4:4" ht="20.25" customHeight="1">
      <c r="D31" s="13" t="s">
        <v>115</v>
      </c>
    </row>
    <row r="32" spans="4:4" ht="20.25" customHeight="1">
      <c r="D32" s="13" t="s">
        <v>116</v>
      </c>
    </row>
    <row r="33" spans="4:4" ht="20.25" customHeight="1">
      <c r="D33" s="13" t="s">
        <v>117</v>
      </c>
    </row>
    <row r="34" spans="4:4" ht="20.25" customHeight="1">
      <c r="D34" s="13" t="s">
        <v>118</v>
      </c>
    </row>
    <row r="35" spans="4:4" ht="20.25" customHeight="1">
      <c r="D35" s="13" t="s">
        <v>119</v>
      </c>
    </row>
    <row r="36" spans="4:4" ht="20.25" customHeight="1">
      <c r="D36" s="13" t="s">
        <v>120</v>
      </c>
    </row>
    <row r="37" spans="4:4" ht="20.25" customHeight="1">
      <c r="D37" s="13" t="s">
        <v>121</v>
      </c>
    </row>
    <row r="38" spans="4:4" ht="20.25" customHeight="1">
      <c r="D38" s="13" t="s">
        <v>80</v>
      </c>
    </row>
    <row r="39" spans="4:4" ht="20.25" customHeight="1">
      <c r="D39" s="15" t="s">
        <v>122</v>
      </c>
    </row>
    <row r="40" spans="4:4" ht="20.25" customHeight="1">
      <c r="D40" s="13" t="s">
        <v>123</v>
      </c>
    </row>
    <row r="41" spans="4:4" ht="20.25" customHeight="1">
      <c r="D41" s="13" t="s">
        <v>124</v>
      </c>
    </row>
    <row r="42" spans="4:4" ht="20.25" customHeight="1">
      <c r="D42" s="13" t="s">
        <v>125</v>
      </c>
    </row>
    <row r="43" spans="4:4" ht="20.25" customHeight="1">
      <c r="D43" s="13" t="s">
        <v>126</v>
      </c>
    </row>
    <row r="44" spans="4:4" ht="20.25" customHeight="1">
      <c r="D44" s="13" t="s">
        <v>127</v>
      </c>
    </row>
    <row r="45" spans="4:4" ht="20.25" customHeight="1">
      <c r="D45" s="13" t="s">
        <v>128</v>
      </c>
    </row>
    <row r="46" spans="4:4" ht="20.25" customHeight="1">
      <c r="D46" s="13" t="s">
        <v>80</v>
      </c>
    </row>
    <row r="47" spans="4:4" ht="20.25" customHeight="1">
      <c r="D47" s="15" t="s">
        <v>129</v>
      </c>
    </row>
    <row r="48" spans="4:4" ht="20.25" customHeight="1">
      <c r="D48" s="13" t="s">
        <v>113</v>
      </c>
    </row>
    <row r="49" spans="4:4" ht="20.25" customHeight="1">
      <c r="D49" s="13" t="s">
        <v>114</v>
      </c>
    </row>
    <row r="50" spans="4:4" ht="20.25" customHeight="1">
      <c r="D50" s="13" t="s">
        <v>115</v>
      </c>
    </row>
    <row r="51" spans="4:4" ht="20.25" customHeight="1">
      <c r="D51" s="13" t="s">
        <v>130</v>
      </c>
    </row>
    <row r="52" spans="4:4" ht="20.25" customHeight="1">
      <c r="D52" s="13" t="s">
        <v>120</v>
      </c>
    </row>
    <row r="53" spans="4:4" ht="20.25" customHeight="1">
      <c r="D53" s="13" t="s">
        <v>121</v>
      </c>
    </row>
    <row r="54" spans="4:4" ht="20.25" customHeight="1">
      <c r="D54" s="13" t="s">
        <v>84</v>
      </c>
    </row>
    <row r="55" spans="4:4" ht="20.25" customHeight="1">
      <c r="D55" s="15" t="s">
        <v>131</v>
      </c>
    </row>
    <row r="56" spans="4:4" ht="20.25" customHeight="1">
      <c r="D56" s="13" t="s">
        <v>132</v>
      </c>
    </row>
    <row r="57" spans="4:4" ht="20.25" customHeight="1">
      <c r="D57" s="13" t="s">
        <v>133</v>
      </c>
    </row>
    <row r="58" spans="4:4" ht="20.25" customHeight="1">
      <c r="D58" s="13" t="s">
        <v>134</v>
      </c>
    </row>
    <row r="59" spans="4:4" ht="20.25" customHeight="1">
      <c r="D59" s="13" t="s">
        <v>135</v>
      </c>
    </row>
    <row r="60" spans="4:4" ht="20.25" customHeight="1">
      <c r="D60" s="13" t="s">
        <v>136</v>
      </c>
    </row>
    <row r="61" spans="4:4" ht="20.25" customHeight="1">
      <c r="D61" s="13" t="s">
        <v>137</v>
      </c>
    </row>
    <row r="62" spans="4:4" ht="20.25" customHeight="1">
      <c r="D62" s="13" t="s">
        <v>138</v>
      </c>
    </row>
    <row r="63" spans="4:4" ht="20.25" customHeight="1">
      <c r="D63" s="13" t="s">
        <v>139</v>
      </c>
    </row>
    <row r="64" spans="4:4" ht="20.25" customHeight="1">
      <c r="D64" s="13" t="s">
        <v>140</v>
      </c>
    </row>
    <row r="65" spans="4:4" ht="20.25" customHeight="1">
      <c r="D65" s="13" t="s">
        <v>141</v>
      </c>
    </row>
    <row r="66" spans="4:4" ht="20.25" customHeight="1">
      <c r="D66" s="13" t="s">
        <v>142</v>
      </c>
    </row>
    <row r="67" spans="4:4" ht="20.25" customHeight="1">
      <c r="D67" s="13" t="s">
        <v>121</v>
      </c>
    </row>
    <row r="68" spans="4:4" ht="20.25" customHeight="1">
      <c r="D68" s="13" t="s">
        <v>80</v>
      </c>
    </row>
    <row r="69" spans="4:4" ht="20.25" customHeight="1">
      <c r="D69" s="15" t="s">
        <v>143</v>
      </c>
    </row>
    <row r="70" spans="4:4" ht="20.25" customHeight="1">
      <c r="D70" s="13" t="s">
        <v>144</v>
      </c>
    </row>
    <row r="71" spans="4:4" ht="20.25" customHeight="1">
      <c r="D71" s="13" t="s">
        <v>145</v>
      </c>
    </row>
    <row r="72" spans="4:4" ht="20.25" customHeight="1">
      <c r="D72" s="13" t="s">
        <v>146</v>
      </c>
    </row>
    <row r="73" spans="4:4" ht="20.25" customHeight="1">
      <c r="D73" s="13" t="s">
        <v>147</v>
      </c>
    </row>
    <row r="74" spans="4:4" ht="20.25" customHeight="1">
      <c r="D74" s="13" t="s">
        <v>148</v>
      </c>
    </row>
    <row r="75" spans="4:4" ht="20.25" customHeight="1">
      <c r="D75" s="13" t="s">
        <v>127</v>
      </c>
    </row>
    <row r="76" spans="4:4" ht="20.25" customHeight="1">
      <c r="D76" s="13" t="s">
        <v>128</v>
      </c>
    </row>
    <row r="77" spans="4:4" ht="20.25" customHeight="1">
      <c r="D77" s="13" t="s">
        <v>80</v>
      </c>
    </row>
  </sheetData>
  <conditionalFormatting sqref="D29:D38 D56:D68 D48:D54 D40:D46 D4:D27 D70:D77">
    <cfRule type="expression" dxfId="74" priority="26">
      <formula>AND(COUNTA($B4:$M4)&gt;0,$K4="DELAYED;")</formula>
    </cfRule>
    <cfRule type="expression" dxfId="73" priority="27">
      <formula>AND(COUNTA($B4:$M4)&gt;0,$K4="TO BE ACTIONED TODAY")</formula>
    </cfRule>
    <cfRule type="expression" dxfId="72" priority="28">
      <formula>AND(COUNTA($B4:$M4)&gt;0,$K4="ACTION DUE WITHIN 2DAYS")</formula>
    </cfRule>
    <cfRule type="expression" dxfId="71" priority="29">
      <formula>AND(COUNTA($B4:$M4)&gt;0,$K4="COMPLETED")</formula>
    </cfRule>
    <cfRule type="expression" dxfId="70" priority="30">
      <formula>AND(COUNTA($B4:$M4)&gt;0,$K4="ON TRACK")</formula>
    </cfRule>
  </conditionalFormatting>
  <conditionalFormatting sqref="D28">
    <cfRule type="expression" dxfId="69" priority="21">
      <formula>AND(COUNTA($B28:$M28)&gt;0,$K28="DELAYED;")</formula>
    </cfRule>
    <cfRule type="expression" dxfId="68" priority="22">
      <formula>AND(COUNTA($B28:$M28)&gt;0,$K28="TO BE ACTIONED TODAY")</formula>
    </cfRule>
    <cfRule type="expression" dxfId="67" priority="23">
      <formula>AND(COUNTA($B28:$M28)&gt;0,$K28="ACTION DUE WITHIN 2DAYS")</formula>
    </cfRule>
    <cfRule type="expression" dxfId="66" priority="24">
      <formula>AND(COUNTA($B28:$M28)&gt;0,$K28="COMPLETED")</formula>
    </cfRule>
    <cfRule type="expression" dxfId="65" priority="25">
      <formula>AND(COUNTA($B28:$M28)&gt;0,$K28="ON TRACK")</formula>
    </cfRule>
  </conditionalFormatting>
  <conditionalFormatting sqref="D55">
    <cfRule type="expression" dxfId="64" priority="16">
      <formula>AND(COUNTA($B55:$M55)&gt;0,$K55="DELAYED;")</formula>
    </cfRule>
    <cfRule type="expression" dxfId="63" priority="17">
      <formula>AND(COUNTA($B55:$M55)&gt;0,$K55="TO BE ACTIONED TODAY")</formula>
    </cfRule>
    <cfRule type="expression" dxfId="62" priority="18">
      <formula>AND(COUNTA($B55:$M55)&gt;0,$K55="ACTION DUE WITHIN 2DAYS")</formula>
    </cfRule>
    <cfRule type="expression" dxfId="61" priority="19">
      <formula>AND(COUNTA($B55:$M55)&gt;0,$K55="COMPLETED")</formula>
    </cfRule>
    <cfRule type="expression" dxfId="60" priority="20">
      <formula>AND(COUNTA($B55:$M55)&gt;0,$K55="ON TRACK")</formula>
    </cfRule>
  </conditionalFormatting>
  <conditionalFormatting sqref="D69">
    <cfRule type="expression" dxfId="59" priority="11">
      <formula>AND(COUNTA($B69:$M69)&gt;0,$K69="DELAYED;")</formula>
    </cfRule>
    <cfRule type="expression" dxfId="58" priority="12">
      <formula>AND(COUNTA($B69:$M69)&gt;0,$K69="TO BE ACTIONED TODAY")</formula>
    </cfRule>
    <cfRule type="expression" dxfId="57" priority="13">
      <formula>AND(COUNTA($B69:$M69)&gt;0,$K69="ACTION DUE WITHIN 2DAYS")</formula>
    </cfRule>
    <cfRule type="expression" dxfId="56" priority="14">
      <formula>AND(COUNTA($B69:$M69)&gt;0,$K69="COMPLETED")</formula>
    </cfRule>
    <cfRule type="expression" dxfId="55" priority="15">
      <formula>AND(COUNTA($B69:$M69)&gt;0,$K69="ON TRACK")</formula>
    </cfRule>
  </conditionalFormatting>
  <conditionalFormatting sqref="D47">
    <cfRule type="expression" dxfId="54" priority="6">
      <formula>AND(COUNTA($B47:$M47)&gt;0,$K47="DELAYED;")</formula>
    </cfRule>
    <cfRule type="expression" dxfId="53" priority="7">
      <formula>AND(COUNTA($B47:$M47)&gt;0,$K47="TO BE ACTIONED TODAY")</formula>
    </cfRule>
    <cfRule type="expression" dxfId="52" priority="8">
      <formula>AND(COUNTA($B47:$M47)&gt;0,$K47="ACTION DUE WITHIN 2DAYS")</formula>
    </cfRule>
    <cfRule type="expression" dxfId="51" priority="9">
      <formula>AND(COUNTA($B47:$M47)&gt;0,$K47="COMPLETED")</formula>
    </cfRule>
    <cfRule type="expression" dxfId="50" priority="10">
      <formula>AND(COUNTA($B47:$M47)&gt;0,$K47="ON TRACK")</formula>
    </cfRule>
  </conditionalFormatting>
  <conditionalFormatting sqref="D39">
    <cfRule type="expression" dxfId="49" priority="1">
      <formula>AND(COUNTA($B39:$M39)&gt;0,$K39="DELAYED;")</formula>
    </cfRule>
    <cfRule type="expression" dxfId="48" priority="2">
      <formula>AND(COUNTA($B39:$M39)&gt;0,$K39="TO BE ACTIONED TODAY")</formula>
    </cfRule>
    <cfRule type="expression" dxfId="47" priority="3">
      <formula>AND(COUNTA($B39:$M39)&gt;0,$K39="ACTION DUE WITHIN 2DAYS")</formula>
    </cfRule>
    <cfRule type="expression" dxfId="46" priority="4">
      <formula>AND(COUNTA($B39:$M39)&gt;0,$K39="COMPLETED")</formula>
    </cfRule>
    <cfRule type="expression" dxfId="45" priority="5">
      <formula>AND(COUNTA($B39:$M39)&gt;0,$K39="ON TRACK")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A823-3430-49D6-9B60-5930570C44C0}">
  <dimension ref="F5:F37"/>
  <sheetViews>
    <sheetView workbookViewId="0">
      <selection activeCell="E17" sqref="E17"/>
    </sheetView>
  </sheetViews>
  <sheetFormatPr defaultRowHeight="20.25" customHeight="1"/>
  <cols>
    <col min="6" max="6" width="112.7109375" bestFit="1" customWidth="1"/>
  </cols>
  <sheetData>
    <row r="5" spans="6:6" ht="20.25" customHeight="1">
      <c r="F5" s="6" t="s">
        <v>149</v>
      </c>
    </row>
    <row r="6" spans="6:6" ht="20.25" customHeight="1">
      <c r="F6" s="13" t="s">
        <v>150</v>
      </c>
    </row>
    <row r="7" spans="6:6" ht="20.25" customHeight="1">
      <c r="F7" s="13" t="s">
        <v>151</v>
      </c>
    </row>
    <row r="8" spans="6:6" ht="20.25" customHeight="1">
      <c r="F8" s="13" t="s">
        <v>152</v>
      </c>
    </row>
    <row r="9" spans="6:6" ht="20.25" customHeight="1">
      <c r="F9" s="13" t="s">
        <v>153</v>
      </c>
    </row>
    <row r="10" spans="6:6" ht="20.25" customHeight="1">
      <c r="F10" s="13" t="s">
        <v>154</v>
      </c>
    </row>
    <row r="11" spans="6:6" ht="20.25" customHeight="1">
      <c r="F11" s="13" t="s">
        <v>155</v>
      </c>
    </row>
    <row r="12" spans="6:6" ht="20.25" customHeight="1">
      <c r="F12" s="13" t="s">
        <v>156</v>
      </c>
    </row>
    <row r="13" spans="6:6" ht="20.25" customHeight="1">
      <c r="F13" s="13" t="s">
        <v>157</v>
      </c>
    </row>
    <row r="14" spans="6:6" ht="20.25" customHeight="1">
      <c r="F14" s="13" t="s">
        <v>158</v>
      </c>
    </row>
    <row r="15" spans="6:6" ht="20.25" customHeight="1">
      <c r="F15" s="13" t="s">
        <v>159</v>
      </c>
    </row>
    <row r="16" spans="6:6" ht="20.25" customHeight="1">
      <c r="F16" s="13" t="s">
        <v>160</v>
      </c>
    </row>
    <row r="17" spans="6:6" ht="20.25" customHeight="1">
      <c r="F17" s="13" t="s">
        <v>161</v>
      </c>
    </row>
    <row r="18" spans="6:6" ht="20.25" customHeight="1">
      <c r="F18" s="13" t="s">
        <v>162</v>
      </c>
    </row>
    <row r="19" spans="6:6" ht="20.25" customHeight="1">
      <c r="F19" s="13" t="s">
        <v>163</v>
      </c>
    </row>
    <row r="20" spans="6:6" ht="20.25" customHeight="1">
      <c r="F20" s="13" t="s">
        <v>164</v>
      </c>
    </row>
    <row r="21" spans="6:6" ht="20.25" customHeight="1">
      <c r="F21" s="13" t="s">
        <v>165</v>
      </c>
    </row>
    <row r="22" spans="6:6" ht="20.25" customHeight="1">
      <c r="F22" s="13" t="s">
        <v>166</v>
      </c>
    </row>
    <row r="23" spans="6:6" ht="20.25" customHeight="1">
      <c r="F23" s="13" t="s">
        <v>167</v>
      </c>
    </row>
    <row r="24" spans="6:6" ht="20.25" customHeight="1">
      <c r="F24" s="6" t="s">
        <v>168</v>
      </c>
    </row>
    <row r="25" spans="6:6" ht="20.25" customHeight="1">
      <c r="F25" s="13" t="s">
        <v>169</v>
      </c>
    </row>
    <row r="26" spans="6:6" ht="20.25" customHeight="1">
      <c r="F26" s="13" t="s">
        <v>170</v>
      </c>
    </row>
    <row r="27" spans="6:6" ht="20.25" customHeight="1">
      <c r="F27" s="13" t="s">
        <v>171</v>
      </c>
    </row>
    <row r="28" spans="6:6" ht="20.25" customHeight="1">
      <c r="F28" s="13" t="s">
        <v>172</v>
      </c>
    </row>
    <row r="29" spans="6:6" ht="20.25" customHeight="1">
      <c r="F29" s="13" t="s">
        <v>165</v>
      </c>
    </row>
    <row r="30" spans="6:6" ht="20.25" customHeight="1">
      <c r="F30" s="13" t="s">
        <v>166</v>
      </c>
    </row>
    <row r="31" spans="6:6" ht="20.25" customHeight="1">
      <c r="F31" s="13" t="s">
        <v>167</v>
      </c>
    </row>
    <row r="32" spans="6:6" ht="20.25" customHeight="1">
      <c r="F32" s="6" t="s">
        <v>173</v>
      </c>
    </row>
    <row r="33" spans="6:6" ht="20.25" customHeight="1">
      <c r="F33" s="13" t="s">
        <v>174</v>
      </c>
    </row>
    <row r="34" spans="6:6" ht="20.25" customHeight="1">
      <c r="F34" s="13" t="s">
        <v>175</v>
      </c>
    </row>
    <row r="35" spans="6:6" ht="20.25" customHeight="1">
      <c r="F35" s="13" t="s">
        <v>165</v>
      </c>
    </row>
    <row r="36" spans="6:6" ht="20.25" customHeight="1">
      <c r="F36" s="13" t="s">
        <v>166</v>
      </c>
    </row>
    <row r="37" spans="6:6" ht="20.25" customHeight="1">
      <c r="F37" s="13" t="s">
        <v>167</v>
      </c>
    </row>
  </sheetData>
  <conditionalFormatting sqref="F5:F37">
    <cfRule type="expression" dxfId="44" priority="1">
      <formula>AND(COUNTA($B5:$M5)&gt;0,$K5="DELAYED;")</formula>
    </cfRule>
    <cfRule type="expression" dxfId="43" priority="2">
      <formula>AND(COUNTA($B5:$M5)&gt;0,$K5="TO BE ACTIONED TODAY")</formula>
    </cfRule>
    <cfRule type="expression" dxfId="42" priority="3">
      <formula>AND(COUNTA($B5:$M5)&gt;0,$K5="ACTION DUE WITHIN 2DAYS")</formula>
    </cfRule>
    <cfRule type="expression" dxfId="41" priority="4">
      <formula>AND(COUNTA($B5:$M5)&gt;0,$K5="COMPLETED")</formula>
    </cfRule>
    <cfRule type="expression" dxfId="40" priority="5">
      <formula>AND(COUNTA($B5:$M5)&gt;0,$K5="ON TRACK")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0467-6148-4430-8759-E6FF7D3E7E71}">
  <dimension ref="D5:J39"/>
  <sheetViews>
    <sheetView topLeftCell="A28" workbookViewId="0">
      <selection activeCell="J16" sqref="J16"/>
    </sheetView>
  </sheetViews>
  <sheetFormatPr defaultRowHeight="20.25" customHeight="1"/>
  <cols>
    <col min="4" max="4" width="112.7109375" bestFit="1" customWidth="1"/>
  </cols>
  <sheetData>
    <row r="5" spans="4:10" ht="20.25" customHeight="1">
      <c r="D5" s="6" t="s">
        <v>149</v>
      </c>
    </row>
    <row r="6" spans="4:10" ht="20.25" customHeight="1">
      <c r="D6" s="13" t="s">
        <v>176</v>
      </c>
    </row>
    <row r="7" spans="4:10" ht="20.25" customHeight="1">
      <c r="D7" s="13" t="s">
        <v>177</v>
      </c>
    </row>
    <row r="8" spans="4:10" ht="20.25" customHeight="1">
      <c r="D8" s="13" t="s">
        <v>178</v>
      </c>
    </row>
    <row r="9" spans="4:10" ht="20.25" customHeight="1">
      <c r="D9" s="13" t="s">
        <v>154</v>
      </c>
    </row>
    <row r="10" spans="4:10" ht="20.25" customHeight="1">
      <c r="D10" s="13" t="s">
        <v>155</v>
      </c>
    </row>
    <row r="11" spans="4:10" ht="20.25" customHeight="1">
      <c r="D11" s="13" t="s">
        <v>179</v>
      </c>
    </row>
    <row r="12" spans="4:10" ht="20.25" customHeight="1">
      <c r="D12" s="13" t="s">
        <v>73</v>
      </c>
    </row>
    <row r="13" spans="4:10" ht="20.25" customHeight="1">
      <c r="D13" s="13" t="s">
        <v>157</v>
      </c>
    </row>
    <row r="14" spans="4:10" ht="20.25" customHeight="1">
      <c r="D14" s="13" t="s">
        <v>158</v>
      </c>
    </row>
    <row r="15" spans="4:10" ht="20.25" customHeight="1">
      <c r="D15" s="13" t="s">
        <v>159</v>
      </c>
    </row>
    <row r="16" spans="4:10" ht="20.25" customHeight="1">
      <c r="D16" s="13" t="s">
        <v>160</v>
      </c>
      <c r="J16" t="s">
        <v>180</v>
      </c>
    </row>
    <row r="17" spans="4:4" ht="20.25" customHeight="1">
      <c r="D17" s="13" t="s">
        <v>161</v>
      </c>
    </row>
    <row r="18" spans="4:4" ht="20.25" customHeight="1">
      <c r="D18" s="13" t="s">
        <v>162</v>
      </c>
    </row>
    <row r="19" spans="4:4" ht="20.25" customHeight="1">
      <c r="D19" s="13" t="s">
        <v>163</v>
      </c>
    </row>
    <row r="20" spans="4:4" ht="20.25" customHeight="1">
      <c r="D20" s="13" t="s">
        <v>181</v>
      </c>
    </row>
    <row r="21" spans="4:4" ht="20.25" customHeight="1">
      <c r="D21" s="13" t="s">
        <v>182</v>
      </c>
    </row>
    <row r="22" spans="4:4" ht="20.25" customHeight="1">
      <c r="D22" s="13" t="s">
        <v>183</v>
      </c>
    </row>
    <row r="23" spans="4:4" ht="20.25" customHeight="1">
      <c r="D23" s="13" t="s">
        <v>167</v>
      </c>
    </row>
    <row r="24" spans="4:4" ht="20.25" customHeight="1">
      <c r="D24" s="6" t="s">
        <v>168</v>
      </c>
    </row>
    <row r="25" spans="4:4" ht="20.25" customHeight="1">
      <c r="D25" s="13" t="s">
        <v>184</v>
      </c>
    </row>
    <row r="26" spans="4:4" ht="20.25" customHeight="1">
      <c r="D26" s="13" t="s">
        <v>170</v>
      </c>
    </row>
    <row r="27" spans="4:4" ht="20.25" customHeight="1">
      <c r="D27" s="13" t="s">
        <v>185</v>
      </c>
    </row>
    <row r="28" spans="4:4" ht="20.25" customHeight="1">
      <c r="D28" s="13" t="s">
        <v>171</v>
      </c>
    </row>
    <row r="29" spans="4:4" ht="20.25" customHeight="1">
      <c r="D29" s="13" t="s">
        <v>186</v>
      </c>
    </row>
    <row r="30" spans="4:4" ht="20.25" customHeight="1">
      <c r="D30" s="13" t="s">
        <v>187</v>
      </c>
    </row>
    <row r="31" spans="4:4" ht="20.25" customHeight="1">
      <c r="D31" s="13" t="s">
        <v>182</v>
      </c>
    </row>
    <row r="32" spans="4:4" ht="20.25" customHeight="1">
      <c r="D32" s="13" t="s">
        <v>183</v>
      </c>
    </row>
    <row r="33" spans="4:4" ht="20.25" customHeight="1">
      <c r="D33" s="13" t="s">
        <v>167</v>
      </c>
    </row>
    <row r="34" spans="4:4" ht="20.25" customHeight="1">
      <c r="D34" s="6" t="s">
        <v>173</v>
      </c>
    </row>
    <row r="35" spans="4:4" ht="20.25" customHeight="1">
      <c r="D35" s="13" t="s">
        <v>188</v>
      </c>
    </row>
    <row r="36" spans="4:4" ht="20.25" customHeight="1">
      <c r="D36" s="13" t="s">
        <v>175</v>
      </c>
    </row>
    <row r="37" spans="4:4" ht="20.25" customHeight="1">
      <c r="D37" s="13" t="s">
        <v>182</v>
      </c>
    </row>
    <row r="38" spans="4:4" ht="20.25" customHeight="1">
      <c r="D38" s="13" t="s">
        <v>183</v>
      </c>
    </row>
    <row r="39" spans="4:4" ht="20.25" customHeight="1">
      <c r="D39" s="13" t="s">
        <v>167</v>
      </c>
    </row>
  </sheetData>
  <conditionalFormatting sqref="D5:D39">
    <cfRule type="expression" dxfId="39" priority="1">
      <formula>AND(COUNTA($B5:$M5)&gt;0,$K5="DELAYED;")</formula>
    </cfRule>
    <cfRule type="expression" dxfId="38" priority="2">
      <formula>AND(COUNTA($B5:$M5)&gt;0,$K5="TO BE ACTIONED TODAY")</formula>
    </cfRule>
    <cfRule type="expression" dxfId="37" priority="3">
      <formula>AND(COUNTA($B5:$M5)&gt;0,$K5="ACTION DUE WITHIN 2DAYS")</formula>
    </cfRule>
    <cfRule type="expression" dxfId="36" priority="4">
      <formula>AND(COUNTA($B5:$M5)&gt;0,$K5="COMPLETED")</formula>
    </cfRule>
    <cfRule type="expression" dxfId="35" priority="5">
      <formula>AND(COUNTA($B5:$M5)&gt;0,$K5="ON TRACK")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5F64-3443-43F4-9D50-F77B69510EAE}">
  <dimension ref="B4:E8"/>
  <sheetViews>
    <sheetView workbookViewId="0">
      <selection activeCell="D16" sqref="D16"/>
    </sheetView>
  </sheetViews>
  <sheetFormatPr defaultRowHeight="20.25" customHeight="1"/>
  <cols>
    <col min="2" max="2" width="20" bestFit="1" customWidth="1"/>
    <col min="3" max="3" width="94.42578125" customWidth="1"/>
  </cols>
  <sheetData>
    <row r="4" spans="2:5" ht="20.25" customHeight="1">
      <c r="C4" s="2" t="s">
        <v>189</v>
      </c>
      <c r="D4" s="4"/>
      <c r="E4" t="s">
        <v>190</v>
      </c>
    </row>
    <row r="5" spans="2:5" ht="20.25" customHeight="1">
      <c r="C5" s="2" t="s">
        <v>191</v>
      </c>
      <c r="D5" s="4"/>
    </row>
    <row r="6" spans="2:5" ht="20.25" customHeight="1">
      <c r="C6" s="2" t="s">
        <v>192</v>
      </c>
      <c r="D6" s="4"/>
    </row>
    <row r="7" spans="2:5" ht="20.25" customHeight="1">
      <c r="C7" s="2" t="s">
        <v>193</v>
      </c>
      <c r="D7" s="4"/>
    </row>
    <row r="8" spans="2:5" ht="20.25" customHeight="1">
      <c r="B8" s="12" t="s">
        <v>194</v>
      </c>
      <c r="C8" s="2" t="s">
        <v>195</v>
      </c>
      <c r="D8" s="4"/>
    </row>
  </sheetData>
  <conditionalFormatting sqref="C4:D8">
    <cfRule type="expression" dxfId="34" priority="1">
      <formula>AND(COUNTA($B4:$N4)&gt;0,$L4="DELAYED;")</formula>
    </cfRule>
    <cfRule type="expression" dxfId="33" priority="2">
      <formula>AND(COUNTA($B4:$N4)&gt;0,$L4="TO BE ACTIONED TODAY")</formula>
    </cfRule>
    <cfRule type="expression" dxfId="32" priority="3">
      <formula>AND(COUNTA($B4:$N4)&gt;0,$L4="ACTION DUE WITHIN 2DAYS")</formula>
    </cfRule>
    <cfRule type="expression" dxfId="31" priority="4">
      <formula>AND(COUNTA($B4:$N4)&gt;0,$L4="COMPLETED")</formula>
    </cfRule>
    <cfRule type="expression" dxfId="30" priority="5">
      <formula>AND(COUNTA($B4:$N4)&gt;0,$L4="ON TRACK")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0EA8-651F-4549-A1DA-6CB4DC08E80C}">
  <dimension ref="D3:E11"/>
  <sheetViews>
    <sheetView workbookViewId="0">
      <selection activeCell="D3" sqref="D3"/>
    </sheetView>
  </sheetViews>
  <sheetFormatPr defaultRowHeight="20.25" customHeight="1"/>
  <cols>
    <col min="4" max="4" width="127.28515625" customWidth="1"/>
  </cols>
  <sheetData>
    <row r="3" spans="4:5" ht="20.25" customHeight="1">
      <c r="E3" t="s">
        <v>196</v>
      </c>
    </row>
    <row r="4" spans="4:5" ht="20.25" customHeight="1">
      <c r="D4" s="3" t="s">
        <v>197</v>
      </c>
    </row>
    <row r="5" spans="4:5" ht="20.25" customHeight="1">
      <c r="D5" s="2" t="s">
        <v>198</v>
      </c>
    </row>
    <row r="6" spans="4:5" ht="20.25" customHeight="1">
      <c r="D6" s="2" t="s">
        <v>199</v>
      </c>
    </row>
    <row r="7" spans="4:5" ht="20.25" customHeight="1">
      <c r="D7" s="2"/>
    </row>
    <row r="8" spans="4:5" ht="20.25" customHeight="1">
      <c r="D8" s="2"/>
    </row>
    <row r="9" spans="4:5" ht="20.25" customHeight="1">
      <c r="D9" s="2"/>
    </row>
    <row r="10" spans="4:5" ht="20.25" customHeight="1">
      <c r="D10" s="2"/>
    </row>
    <row r="11" spans="4:5" ht="20.25" customHeight="1">
      <c r="D11" s="2"/>
    </row>
  </sheetData>
  <conditionalFormatting sqref="D5:D11">
    <cfRule type="expression" dxfId="29" priority="1">
      <formula>AND(COUNTA($B5:$M5)&gt;0,$K5="DELAYED;")</formula>
    </cfRule>
    <cfRule type="expression" dxfId="28" priority="2">
      <formula>AND(COUNTA($B5:$M5)&gt;0,$K5="TO BE ACTIONED TODAY")</formula>
    </cfRule>
    <cfRule type="expression" dxfId="27" priority="3">
      <formula>AND(COUNTA($B5:$M5)&gt;0,$K5="ACTION DUE WITHIN 2DAYS")</formula>
    </cfRule>
    <cfRule type="expression" dxfId="26" priority="4">
      <formula>AND(COUNTA($B5:$M5)&gt;0,$K5="COMPLETED")</formula>
    </cfRule>
    <cfRule type="expression" dxfId="25" priority="5">
      <formula>AND(COUNTA($B5:$M5)&gt;0,$K5="ON TRACK")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B98E-3D29-4980-B7B0-4DB47BA241C2}">
  <dimension ref="D4:H38"/>
  <sheetViews>
    <sheetView workbookViewId="0">
      <selection activeCell="E6" sqref="E6"/>
    </sheetView>
  </sheetViews>
  <sheetFormatPr defaultRowHeight="20.25" customHeight="1"/>
  <cols>
    <col min="4" max="4" width="225" bestFit="1" customWidth="1"/>
  </cols>
  <sheetData>
    <row r="4" spans="4:5" ht="20.25" customHeight="1">
      <c r="D4" s="6" t="s">
        <v>200</v>
      </c>
      <c r="E4" t="s">
        <v>1</v>
      </c>
    </row>
    <row r="5" spans="4:5" ht="20.25" customHeight="1">
      <c r="D5" s="7" t="s">
        <v>201</v>
      </c>
      <c r="E5" t="s">
        <v>1</v>
      </c>
    </row>
    <row r="6" spans="4:5" ht="20.25" customHeight="1">
      <c r="D6" s="8" t="s">
        <v>202</v>
      </c>
    </row>
    <row r="7" spans="4:5" ht="20.25" customHeight="1">
      <c r="D7" s="9" t="s">
        <v>203</v>
      </c>
    </row>
    <row r="8" spans="4:5" ht="20.25" customHeight="1">
      <c r="D8" s="9" t="s">
        <v>204</v>
      </c>
    </row>
    <row r="9" spans="4:5" ht="20.25" customHeight="1">
      <c r="D9" s="9" t="s">
        <v>205</v>
      </c>
    </row>
    <row r="10" spans="4:5" ht="20.25" customHeight="1">
      <c r="D10" s="9" t="s">
        <v>206</v>
      </c>
    </row>
    <row r="11" spans="4:5" ht="20.25" customHeight="1">
      <c r="D11" s="8" t="s">
        <v>207</v>
      </c>
    </row>
    <row r="12" spans="4:5" ht="20.25" customHeight="1">
      <c r="D12" s="9" t="s">
        <v>208</v>
      </c>
    </row>
    <row r="13" spans="4:5" ht="20.25" customHeight="1">
      <c r="D13" s="9" t="s">
        <v>209</v>
      </c>
    </row>
    <row r="14" spans="4:5" ht="20.25" customHeight="1">
      <c r="D14" s="9" t="s">
        <v>210</v>
      </c>
    </row>
    <row r="15" spans="4:5" ht="20.25" customHeight="1">
      <c r="D15" s="10" t="s">
        <v>211</v>
      </c>
    </row>
    <row r="16" spans="4:5" ht="20.25" customHeight="1">
      <c r="D16" s="10" t="s">
        <v>212</v>
      </c>
    </row>
    <row r="17" spans="4:8" ht="20.25" customHeight="1">
      <c r="D17" s="10" t="s">
        <v>213</v>
      </c>
      <c r="H17" s="1"/>
    </row>
    <row r="18" spans="4:8" ht="20.25" customHeight="1">
      <c r="D18" s="10" t="s">
        <v>214</v>
      </c>
    </row>
    <row r="19" spans="4:8" ht="20.25" customHeight="1">
      <c r="D19" s="8" t="s">
        <v>215</v>
      </c>
    </row>
    <row r="20" spans="4:8" ht="20.25" customHeight="1">
      <c r="D20" s="9" t="s">
        <v>216</v>
      </c>
    </row>
    <row r="21" spans="4:8" ht="20.25" customHeight="1">
      <c r="D21" s="9" t="s">
        <v>217</v>
      </c>
    </row>
    <row r="22" spans="4:8" ht="20.25" customHeight="1">
      <c r="D22" s="9" t="s">
        <v>205</v>
      </c>
    </row>
    <row r="23" spans="4:8" ht="20.25" customHeight="1">
      <c r="D23" s="9" t="s">
        <v>206</v>
      </c>
    </row>
    <row r="24" spans="4:8" ht="20.25" customHeight="1">
      <c r="D24" s="9" t="s">
        <v>218</v>
      </c>
    </row>
    <row r="25" spans="4:8" ht="20.25" customHeight="1">
      <c r="D25" s="9" t="s">
        <v>219</v>
      </c>
    </row>
    <row r="26" spans="4:8" ht="20.25" customHeight="1">
      <c r="D26" s="9" t="s">
        <v>205</v>
      </c>
    </row>
    <row r="27" spans="4:8" ht="20.25" customHeight="1">
      <c r="D27" s="9" t="s">
        <v>206</v>
      </c>
    </row>
    <row r="28" spans="4:8" ht="20.25" customHeight="1">
      <c r="D28" s="9" t="s">
        <v>220</v>
      </c>
    </row>
    <row r="29" spans="4:8" ht="20.25" customHeight="1">
      <c r="D29" s="9" t="s">
        <v>221</v>
      </c>
    </row>
    <row r="30" spans="4:8" ht="20.25" customHeight="1">
      <c r="D30" s="9" t="s">
        <v>205</v>
      </c>
    </row>
    <row r="31" spans="4:8" ht="20.25" customHeight="1">
      <c r="D31" s="9" t="s">
        <v>206</v>
      </c>
    </row>
    <row r="32" spans="4:8" ht="20.25" customHeight="1">
      <c r="D32" s="9" t="s">
        <v>222</v>
      </c>
    </row>
    <row r="33" spans="4:4" ht="20.25" customHeight="1">
      <c r="D33" s="9" t="s">
        <v>223</v>
      </c>
    </row>
    <row r="34" spans="4:4" ht="20.25" customHeight="1">
      <c r="D34" s="9" t="s">
        <v>205</v>
      </c>
    </row>
    <row r="35" spans="4:4" ht="20.25" customHeight="1">
      <c r="D35" s="9" t="s">
        <v>224</v>
      </c>
    </row>
    <row r="36" spans="4:4" ht="20.25" customHeight="1">
      <c r="D36" s="9" t="s">
        <v>223</v>
      </c>
    </row>
    <row r="37" spans="4:4" ht="20.25" customHeight="1">
      <c r="D37" s="9" t="s">
        <v>205</v>
      </c>
    </row>
    <row r="38" spans="4:4" ht="20.25" customHeight="1">
      <c r="D38" s="9" t="s">
        <v>206</v>
      </c>
    </row>
  </sheetData>
  <conditionalFormatting sqref="H17">
    <cfRule type="expression" dxfId="24" priority="6">
      <formula>AND(COUNTA($B17:$M17)&gt;0,$K17="DELAYED;")</formula>
    </cfRule>
    <cfRule type="expression" dxfId="23" priority="7">
      <formula>AND(COUNTA($B17:$M17)&gt;0,$K17="TO BE ACTIONED TODAY")</formula>
    </cfRule>
    <cfRule type="expression" dxfId="22" priority="8">
      <formula>AND(COUNTA($B17:$M17)&gt;0,$K17="ACTION DUE WITHIN 2DAYS")</formula>
    </cfRule>
    <cfRule type="expression" dxfId="21" priority="9">
      <formula>AND(COUNTA($B17:$M17)&gt;0,$K17="COMPLETED")</formula>
    </cfRule>
    <cfRule type="expression" dxfId="20" priority="10">
      <formula>AND(COUNTA($B17:$M17)&gt;0,$K17="ON TRACK")</formula>
    </cfRule>
  </conditionalFormatting>
  <conditionalFormatting sqref="D4:D38">
    <cfRule type="expression" dxfId="19" priority="1">
      <formula>AND(COUNTA($B4:$M4)&gt;0,$K4="DELAYED;")</formula>
    </cfRule>
    <cfRule type="expression" dxfId="18" priority="2">
      <formula>AND(COUNTA($B4:$M4)&gt;0,$K4="TO BE ACTIONED TODAY")</formula>
    </cfRule>
    <cfRule type="expression" dxfId="17" priority="3">
      <formula>AND(COUNTA($B4:$M4)&gt;0,$K4="ACTION DUE WITHIN 2DAYS")</formula>
    </cfRule>
    <cfRule type="expression" dxfId="16" priority="4">
      <formula>AND(COUNTA($B4:$M4)&gt;0,$K4="COMPLETED")</formula>
    </cfRule>
    <cfRule type="expression" dxfId="15" priority="5">
      <formula>AND(COUNTA($B4:$M4)&gt;0,$K4="ON TRACK")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F982-14A3-45F1-8F56-10D2CC07DA33}">
  <dimension ref="F4:I65"/>
  <sheetViews>
    <sheetView topLeftCell="A33" workbookViewId="0">
      <selection activeCell="H7" sqref="H7"/>
    </sheetView>
  </sheetViews>
  <sheetFormatPr defaultRowHeight="20.25" customHeight="1"/>
  <cols>
    <col min="6" max="6" width="101.85546875" bestFit="1" customWidth="1"/>
  </cols>
  <sheetData>
    <row r="4" spans="6:9" ht="20.25" customHeight="1">
      <c r="F4" s="6" t="s">
        <v>225</v>
      </c>
    </row>
    <row r="5" spans="6:9" ht="20.25" customHeight="1">
      <c r="F5" s="13" t="s">
        <v>226</v>
      </c>
    </row>
    <row r="6" spans="6:9" ht="20.25" customHeight="1">
      <c r="F6" s="13" t="s">
        <v>227</v>
      </c>
    </row>
    <row r="7" spans="6:9" ht="20.25" customHeight="1">
      <c r="F7" s="18" t="s">
        <v>228</v>
      </c>
      <c r="I7" s="14"/>
    </row>
    <row r="8" spans="6:9" ht="20.25" customHeight="1">
      <c r="F8" s="18" t="s">
        <v>229</v>
      </c>
    </row>
    <row r="9" spans="6:9" ht="20.25" customHeight="1">
      <c r="F9" s="13" t="s">
        <v>230</v>
      </c>
    </row>
    <row r="10" spans="6:9" ht="20.25" customHeight="1">
      <c r="F10" s="13" t="s">
        <v>231</v>
      </c>
    </row>
    <row r="11" spans="6:9" ht="20.25" customHeight="1">
      <c r="F11" s="13" t="s">
        <v>232</v>
      </c>
    </row>
    <row r="12" spans="6:9" ht="20.25" customHeight="1">
      <c r="F12" s="13" t="s">
        <v>233</v>
      </c>
    </row>
    <row r="13" spans="6:9" ht="20.25" customHeight="1">
      <c r="F13" s="13" t="s">
        <v>234</v>
      </c>
    </row>
    <row r="14" spans="6:9" ht="20.25" customHeight="1">
      <c r="F14" s="6" t="s">
        <v>235</v>
      </c>
    </row>
    <row r="15" spans="6:9" ht="20.25" customHeight="1">
      <c r="F15" s="13" t="s">
        <v>236</v>
      </c>
    </row>
    <row r="16" spans="6:9" ht="20.25" customHeight="1">
      <c r="F16" s="13" t="s">
        <v>83</v>
      </c>
    </row>
    <row r="17" spans="6:6" ht="20.25" customHeight="1">
      <c r="F17" s="13" t="s">
        <v>84</v>
      </c>
    </row>
    <row r="18" spans="6:6" ht="20.25" customHeight="1">
      <c r="F18" s="6" t="s">
        <v>237</v>
      </c>
    </row>
    <row r="19" spans="6:6" ht="20.25" customHeight="1">
      <c r="F19" s="13" t="s">
        <v>238</v>
      </c>
    </row>
    <row r="20" spans="6:6" ht="20.25" customHeight="1">
      <c r="F20" s="13" t="s">
        <v>239</v>
      </c>
    </row>
    <row r="21" spans="6:6" ht="20.25" customHeight="1">
      <c r="F21" s="13" t="s">
        <v>240</v>
      </c>
    </row>
    <row r="22" spans="6:6" ht="20.25" customHeight="1">
      <c r="F22" s="13" t="s">
        <v>241</v>
      </c>
    </row>
    <row r="23" spans="6:6" ht="20.25" customHeight="1">
      <c r="F23" s="18" t="s">
        <v>242</v>
      </c>
    </row>
    <row r="24" spans="6:6" ht="20.25" customHeight="1">
      <c r="F24" s="18" t="s">
        <v>229</v>
      </c>
    </row>
    <row r="25" spans="6:6" ht="20.25" customHeight="1">
      <c r="F25" s="13" t="s">
        <v>243</v>
      </c>
    </row>
    <row r="26" spans="6:6" ht="20.25" customHeight="1">
      <c r="F26" s="13" t="s">
        <v>231</v>
      </c>
    </row>
    <row r="27" spans="6:6" ht="20.25" customHeight="1">
      <c r="F27" s="13" t="s">
        <v>232</v>
      </c>
    </row>
    <row r="28" spans="6:6" ht="20.25" customHeight="1">
      <c r="F28" s="13" t="s">
        <v>233</v>
      </c>
    </row>
    <row r="29" spans="6:6" ht="20.25" customHeight="1">
      <c r="F29" s="13" t="s">
        <v>234</v>
      </c>
    </row>
    <row r="30" spans="6:6" ht="20.25" customHeight="1">
      <c r="F30" s="6" t="s">
        <v>244</v>
      </c>
    </row>
    <row r="31" spans="6:6" ht="20.25" customHeight="1">
      <c r="F31" s="13" t="s">
        <v>245</v>
      </c>
    </row>
    <row r="32" spans="6:6" ht="20.25" customHeight="1">
      <c r="F32" s="13" t="s">
        <v>83</v>
      </c>
    </row>
    <row r="33" spans="6:6" ht="20.25" customHeight="1">
      <c r="F33" s="13" t="s">
        <v>84</v>
      </c>
    </row>
    <row r="34" spans="6:6" ht="20.25" customHeight="1">
      <c r="F34" s="6" t="s">
        <v>246</v>
      </c>
    </row>
    <row r="35" spans="6:6" ht="20.25" customHeight="1">
      <c r="F35" s="13" t="s">
        <v>238</v>
      </c>
    </row>
    <row r="36" spans="6:6" ht="20.25" customHeight="1">
      <c r="F36" s="13" t="s">
        <v>239</v>
      </c>
    </row>
    <row r="37" spans="6:6" ht="20.25" customHeight="1">
      <c r="F37" s="13" t="s">
        <v>247</v>
      </c>
    </row>
    <row r="38" spans="6:6" ht="20.25" customHeight="1">
      <c r="F38" s="13" t="s">
        <v>248</v>
      </c>
    </row>
    <row r="39" spans="6:6" ht="20.25" customHeight="1">
      <c r="F39" s="13" t="s">
        <v>249</v>
      </c>
    </row>
    <row r="40" spans="6:6" ht="20.25" customHeight="1">
      <c r="F40" s="13" t="s">
        <v>250</v>
      </c>
    </row>
    <row r="41" spans="6:6" ht="20.25" customHeight="1">
      <c r="F41" s="13" t="s">
        <v>251</v>
      </c>
    </row>
    <row r="42" spans="6:6" ht="20.25" customHeight="1">
      <c r="F42" s="19" t="s">
        <v>252</v>
      </c>
    </row>
    <row r="43" spans="6:6" ht="20.25" customHeight="1">
      <c r="F43" s="18" t="s">
        <v>253</v>
      </c>
    </row>
    <row r="44" spans="6:6" ht="20.25" customHeight="1">
      <c r="F44" s="18" t="s">
        <v>229</v>
      </c>
    </row>
    <row r="45" spans="6:6" ht="20.25" customHeight="1">
      <c r="F45" s="13" t="s">
        <v>243</v>
      </c>
    </row>
    <row r="46" spans="6:6" ht="20.25" customHeight="1">
      <c r="F46" s="13" t="s">
        <v>231</v>
      </c>
    </row>
    <row r="47" spans="6:6" ht="20.25" customHeight="1">
      <c r="F47" s="13" t="s">
        <v>232</v>
      </c>
    </row>
    <row r="48" spans="6:6" ht="20.25" customHeight="1">
      <c r="F48" s="13" t="s">
        <v>233</v>
      </c>
    </row>
    <row r="49" spans="6:6" ht="20.25" customHeight="1">
      <c r="F49" s="13" t="s">
        <v>234</v>
      </c>
    </row>
    <row r="50" spans="6:6" ht="20.25" customHeight="1">
      <c r="F50" s="6" t="s">
        <v>254</v>
      </c>
    </row>
    <row r="51" spans="6:6" ht="20.25" customHeight="1">
      <c r="F51" s="13" t="s">
        <v>255</v>
      </c>
    </row>
    <row r="52" spans="6:6" ht="20.25" customHeight="1">
      <c r="F52" s="13" t="s">
        <v>83</v>
      </c>
    </row>
    <row r="53" spans="6:6" ht="20.25" customHeight="1">
      <c r="F53" s="13" t="s">
        <v>84</v>
      </c>
    </row>
    <row r="54" spans="6:6" ht="20.25" customHeight="1">
      <c r="F54" s="6" t="s">
        <v>256</v>
      </c>
    </row>
    <row r="55" spans="6:6" ht="20.25" customHeight="1">
      <c r="F55" s="13" t="s">
        <v>257</v>
      </c>
    </row>
    <row r="56" spans="6:6" ht="20.25" customHeight="1">
      <c r="F56" s="13" t="s">
        <v>258</v>
      </c>
    </row>
    <row r="57" spans="6:6" ht="20.25" customHeight="1">
      <c r="F57" s="13" t="s">
        <v>259</v>
      </c>
    </row>
    <row r="58" spans="6:6" ht="20.25" customHeight="1">
      <c r="F58" s="13" t="s">
        <v>231</v>
      </c>
    </row>
    <row r="59" spans="6:6" ht="20.25" customHeight="1">
      <c r="F59" s="13" t="s">
        <v>232</v>
      </c>
    </row>
    <row r="60" spans="6:6" ht="20.25" customHeight="1">
      <c r="F60" s="13" t="s">
        <v>233</v>
      </c>
    </row>
    <row r="61" spans="6:6" ht="20.25" customHeight="1">
      <c r="F61" s="13" t="s">
        <v>234</v>
      </c>
    </row>
    <row r="62" spans="6:6" ht="20.25" customHeight="1">
      <c r="F62" s="6" t="s">
        <v>260</v>
      </c>
    </row>
    <row r="63" spans="6:6" ht="20.25" customHeight="1">
      <c r="F63" s="13" t="s">
        <v>261</v>
      </c>
    </row>
    <row r="64" spans="6:6" ht="20.25" customHeight="1">
      <c r="F64" s="13" t="s">
        <v>83</v>
      </c>
    </row>
    <row r="65" spans="6:6" ht="20.25" customHeight="1">
      <c r="F65" s="13" t="s">
        <v>84</v>
      </c>
    </row>
  </sheetData>
  <conditionalFormatting sqref="F4:F65">
    <cfRule type="expression" dxfId="14" priority="1">
      <formula>AND(COUNTA($B4:$M4)&gt;0,$K4="DELAYED;")</formula>
    </cfRule>
    <cfRule type="expression" dxfId="13" priority="2">
      <formula>AND(COUNTA($B4:$M4)&gt;0,$K4="TO BE ACTIONED TODAY")</formula>
    </cfRule>
    <cfRule type="expression" dxfId="12" priority="3">
      <formula>AND(COUNTA($B4:$M4)&gt;0,$K4="ACTION DUE WITHIN 2DAYS")</formula>
    </cfRule>
    <cfRule type="expression" dxfId="11" priority="4">
      <formula>AND(COUNTA($B4:$M4)&gt;0,$K4="COMPLETED")</formula>
    </cfRule>
    <cfRule type="expression" dxfId="10" priority="5">
      <formula>AND(COUNTA($B4:$M4)&gt;0,$K4="ON TRACK")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AA91-1C54-419E-B280-7EAE21DD9A6D}">
  <dimension ref="F5:G130"/>
  <sheetViews>
    <sheetView workbookViewId="0">
      <selection activeCell="J8" sqref="J8"/>
    </sheetView>
  </sheetViews>
  <sheetFormatPr defaultRowHeight="20.25" customHeight="1"/>
  <cols>
    <col min="1" max="5" width="9.140625" style="5"/>
    <col min="6" max="6" width="119.7109375" bestFit="1" customWidth="1"/>
    <col min="7" max="7" width="25.7109375" style="5" customWidth="1"/>
    <col min="8" max="16384" width="9.140625" style="5"/>
  </cols>
  <sheetData>
    <row r="5" spans="6:7" ht="20.25" customHeight="1">
      <c r="F5" s="6" t="s">
        <v>262</v>
      </c>
      <c r="G5" s="5" t="s">
        <v>1</v>
      </c>
    </row>
    <row r="6" spans="6:7" ht="20.25" customHeight="1">
      <c r="F6" s="7" t="s">
        <v>202</v>
      </c>
      <c r="G6" s="5" t="s">
        <v>1</v>
      </c>
    </row>
    <row r="7" spans="6:7" ht="20.25" customHeight="1">
      <c r="F7" s="8" t="s">
        <v>263</v>
      </c>
    </row>
    <row r="8" spans="6:7" ht="20.25" customHeight="1">
      <c r="F8" s="9" t="s">
        <v>264</v>
      </c>
    </row>
    <row r="9" spans="6:7" ht="20.25" customHeight="1">
      <c r="F9" s="9" t="s">
        <v>265</v>
      </c>
    </row>
    <row r="10" spans="6:7" ht="20.25" customHeight="1">
      <c r="F10" s="9" t="s">
        <v>266</v>
      </c>
    </row>
    <row r="11" spans="6:7" ht="20.25" customHeight="1">
      <c r="F11" s="9" t="s">
        <v>267</v>
      </c>
    </row>
    <row r="12" spans="6:7" ht="20.25" customHeight="1">
      <c r="F12" s="9" t="s">
        <v>268</v>
      </c>
    </row>
    <row r="13" spans="6:7" ht="20.25" customHeight="1">
      <c r="F13" s="9" t="s">
        <v>269</v>
      </c>
    </row>
    <row r="14" spans="6:7" ht="20.25" customHeight="1">
      <c r="F14" s="9" t="s">
        <v>270</v>
      </c>
    </row>
    <row r="15" spans="6:7" ht="20.25" customHeight="1">
      <c r="F15" s="9" t="s">
        <v>271</v>
      </c>
    </row>
    <row r="16" spans="6:7" ht="20.25" customHeight="1">
      <c r="F16" s="8" t="s">
        <v>272</v>
      </c>
    </row>
    <row r="17" spans="6:6" ht="20.25" customHeight="1">
      <c r="F17" s="9" t="s">
        <v>273</v>
      </c>
    </row>
    <row r="18" spans="6:6" ht="20.25" customHeight="1">
      <c r="F18" s="9" t="s">
        <v>274</v>
      </c>
    </row>
    <row r="19" spans="6:6" ht="20.25" customHeight="1">
      <c r="F19" s="9" t="s">
        <v>266</v>
      </c>
    </row>
    <row r="20" spans="6:6" ht="20.25" customHeight="1">
      <c r="F20" s="9" t="s">
        <v>275</v>
      </c>
    </row>
    <row r="21" spans="6:6" ht="20.25" customHeight="1">
      <c r="F21" s="9" t="s">
        <v>270</v>
      </c>
    </row>
    <row r="22" spans="6:6" ht="20.25" customHeight="1">
      <c r="F22" s="9" t="s">
        <v>271</v>
      </c>
    </row>
    <row r="23" spans="6:6" ht="20.25" customHeight="1">
      <c r="F23" s="8" t="s">
        <v>276</v>
      </c>
    </row>
    <row r="24" spans="6:6" ht="20.25" customHeight="1">
      <c r="F24" s="9" t="s">
        <v>273</v>
      </c>
    </row>
    <row r="25" spans="6:6" ht="20.25" customHeight="1">
      <c r="F25" s="9" t="s">
        <v>274</v>
      </c>
    </row>
    <row r="26" spans="6:6" ht="20.25" customHeight="1">
      <c r="F26" s="9" t="s">
        <v>266</v>
      </c>
    </row>
    <row r="27" spans="6:6" ht="20.25" customHeight="1">
      <c r="F27" s="9" t="s">
        <v>275</v>
      </c>
    </row>
    <row r="28" spans="6:6" ht="20.25" customHeight="1">
      <c r="F28" s="9" t="s">
        <v>270</v>
      </c>
    </row>
    <row r="29" spans="6:6" ht="20.25" customHeight="1">
      <c r="F29" s="9" t="s">
        <v>271</v>
      </c>
    </row>
    <row r="30" spans="6:6" ht="20.25" customHeight="1">
      <c r="F30" s="8" t="s">
        <v>277</v>
      </c>
    </row>
    <row r="31" spans="6:6" ht="20.25" customHeight="1">
      <c r="F31" s="9" t="s">
        <v>264</v>
      </c>
    </row>
    <row r="32" spans="6:6" ht="20.25" customHeight="1">
      <c r="F32" s="9" t="s">
        <v>265</v>
      </c>
    </row>
    <row r="33" spans="6:6" ht="20.25" customHeight="1">
      <c r="F33" s="9" t="s">
        <v>266</v>
      </c>
    </row>
    <row r="34" spans="6:6" ht="20.25" customHeight="1">
      <c r="F34" s="9" t="s">
        <v>267</v>
      </c>
    </row>
    <row r="35" spans="6:6" ht="20.25" customHeight="1">
      <c r="F35" s="9" t="s">
        <v>268</v>
      </c>
    </row>
    <row r="36" spans="6:6" ht="20.25" customHeight="1">
      <c r="F36" s="9" t="s">
        <v>269</v>
      </c>
    </row>
    <row r="37" spans="6:6" ht="20.25" customHeight="1">
      <c r="F37" s="9" t="s">
        <v>270</v>
      </c>
    </row>
    <row r="38" spans="6:6" ht="20.25" customHeight="1">
      <c r="F38" s="9" t="s">
        <v>271</v>
      </c>
    </row>
    <row r="39" spans="6:6" ht="20.25" customHeight="1">
      <c r="F39" s="8" t="s">
        <v>278</v>
      </c>
    </row>
    <row r="40" spans="6:6" ht="20.25" customHeight="1">
      <c r="F40" s="9" t="s">
        <v>279</v>
      </c>
    </row>
    <row r="41" spans="6:6" ht="20.25" customHeight="1">
      <c r="F41" s="9" t="s">
        <v>280</v>
      </c>
    </row>
    <row r="42" spans="6:6" ht="20.25" customHeight="1">
      <c r="F42" s="9" t="s">
        <v>281</v>
      </c>
    </row>
    <row r="43" spans="6:6" ht="20.25" customHeight="1">
      <c r="F43" s="9" t="s">
        <v>270</v>
      </c>
    </row>
    <row r="44" spans="6:6" ht="20.25" customHeight="1">
      <c r="F44" s="9" t="s">
        <v>271</v>
      </c>
    </row>
    <row r="45" spans="6:6" ht="20.25" customHeight="1">
      <c r="F45" s="8" t="s">
        <v>282</v>
      </c>
    </row>
    <row r="46" spans="6:6" ht="20.25" customHeight="1">
      <c r="F46" s="9" t="s">
        <v>264</v>
      </c>
    </row>
    <row r="47" spans="6:6" ht="20.25" customHeight="1">
      <c r="F47" s="9" t="s">
        <v>265</v>
      </c>
    </row>
    <row r="48" spans="6:6" ht="20.25" customHeight="1">
      <c r="F48" s="9" t="s">
        <v>266</v>
      </c>
    </row>
    <row r="49" spans="6:6" ht="20.25" customHeight="1">
      <c r="F49" s="9" t="s">
        <v>283</v>
      </c>
    </row>
    <row r="50" spans="6:6" ht="20.25" customHeight="1">
      <c r="F50" s="9" t="s">
        <v>284</v>
      </c>
    </row>
    <row r="51" spans="6:6" ht="20.25" customHeight="1">
      <c r="F51" s="9" t="s">
        <v>270</v>
      </c>
    </row>
    <row r="52" spans="6:6" ht="20.25" customHeight="1">
      <c r="F52" s="9" t="s">
        <v>271</v>
      </c>
    </row>
    <row r="53" spans="6:6" ht="20.25" customHeight="1">
      <c r="F53" s="8" t="s">
        <v>285</v>
      </c>
    </row>
    <row r="54" spans="6:6" ht="20.25" customHeight="1">
      <c r="F54" s="9" t="s">
        <v>279</v>
      </c>
    </row>
    <row r="55" spans="6:6" ht="20.25" customHeight="1">
      <c r="F55" s="9" t="s">
        <v>286</v>
      </c>
    </row>
    <row r="56" spans="6:6" ht="20.25" customHeight="1">
      <c r="F56" s="9" t="s">
        <v>284</v>
      </c>
    </row>
    <row r="57" spans="6:6" ht="20.25" customHeight="1">
      <c r="F57" s="9" t="s">
        <v>270</v>
      </c>
    </row>
    <row r="58" spans="6:6" ht="20.25" customHeight="1">
      <c r="F58" s="9" t="s">
        <v>271</v>
      </c>
    </row>
    <row r="59" spans="6:6" ht="20.25" customHeight="1">
      <c r="F59" s="7" t="s">
        <v>287</v>
      </c>
    </row>
    <row r="60" spans="6:6" ht="20.25" customHeight="1">
      <c r="F60" s="8" t="s">
        <v>288</v>
      </c>
    </row>
    <row r="61" spans="6:6" ht="20.25" customHeight="1">
      <c r="F61" s="9" t="s">
        <v>289</v>
      </c>
    </row>
    <row r="62" spans="6:6" ht="20.25" customHeight="1">
      <c r="F62" s="9" t="s">
        <v>290</v>
      </c>
    </row>
    <row r="63" spans="6:6" ht="20.25" customHeight="1">
      <c r="F63" s="9" t="s">
        <v>291</v>
      </c>
    </row>
    <row r="64" spans="6:6" ht="20.25" customHeight="1">
      <c r="F64" s="9" t="s">
        <v>292</v>
      </c>
    </row>
    <row r="65" spans="6:6" ht="20.25" customHeight="1">
      <c r="F65" s="9" t="s">
        <v>293</v>
      </c>
    </row>
    <row r="66" spans="6:6" ht="20.25" customHeight="1">
      <c r="F66" s="9" t="s">
        <v>294</v>
      </c>
    </row>
    <row r="67" spans="6:6" ht="20.25" customHeight="1">
      <c r="F67" s="9" t="s">
        <v>295</v>
      </c>
    </row>
    <row r="68" spans="6:6" ht="20.25" customHeight="1">
      <c r="F68" s="9" t="s">
        <v>296</v>
      </c>
    </row>
    <row r="69" spans="6:6" ht="20.25" customHeight="1">
      <c r="F69" s="9" t="s">
        <v>297</v>
      </c>
    </row>
    <row r="70" spans="6:6" ht="20.25" customHeight="1">
      <c r="F70" s="9" t="s">
        <v>298</v>
      </c>
    </row>
    <row r="71" spans="6:6" ht="20.25" customHeight="1">
      <c r="F71" s="7" t="s">
        <v>215</v>
      </c>
    </row>
    <row r="72" spans="6:6" ht="20.25" customHeight="1">
      <c r="F72" s="8" t="s">
        <v>299</v>
      </c>
    </row>
    <row r="73" spans="6:6" ht="20.25" customHeight="1">
      <c r="F73" s="9" t="s">
        <v>300</v>
      </c>
    </row>
    <row r="74" spans="6:6" ht="20.25" customHeight="1">
      <c r="F74" s="9" t="s">
        <v>301</v>
      </c>
    </row>
    <row r="75" spans="6:6" ht="20.25" customHeight="1">
      <c r="F75" s="9" t="s">
        <v>302</v>
      </c>
    </row>
    <row r="76" spans="6:6" ht="20.25" customHeight="1">
      <c r="F76" s="9" t="s">
        <v>303</v>
      </c>
    </row>
    <row r="77" spans="6:6" ht="20.25" customHeight="1">
      <c r="F77" s="9" t="s">
        <v>304</v>
      </c>
    </row>
    <row r="78" spans="6:6" ht="20.25" customHeight="1">
      <c r="F78" s="9" t="s">
        <v>305</v>
      </c>
    </row>
    <row r="79" spans="6:6" ht="20.25" customHeight="1">
      <c r="F79" s="9" t="s">
        <v>306</v>
      </c>
    </row>
    <row r="80" spans="6:6" ht="20.25" customHeight="1">
      <c r="F80" s="9" t="s">
        <v>302</v>
      </c>
    </row>
    <row r="81" spans="6:6" ht="20.25" customHeight="1">
      <c r="F81" s="9" t="s">
        <v>303</v>
      </c>
    </row>
    <row r="82" spans="6:6" ht="20.25" customHeight="1">
      <c r="F82" s="9" t="s">
        <v>307</v>
      </c>
    </row>
    <row r="83" spans="6:6" ht="20.25" customHeight="1">
      <c r="F83" s="9" t="s">
        <v>308</v>
      </c>
    </row>
    <row r="84" spans="6:6" ht="20.25" customHeight="1">
      <c r="F84" s="9" t="s">
        <v>309</v>
      </c>
    </row>
    <row r="85" spans="6:6" ht="20.25" customHeight="1">
      <c r="F85" s="9" t="s">
        <v>310</v>
      </c>
    </row>
    <row r="86" spans="6:6" ht="20.25" customHeight="1">
      <c r="F86" s="9" t="s">
        <v>311</v>
      </c>
    </row>
    <row r="87" spans="6:6" ht="20.25" customHeight="1">
      <c r="F87" s="8" t="s">
        <v>312</v>
      </c>
    </row>
    <row r="88" spans="6:6" ht="20.25" customHeight="1">
      <c r="F88" s="9" t="s">
        <v>313</v>
      </c>
    </row>
    <row r="89" spans="6:6" ht="20.25" customHeight="1">
      <c r="F89" s="9" t="s">
        <v>301</v>
      </c>
    </row>
    <row r="90" spans="6:6" ht="20.25" customHeight="1">
      <c r="F90" s="9" t="s">
        <v>302</v>
      </c>
    </row>
    <row r="91" spans="6:6" ht="20.25" customHeight="1">
      <c r="F91" s="9" t="s">
        <v>303</v>
      </c>
    </row>
    <row r="92" spans="6:6" ht="20.25" customHeight="1">
      <c r="F92" s="9" t="s">
        <v>314</v>
      </c>
    </row>
    <row r="93" spans="6:6" ht="20.25" customHeight="1">
      <c r="F93" s="9" t="s">
        <v>306</v>
      </c>
    </row>
    <row r="94" spans="6:6" ht="20.25" customHeight="1">
      <c r="F94" s="9" t="s">
        <v>302</v>
      </c>
    </row>
    <row r="95" spans="6:6" ht="20.25" customHeight="1">
      <c r="F95" s="9" t="s">
        <v>303</v>
      </c>
    </row>
    <row r="96" spans="6:6" ht="20.25" customHeight="1">
      <c r="F96" s="9" t="s">
        <v>315</v>
      </c>
    </row>
    <row r="97" spans="6:6" ht="20.25" customHeight="1">
      <c r="F97" s="9" t="s">
        <v>309</v>
      </c>
    </row>
    <row r="98" spans="6:6" ht="20.25" customHeight="1">
      <c r="F98" s="9" t="s">
        <v>310</v>
      </c>
    </row>
    <row r="99" spans="6:6" ht="20.25" customHeight="1">
      <c r="F99" s="9" t="s">
        <v>311</v>
      </c>
    </row>
    <row r="100" spans="6:6" ht="20.25" customHeight="1">
      <c r="F100" s="8" t="s">
        <v>316</v>
      </c>
    </row>
    <row r="101" spans="6:6" ht="20.25" customHeight="1">
      <c r="F101" s="9" t="s">
        <v>317</v>
      </c>
    </row>
    <row r="102" spans="6:6" ht="20.25" customHeight="1">
      <c r="F102" s="9" t="s">
        <v>306</v>
      </c>
    </row>
    <row r="103" spans="6:6" ht="20.25" customHeight="1">
      <c r="F103" s="9" t="s">
        <v>302</v>
      </c>
    </row>
    <row r="104" spans="6:6" ht="20.25" customHeight="1">
      <c r="F104" s="9" t="s">
        <v>303</v>
      </c>
    </row>
    <row r="105" spans="6:6" ht="20.25" customHeight="1">
      <c r="F105" s="9" t="s">
        <v>315</v>
      </c>
    </row>
    <row r="106" spans="6:6" ht="20.25" customHeight="1">
      <c r="F106" s="9" t="s">
        <v>318</v>
      </c>
    </row>
    <row r="107" spans="6:6" ht="20.25" customHeight="1">
      <c r="F107" s="11" t="s">
        <v>252</v>
      </c>
    </row>
    <row r="108" spans="6:6" ht="20.25" customHeight="1">
      <c r="F108" s="9" t="s">
        <v>309</v>
      </c>
    </row>
    <row r="109" spans="6:6" ht="20.25" customHeight="1">
      <c r="F109" s="9" t="s">
        <v>310</v>
      </c>
    </row>
    <row r="110" spans="6:6" ht="20.25" customHeight="1">
      <c r="F110" s="9" t="s">
        <v>311</v>
      </c>
    </row>
    <row r="111" spans="6:6" ht="20.25" customHeight="1">
      <c r="F111" s="8" t="s">
        <v>319</v>
      </c>
    </row>
    <row r="112" spans="6:6" ht="20.25" customHeight="1">
      <c r="F112" s="9" t="s">
        <v>320</v>
      </c>
    </row>
    <row r="113" spans="6:6" ht="20.25" customHeight="1">
      <c r="F113" s="9" t="s">
        <v>321</v>
      </c>
    </row>
    <row r="114" spans="6:6" ht="20.25" customHeight="1">
      <c r="F114" s="9" t="s">
        <v>306</v>
      </c>
    </row>
    <row r="115" spans="6:6" ht="20.25" customHeight="1">
      <c r="F115" s="9" t="s">
        <v>302</v>
      </c>
    </row>
    <row r="116" spans="6:6" ht="20.25" customHeight="1">
      <c r="F116" s="9" t="s">
        <v>303</v>
      </c>
    </row>
    <row r="117" spans="6:6" ht="20.25" customHeight="1">
      <c r="F117" s="9" t="s">
        <v>315</v>
      </c>
    </row>
    <row r="118" spans="6:6" ht="20.25" customHeight="1">
      <c r="F118" s="9" t="s">
        <v>309</v>
      </c>
    </row>
    <row r="119" spans="6:6" ht="20.25" customHeight="1">
      <c r="F119" s="9" t="s">
        <v>310</v>
      </c>
    </row>
    <row r="120" spans="6:6" ht="20.25" customHeight="1">
      <c r="F120" s="9" t="s">
        <v>311</v>
      </c>
    </row>
    <row r="121" spans="6:6" ht="20.25" customHeight="1">
      <c r="F121" s="8" t="s">
        <v>322</v>
      </c>
    </row>
    <row r="122" spans="6:6" ht="20.25" customHeight="1">
      <c r="F122" s="9" t="s">
        <v>323</v>
      </c>
    </row>
    <row r="123" spans="6:6" ht="20.25" customHeight="1">
      <c r="F123" s="9" t="s">
        <v>324</v>
      </c>
    </row>
    <row r="124" spans="6:6" ht="20.25" customHeight="1">
      <c r="F124" s="9" t="s">
        <v>325</v>
      </c>
    </row>
    <row r="125" spans="6:6" ht="20.25" customHeight="1">
      <c r="F125" s="9" t="s">
        <v>302</v>
      </c>
    </row>
    <row r="126" spans="6:6" ht="20.25" customHeight="1">
      <c r="F126" s="9" t="s">
        <v>303</v>
      </c>
    </row>
    <row r="127" spans="6:6" ht="20.25" customHeight="1">
      <c r="F127" s="9" t="s">
        <v>315</v>
      </c>
    </row>
    <row r="128" spans="6:6" ht="20.25" customHeight="1">
      <c r="F128" s="9" t="s">
        <v>309</v>
      </c>
    </row>
    <row r="129" spans="6:6" ht="20.25" customHeight="1">
      <c r="F129" s="9" t="s">
        <v>310</v>
      </c>
    </row>
    <row r="130" spans="6:6" ht="20.25" customHeight="1">
      <c r="F130" s="9" t="s">
        <v>311</v>
      </c>
    </row>
  </sheetData>
  <conditionalFormatting sqref="F5:F130">
    <cfRule type="expression" dxfId="9" priority="1">
      <formula>AND(COUNTA($B5:$M5)&gt;0,$K5="DELAYED;")</formula>
    </cfRule>
    <cfRule type="expression" dxfId="8" priority="2">
      <formula>AND(COUNTA($B5:$M5)&gt;0,$K5="TO BE ACTIONED TODAY")</formula>
    </cfRule>
    <cfRule type="expression" dxfId="7" priority="3">
      <formula>AND(COUNTA($B5:$M5)&gt;0,$K5="ACTION DUE WITHIN 2DAYS")</formula>
    </cfRule>
    <cfRule type="expression" dxfId="6" priority="4">
      <formula>AND(COUNTA($B5:$M5)&gt;0,$K5="COMPLETED")</formula>
    </cfRule>
    <cfRule type="expression" dxfId="5" priority="5">
      <formula>AND(COUNTA($B5:$M5)&gt;0,$K5="ON TRACK")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0FD0-32D0-433F-9C08-B122DAFF6564}">
  <dimension ref="D4:E24"/>
  <sheetViews>
    <sheetView tabSelected="1" workbookViewId="0">
      <selection activeCell="E5" sqref="E5"/>
    </sheetView>
  </sheetViews>
  <sheetFormatPr defaultRowHeight="20.25" customHeight="1"/>
  <cols>
    <col min="4" max="4" width="135.5703125" bestFit="1" customWidth="1"/>
  </cols>
  <sheetData>
    <row r="4" spans="4:5" ht="20.25" customHeight="1">
      <c r="D4" s="6" t="s">
        <v>326</v>
      </c>
      <c r="E4" t="s">
        <v>1</v>
      </c>
    </row>
    <row r="5" spans="4:5" ht="20.25" customHeight="1">
      <c r="D5" s="6" t="s">
        <v>327</v>
      </c>
    </row>
    <row r="6" spans="4:5" ht="20.25" customHeight="1">
      <c r="D6" s="13" t="s">
        <v>328</v>
      </c>
    </row>
    <row r="7" spans="4:5" ht="20.25" customHeight="1">
      <c r="D7" s="13" t="s">
        <v>329</v>
      </c>
    </row>
    <row r="8" spans="4:5" ht="20.25" customHeight="1">
      <c r="D8" s="13" t="s">
        <v>330</v>
      </c>
    </row>
    <row r="9" spans="4:5" ht="20.25" customHeight="1">
      <c r="D9" s="13" t="s">
        <v>331</v>
      </c>
    </row>
    <row r="10" spans="4:5" ht="20.25" customHeight="1">
      <c r="D10" s="13" t="s">
        <v>332</v>
      </c>
    </row>
    <row r="11" spans="4:5" ht="20.25" customHeight="1">
      <c r="D11" s="13" t="s">
        <v>333</v>
      </c>
    </row>
    <row r="12" spans="4:5" ht="20.25" customHeight="1">
      <c r="D12" s="6" t="s">
        <v>334</v>
      </c>
    </row>
    <row r="13" spans="4:5" ht="20.25" customHeight="1">
      <c r="D13" s="13" t="s">
        <v>335</v>
      </c>
    </row>
    <row r="14" spans="4:5" ht="20.25" customHeight="1">
      <c r="D14" s="13" t="s">
        <v>336</v>
      </c>
    </row>
    <row r="15" spans="4:5" ht="20.25" customHeight="1">
      <c r="D15" s="6" t="s">
        <v>337</v>
      </c>
    </row>
    <row r="16" spans="4:5" ht="20.25" customHeight="1">
      <c r="D16" s="13" t="s">
        <v>338</v>
      </c>
    </row>
    <row r="17" spans="4:4" ht="20.25" customHeight="1">
      <c r="D17" s="13" t="s">
        <v>339</v>
      </c>
    </row>
    <row r="18" spans="4:4" ht="20.25" customHeight="1">
      <c r="D18" s="13" t="s">
        <v>340</v>
      </c>
    </row>
    <row r="19" spans="4:4" ht="20.25" customHeight="1">
      <c r="D19" s="13" t="s">
        <v>341</v>
      </c>
    </row>
    <row r="20" spans="4:4" ht="20.25" customHeight="1">
      <c r="D20" s="13" t="s">
        <v>342</v>
      </c>
    </row>
    <row r="21" spans="4:4" ht="20.25" customHeight="1">
      <c r="D21" s="13" t="s">
        <v>343</v>
      </c>
    </row>
    <row r="22" spans="4:4" ht="20.25" customHeight="1">
      <c r="D22" s="13" t="s">
        <v>344</v>
      </c>
    </row>
    <row r="23" spans="4:4" ht="20.25" customHeight="1">
      <c r="D23" s="13" t="s">
        <v>345</v>
      </c>
    </row>
    <row r="24" spans="4:4" ht="20.25" customHeight="1">
      <c r="D24" s="13" t="s">
        <v>333</v>
      </c>
    </row>
  </sheetData>
  <conditionalFormatting sqref="D4:D24">
    <cfRule type="expression" dxfId="4" priority="1">
      <formula>AND(COUNTA($B4:$M4)&gt;0,$K4="DELAYED;")</formula>
    </cfRule>
    <cfRule type="expression" dxfId="3" priority="2">
      <formula>AND(COUNTA($B4:$M4)&gt;0,$K4="TO BE ACTIONED TODAY")</formula>
    </cfRule>
    <cfRule type="expression" dxfId="2" priority="3">
      <formula>AND(COUNTA($B4:$M4)&gt;0,$K4="ACTION DUE WITHIN 2DAYS")</formula>
    </cfRule>
    <cfRule type="expression" dxfId="1" priority="4">
      <formula>AND(COUNTA($B4:$M4)&gt;0,$K4="COMPLETED")</formula>
    </cfRule>
    <cfRule type="expression" dxfId="0" priority="5">
      <formula>AND(COUNTA($B4:$M4)&gt;0,$K4="ON TRACK")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181ab2-5536-4b4c-9d82-88840f580869" xsi:nil="true"/>
    <lcf76f155ced4ddcb4097134ff3c332f xmlns="78539869-1d99-49bf-b19b-e5de85a65f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1FC311F83834583495EB49CE73D57" ma:contentTypeVersion="13" ma:contentTypeDescription="Create a new document." ma:contentTypeScope="" ma:versionID="d6433a781b162daee56cc67dc9e5fa60">
  <xsd:schema xmlns:xsd="http://www.w3.org/2001/XMLSchema" xmlns:xs="http://www.w3.org/2001/XMLSchema" xmlns:p="http://schemas.microsoft.com/office/2006/metadata/properties" xmlns:ns2="78539869-1d99-49bf-b19b-e5de85a65f18" xmlns:ns3="9a181ab2-5536-4b4c-9d82-88840f580869" targetNamespace="http://schemas.microsoft.com/office/2006/metadata/properties" ma:root="true" ma:fieldsID="fdfbbc1f4636c474743070419b27dd53" ns2:_="" ns3:_="">
    <xsd:import namespace="78539869-1d99-49bf-b19b-e5de85a65f18"/>
    <xsd:import namespace="9a181ab2-5536-4b4c-9d82-88840f580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39869-1d99-49bf-b19b-e5de85a65f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ae1d701-d3bc-4bf2-8adc-2461fa37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ab2-5536-4b4c-9d82-88840f58086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060475d-f427-425a-8c90-72e3baa78546}" ma:internalName="TaxCatchAll" ma:showField="CatchAllData" ma:web="9a181ab2-5536-4b4c-9d82-88840f580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4BC61-5747-4192-AA66-6EBCD23EF4C2}"/>
</file>

<file path=customXml/itemProps2.xml><?xml version="1.0" encoding="utf-8"?>
<ds:datastoreItem xmlns:ds="http://schemas.openxmlformats.org/officeDocument/2006/customXml" ds:itemID="{210D79E4-EABC-46EC-BC0D-245636EDDBD1}"/>
</file>

<file path=customXml/itemProps3.xml><?xml version="1.0" encoding="utf-8"?>
<ds:datastoreItem xmlns:ds="http://schemas.openxmlformats.org/officeDocument/2006/customXml" ds:itemID="{FBE819EF-A27C-41F6-852D-0C51CB041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Mohan Daniel</dc:creator>
  <cp:keywords/>
  <dc:description/>
  <cp:lastModifiedBy>Sajjad Ahmed</cp:lastModifiedBy>
  <cp:revision/>
  <dcterms:created xsi:type="dcterms:W3CDTF">2026-10-12T05:56:37Z</dcterms:created>
  <dcterms:modified xsi:type="dcterms:W3CDTF">2026-10-15T08:42:27Z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0x0101007321FC311F83834583495EB49CE73D57</vt:lpwstr>
  </property>
</Properties>
</file>