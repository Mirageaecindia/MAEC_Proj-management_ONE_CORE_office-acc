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irageace.sharepoint.com/sites/MirageAECPrivateLimited/Shared Documents/Projects/Sample Automation Project/"/>
    </mc:Choice>
  </mc:AlternateContent>
  <xr:revisionPtr revIDLastSave="1" documentId="8_{E50AB793-0B48-4CEF-8A82-2BB72088FEC7}" xr6:coauthVersionLast="47" xr6:coauthVersionMax="47" xr10:uidLastSave="{989885F3-4AD0-4A16-A8DD-C9FA870DC0D3}"/>
  <bookViews>
    <workbookView xWindow="28680" yWindow="-16320" windowWidth="29040" windowHeight="17520" tabRatio="768" firstSheet="4" activeTab="4" xr2:uid="{6602C0CE-6787-43CF-AF67-E9E4AD047C4E}"/>
  </bookViews>
  <sheets>
    <sheet name="FEE RECON RAIHAN" sheetId="13" state="hidden" r:id="rId1"/>
    <sheet name="A9 Design + Subs fee " sheetId="10" state="hidden" r:id="rId2"/>
    <sheet name="A10 Design + Subs fee" sheetId="12" state="hidden" r:id="rId3"/>
    <sheet name="Mastersheet-Resources" sheetId="52" r:id="rId4"/>
    <sheet name="Mastersheet-Projects" sheetId="51" r:id="rId5"/>
    <sheet name="Tender List" sheetId="31" state="hidden" r:id="rId6"/>
  </sheets>
  <definedNames>
    <definedName name="\0" localSheetId="4">#REF!</definedName>
    <definedName name="\0" localSheetId="3">#REF!</definedName>
    <definedName name="\0" localSheetId="5">#REF!</definedName>
    <definedName name="\0">#REF!</definedName>
    <definedName name="\00" localSheetId="4">#REF!</definedName>
    <definedName name="\00" localSheetId="3">#REF!</definedName>
    <definedName name="\00" localSheetId="5">#REF!</definedName>
    <definedName name="\00">#REF!</definedName>
    <definedName name="\44333" localSheetId="4">#REF!</definedName>
    <definedName name="\44333" localSheetId="3">#REF!</definedName>
    <definedName name="\44333" localSheetId="5">#REF!</definedName>
    <definedName name="\44333">#REF!</definedName>
    <definedName name="\A" localSheetId="2">#REF!</definedName>
    <definedName name="\A" localSheetId="1">#REF!</definedName>
    <definedName name="\A" localSheetId="0">#REF!</definedName>
    <definedName name="\A" localSheetId="4">#REF!</definedName>
    <definedName name="\A" localSheetId="3">#REF!</definedName>
    <definedName name="\A" localSheetId="5">#REF!</definedName>
    <definedName name="\A">#REF!</definedName>
    <definedName name="\add9a" localSheetId="2">#REF!</definedName>
    <definedName name="\add9a" localSheetId="1">#REF!</definedName>
    <definedName name="\add9a" localSheetId="0">#REF!</definedName>
    <definedName name="\add9a" localSheetId="4">#REF!</definedName>
    <definedName name="\add9a" localSheetId="3">#REF!</definedName>
    <definedName name="\add9a" localSheetId="5">#REF!</definedName>
    <definedName name="\add9a">#REF!</definedName>
    <definedName name="\B" localSheetId="2">#REF!</definedName>
    <definedName name="\B" localSheetId="1">#REF!</definedName>
    <definedName name="\B" localSheetId="0">#REF!</definedName>
    <definedName name="\B" localSheetId="4">#REF!</definedName>
    <definedName name="\B" localSheetId="3">#REF!</definedName>
    <definedName name="\B" localSheetId="5">#REF!</definedName>
    <definedName name="\B">#REF!</definedName>
    <definedName name="\C" localSheetId="2">#REF!</definedName>
    <definedName name="\C" localSheetId="1">#REF!</definedName>
    <definedName name="\C" localSheetId="0">#REF!</definedName>
    <definedName name="\C" localSheetId="4">#REF!</definedName>
    <definedName name="\C" localSheetId="3">#REF!</definedName>
    <definedName name="\C" localSheetId="5">#REF!</definedName>
    <definedName name="\C">#REF!</definedName>
    <definedName name="\D" localSheetId="2">#REF!</definedName>
    <definedName name="\D" localSheetId="1">#REF!</definedName>
    <definedName name="\D" localSheetId="0">#REF!</definedName>
    <definedName name="\D" localSheetId="4">#REF!</definedName>
    <definedName name="\D" localSheetId="3">#REF!</definedName>
    <definedName name="\D" localSheetId="5">#REF!</definedName>
    <definedName name="\D">#REF!</definedName>
    <definedName name="\E" localSheetId="2">#REF!</definedName>
    <definedName name="\E" localSheetId="1">#REF!</definedName>
    <definedName name="\E" localSheetId="0">#REF!</definedName>
    <definedName name="\E" localSheetId="4">#REF!</definedName>
    <definedName name="\E" localSheetId="3">#REF!</definedName>
    <definedName name="\E" localSheetId="5">#REF!</definedName>
    <definedName name="\E">#REF!</definedName>
    <definedName name="\H" localSheetId="2">#REF!</definedName>
    <definedName name="\H" localSheetId="1">#REF!</definedName>
    <definedName name="\H" localSheetId="0">#REF!</definedName>
    <definedName name="\H" localSheetId="4">#REF!</definedName>
    <definedName name="\H" localSheetId="3">#REF!</definedName>
    <definedName name="\H" localSheetId="5">#REF!</definedName>
    <definedName name="\H">#REF!</definedName>
    <definedName name="\I" localSheetId="2">#REF!</definedName>
    <definedName name="\I" localSheetId="1">#REF!</definedName>
    <definedName name="\I" localSheetId="0">#REF!</definedName>
    <definedName name="\I" localSheetId="4">#REF!</definedName>
    <definedName name="\I" localSheetId="3">#REF!</definedName>
    <definedName name="\I" localSheetId="5">#REF!</definedName>
    <definedName name="\I">#REF!</definedName>
    <definedName name="\M" localSheetId="2">#REF!</definedName>
    <definedName name="\M" localSheetId="1">#REF!</definedName>
    <definedName name="\M" localSheetId="0">#REF!</definedName>
    <definedName name="\M" localSheetId="4">#REF!</definedName>
    <definedName name="\M" localSheetId="3">#REF!</definedName>
    <definedName name="\M" localSheetId="5">#REF!</definedName>
    <definedName name="\M">#REF!</definedName>
    <definedName name="\P" localSheetId="2">#REF!</definedName>
    <definedName name="\P" localSheetId="1">#REF!</definedName>
    <definedName name="\P" localSheetId="0">#REF!</definedName>
    <definedName name="\P" localSheetId="4">#REF!</definedName>
    <definedName name="\P" localSheetId="3">#REF!</definedName>
    <definedName name="\P" localSheetId="5">#REF!</definedName>
    <definedName name="\P">#REF!</definedName>
    <definedName name="\s" localSheetId="0">#REF!</definedName>
    <definedName name="\s" localSheetId="4">#REF!</definedName>
    <definedName name="\s" localSheetId="3">#REF!</definedName>
    <definedName name="\s" localSheetId="5">#REF!</definedName>
    <definedName name="\s">#REF!</definedName>
    <definedName name="\Y" localSheetId="2">#REF!</definedName>
    <definedName name="\Y" localSheetId="1">#REF!</definedName>
    <definedName name="\Y" localSheetId="0">#REF!</definedName>
    <definedName name="\Y" localSheetId="4">#REF!</definedName>
    <definedName name="\Y" localSheetId="3">#REF!</definedName>
    <definedName name="\Y" localSheetId="5">#REF!</definedName>
    <definedName name="\Y">#REF!</definedName>
    <definedName name="\Z" localSheetId="2">#REF!</definedName>
    <definedName name="\Z" localSheetId="1">#REF!</definedName>
    <definedName name="\Z" localSheetId="0">#REF!</definedName>
    <definedName name="\Z" localSheetId="4">#REF!</definedName>
    <definedName name="\Z" localSheetId="3">#REF!</definedName>
    <definedName name="\Z" localSheetId="5">#REF!</definedName>
    <definedName name="\Z">#REF!</definedName>
    <definedName name="\zpr" localSheetId="2">#REF!</definedName>
    <definedName name="\zpr" localSheetId="1">#REF!</definedName>
    <definedName name="\zpr" localSheetId="0">#REF!</definedName>
    <definedName name="\zpr" localSheetId="4">#REF!</definedName>
    <definedName name="\zpr" localSheetId="3">#REF!</definedName>
    <definedName name="\zpr" localSheetId="5">#REF!</definedName>
    <definedName name="\zpr">#REF!</definedName>
    <definedName name="_______________SEC15030" localSheetId="4">#REF!</definedName>
    <definedName name="_______________SEC15030" localSheetId="3">#REF!</definedName>
    <definedName name="_______________SEC15030" localSheetId="5">#REF!</definedName>
    <definedName name="_______________SEC15030">#REF!</definedName>
    <definedName name="_______________SEC15060" localSheetId="4">#REF!</definedName>
    <definedName name="_______________SEC15060" localSheetId="3">#REF!</definedName>
    <definedName name="_______________SEC15060" localSheetId="5">#REF!</definedName>
    <definedName name="_______________SEC15060">#REF!</definedName>
    <definedName name="_______________SEC15100" localSheetId="4">#REF!</definedName>
    <definedName name="_______________SEC15100" localSheetId="3">#REF!</definedName>
    <definedName name="_______________SEC15100" localSheetId="5">#REF!</definedName>
    <definedName name="_______________SEC15100">#REF!</definedName>
    <definedName name="_______________SEC15110" localSheetId="4">#REF!</definedName>
    <definedName name="_______________SEC15110" localSheetId="3">#REF!</definedName>
    <definedName name="_______________SEC15110" localSheetId="5">#REF!</definedName>
    <definedName name="_______________SEC15110">#REF!</definedName>
    <definedName name="_______________SEC15125" localSheetId="4">#REF!</definedName>
    <definedName name="_______________SEC15125" localSheetId="3">#REF!</definedName>
    <definedName name="_______________SEC15125" localSheetId="5">#REF!</definedName>
    <definedName name="_______________SEC15125">#REF!</definedName>
    <definedName name="_______________SEC15160" localSheetId="4">#REF!</definedName>
    <definedName name="_______________SEC15160" localSheetId="3">#REF!</definedName>
    <definedName name="_______________SEC15160" localSheetId="5">#REF!</definedName>
    <definedName name="_______________SEC15160">#REF!</definedName>
    <definedName name="_______________SEC15175" localSheetId="4">#REF!</definedName>
    <definedName name="_______________SEC15175" localSheetId="3">#REF!</definedName>
    <definedName name="_______________SEC15175" localSheetId="5">#REF!</definedName>
    <definedName name="_______________SEC15175">#REF!</definedName>
    <definedName name="_______________SEC15290" localSheetId="4">#REF!</definedName>
    <definedName name="_______________SEC15290" localSheetId="3">#REF!</definedName>
    <definedName name="_______________SEC15290" localSheetId="5">#REF!</definedName>
    <definedName name="_______________SEC15290">#REF!</definedName>
    <definedName name="_______________SEC15310" localSheetId="4">#REF!</definedName>
    <definedName name="_______________SEC15310" localSheetId="3">#REF!</definedName>
    <definedName name="_______________SEC15310" localSheetId="5">#REF!</definedName>
    <definedName name="_______________SEC15310">#REF!</definedName>
    <definedName name="_______________SEC15420" localSheetId="4">#REF!</definedName>
    <definedName name="_______________SEC15420" localSheetId="3">#REF!</definedName>
    <definedName name="_______________SEC15420" localSheetId="5">#REF!</definedName>
    <definedName name="_______________SEC15420">#REF!</definedName>
    <definedName name="_______________SEC15440" localSheetId="4">#REF!</definedName>
    <definedName name="_______________SEC15440" localSheetId="3">#REF!</definedName>
    <definedName name="_______________SEC15440" localSheetId="5">#REF!</definedName>
    <definedName name="_______________SEC15440">#REF!</definedName>
    <definedName name="_______________SEC15470" localSheetId="4">#REF!</definedName>
    <definedName name="_______________SEC15470" localSheetId="3">#REF!</definedName>
    <definedName name="_______________SEC15470" localSheetId="5">#REF!</definedName>
    <definedName name="_______________SEC15470">#REF!</definedName>
    <definedName name="_______________SEC15486" localSheetId="4">#REF!</definedName>
    <definedName name="_______________SEC15486" localSheetId="3">#REF!</definedName>
    <definedName name="_______________SEC15486" localSheetId="5">#REF!</definedName>
    <definedName name="_______________SEC15486">#REF!</definedName>
    <definedName name="_______________SEC15540" localSheetId="4">#REF!</definedName>
    <definedName name="_______________SEC15540" localSheetId="3">#REF!</definedName>
    <definedName name="_______________SEC15540" localSheetId="5">#REF!</definedName>
    <definedName name="_______________SEC15540">#REF!</definedName>
    <definedName name="_______________SEC15610" localSheetId="4">#REF!</definedName>
    <definedName name="_______________SEC15610" localSheetId="3">#REF!</definedName>
    <definedName name="_______________SEC15610" localSheetId="5">#REF!</definedName>
    <definedName name="_______________SEC15610">#REF!</definedName>
    <definedName name="_______________SEC15625" localSheetId="4">#REF!</definedName>
    <definedName name="_______________SEC15625" localSheetId="3">#REF!</definedName>
    <definedName name="_______________SEC15625" localSheetId="5">#REF!</definedName>
    <definedName name="_______________SEC15625">#REF!</definedName>
    <definedName name="_______________SEC15680" localSheetId="4">#REF!</definedName>
    <definedName name="_______________SEC15680" localSheetId="3">#REF!</definedName>
    <definedName name="_______________SEC15680" localSheetId="5">#REF!</definedName>
    <definedName name="_______________SEC15680">#REF!</definedName>
    <definedName name="_______________SEC15850" localSheetId="4">#REF!</definedName>
    <definedName name="_______________SEC15850" localSheetId="3">#REF!</definedName>
    <definedName name="_______________SEC15850" localSheetId="5">#REF!</definedName>
    <definedName name="_______________SEC15850">#REF!</definedName>
    <definedName name="_______________SEC15865" localSheetId="4">#REF!</definedName>
    <definedName name="_______________SEC15865" localSheetId="3">#REF!</definedName>
    <definedName name="_______________SEC15865" localSheetId="5">#REF!</definedName>
    <definedName name="_______________SEC15865">#REF!</definedName>
    <definedName name="_______________SEC15875" localSheetId="4">#REF!</definedName>
    <definedName name="_______________SEC15875" localSheetId="3">#REF!</definedName>
    <definedName name="_______________SEC15875" localSheetId="5">#REF!</definedName>
    <definedName name="_______________SEC15875">#REF!</definedName>
    <definedName name="_______________SEC15890" localSheetId="4">#REF!</definedName>
    <definedName name="_______________SEC15890" localSheetId="3">#REF!</definedName>
    <definedName name="_______________SEC15890" localSheetId="5">#REF!</definedName>
    <definedName name="_______________SEC15890">#REF!</definedName>
    <definedName name="_______________SEC15910" localSheetId="4">#REF!</definedName>
    <definedName name="_______________SEC15910" localSheetId="3">#REF!</definedName>
    <definedName name="_______________SEC15910" localSheetId="5">#REF!</definedName>
    <definedName name="_______________SEC15910">#REF!</definedName>
    <definedName name="_______________SEC15940" localSheetId="4">#REF!</definedName>
    <definedName name="_______________SEC15940" localSheetId="3">#REF!</definedName>
    <definedName name="_______________SEC15940" localSheetId="5">#REF!</definedName>
    <definedName name="_______________SEC15940">#REF!</definedName>
    <definedName name="_______________SEC15975" localSheetId="4">#REF!</definedName>
    <definedName name="_______________SEC15975" localSheetId="3">#REF!</definedName>
    <definedName name="_______________SEC15975" localSheetId="5">#REF!</definedName>
    <definedName name="_______________SEC15975">#REF!</definedName>
    <definedName name="______________SEC15030" localSheetId="4">#REF!</definedName>
    <definedName name="______________SEC15030" localSheetId="3">#REF!</definedName>
    <definedName name="______________SEC15030" localSheetId="5">#REF!</definedName>
    <definedName name="______________SEC15030">#REF!</definedName>
    <definedName name="______________SEC15060" localSheetId="4">#REF!</definedName>
    <definedName name="______________SEC15060" localSheetId="3">#REF!</definedName>
    <definedName name="______________SEC15060" localSheetId="5">#REF!</definedName>
    <definedName name="______________SEC15060">#REF!</definedName>
    <definedName name="______________SEC15100" localSheetId="4">#REF!</definedName>
    <definedName name="______________SEC15100" localSheetId="3">#REF!</definedName>
    <definedName name="______________SEC15100" localSheetId="5">#REF!</definedName>
    <definedName name="______________SEC15100">#REF!</definedName>
    <definedName name="______________SEC15110" localSheetId="4">#REF!</definedName>
    <definedName name="______________SEC15110" localSheetId="3">#REF!</definedName>
    <definedName name="______________SEC15110" localSheetId="5">#REF!</definedName>
    <definedName name="______________SEC15110">#REF!</definedName>
    <definedName name="______________SEC15125" localSheetId="4">#REF!</definedName>
    <definedName name="______________SEC15125" localSheetId="3">#REF!</definedName>
    <definedName name="______________SEC15125" localSheetId="5">#REF!</definedName>
    <definedName name="______________SEC15125">#REF!</definedName>
    <definedName name="______________SEC15160" localSheetId="4">#REF!</definedName>
    <definedName name="______________SEC15160" localSheetId="3">#REF!</definedName>
    <definedName name="______________SEC15160" localSheetId="5">#REF!</definedName>
    <definedName name="______________SEC15160">#REF!</definedName>
    <definedName name="______________SEC15175" localSheetId="4">#REF!</definedName>
    <definedName name="______________SEC15175" localSheetId="3">#REF!</definedName>
    <definedName name="______________SEC15175" localSheetId="5">#REF!</definedName>
    <definedName name="______________SEC15175">#REF!</definedName>
    <definedName name="______________SEC15290" localSheetId="4">#REF!</definedName>
    <definedName name="______________SEC15290" localSheetId="3">#REF!</definedName>
    <definedName name="______________SEC15290" localSheetId="5">#REF!</definedName>
    <definedName name="______________SEC15290">#REF!</definedName>
    <definedName name="______________SEC15310" localSheetId="4">#REF!</definedName>
    <definedName name="______________SEC15310" localSheetId="3">#REF!</definedName>
    <definedName name="______________SEC15310" localSheetId="5">#REF!</definedName>
    <definedName name="______________SEC15310">#REF!</definedName>
    <definedName name="______________SEC15420" localSheetId="4">#REF!</definedName>
    <definedName name="______________SEC15420" localSheetId="3">#REF!</definedName>
    <definedName name="______________SEC15420" localSheetId="5">#REF!</definedName>
    <definedName name="______________SEC15420">#REF!</definedName>
    <definedName name="______________SEC15440" localSheetId="4">#REF!</definedName>
    <definedName name="______________SEC15440" localSheetId="3">#REF!</definedName>
    <definedName name="______________SEC15440" localSheetId="5">#REF!</definedName>
    <definedName name="______________SEC15440">#REF!</definedName>
    <definedName name="______________SEC15470" localSheetId="4">#REF!</definedName>
    <definedName name="______________SEC15470" localSheetId="3">#REF!</definedName>
    <definedName name="______________SEC15470" localSheetId="5">#REF!</definedName>
    <definedName name="______________SEC15470">#REF!</definedName>
    <definedName name="______________SEC15486" localSheetId="4">#REF!</definedName>
    <definedName name="______________SEC15486" localSheetId="3">#REF!</definedName>
    <definedName name="______________SEC15486" localSheetId="5">#REF!</definedName>
    <definedName name="______________SEC15486">#REF!</definedName>
    <definedName name="______________SEC15540" localSheetId="4">#REF!</definedName>
    <definedName name="______________SEC15540" localSheetId="3">#REF!</definedName>
    <definedName name="______________SEC15540" localSheetId="5">#REF!</definedName>
    <definedName name="______________SEC15540">#REF!</definedName>
    <definedName name="______________SEC15610" localSheetId="4">#REF!</definedName>
    <definedName name="______________SEC15610" localSheetId="3">#REF!</definedName>
    <definedName name="______________SEC15610" localSheetId="5">#REF!</definedName>
    <definedName name="______________SEC15610">#REF!</definedName>
    <definedName name="______________SEC15625" localSheetId="4">#REF!</definedName>
    <definedName name="______________SEC15625" localSheetId="3">#REF!</definedName>
    <definedName name="______________SEC15625" localSheetId="5">#REF!</definedName>
    <definedName name="______________SEC15625">#REF!</definedName>
    <definedName name="______________SEC15680" localSheetId="4">#REF!</definedName>
    <definedName name="______________SEC15680" localSheetId="3">#REF!</definedName>
    <definedName name="______________SEC15680" localSheetId="5">#REF!</definedName>
    <definedName name="______________SEC15680">#REF!</definedName>
    <definedName name="______________SEC15850" localSheetId="4">#REF!</definedName>
    <definedName name="______________SEC15850" localSheetId="3">#REF!</definedName>
    <definedName name="______________SEC15850" localSheetId="5">#REF!</definedName>
    <definedName name="______________SEC15850">#REF!</definedName>
    <definedName name="______________SEC15865" localSheetId="4">#REF!</definedName>
    <definedName name="______________SEC15865" localSheetId="3">#REF!</definedName>
    <definedName name="______________SEC15865" localSheetId="5">#REF!</definedName>
    <definedName name="______________SEC15865">#REF!</definedName>
    <definedName name="______________SEC15875" localSheetId="4">#REF!</definedName>
    <definedName name="______________SEC15875" localSheetId="3">#REF!</definedName>
    <definedName name="______________SEC15875" localSheetId="5">#REF!</definedName>
    <definedName name="______________SEC15875">#REF!</definedName>
    <definedName name="______________SEC15890" localSheetId="4">#REF!</definedName>
    <definedName name="______________SEC15890" localSheetId="3">#REF!</definedName>
    <definedName name="______________SEC15890" localSheetId="5">#REF!</definedName>
    <definedName name="______________SEC15890">#REF!</definedName>
    <definedName name="______________SEC15910" localSheetId="4">#REF!</definedName>
    <definedName name="______________SEC15910" localSheetId="3">#REF!</definedName>
    <definedName name="______________SEC15910" localSheetId="5">#REF!</definedName>
    <definedName name="______________SEC15910">#REF!</definedName>
    <definedName name="______________SEC15940" localSheetId="4">#REF!</definedName>
    <definedName name="______________SEC15940" localSheetId="3">#REF!</definedName>
    <definedName name="______________SEC15940" localSheetId="5">#REF!</definedName>
    <definedName name="______________SEC15940">#REF!</definedName>
    <definedName name="______________SEC15975" localSheetId="4">#REF!</definedName>
    <definedName name="______________SEC15975" localSheetId="3">#REF!</definedName>
    <definedName name="______________SEC15975" localSheetId="5">#REF!</definedName>
    <definedName name="______________SEC15975">#REF!</definedName>
    <definedName name="_____________SEC15030" localSheetId="4">#REF!</definedName>
    <definedName name="_____________SEC15030" localSheetId="3">#REF!</definedName>
    <definedName name="_____________SEC15030" localSheetId="5">#REF!</definedName>
    <definedName name="_____________SEC15030">#REF!</definedName>
    <definedName name="_____________SEC15060" localSheetId="4">#REF!</definedName>
    <definedName name="_____________SEC15060" localSheetId="3">#REF!</definedName>
    <definedName name="_____________SEC15060" localSheetId="5">#REF!</definedName>
    <definedName name="_____________SEC15060">#REF!</definedName>
    <definedName name="_____________SEC15100" localSheetId="4">#REF!</definedName>
    <definedName name="_____________SEC15100" localSheetId="3">#REF!</definedName>
    <definedName name="_____________SEC15100" localSheetId="5">#REF!</definedName>
    <definedName name="_____________SEC15100">#REF!</definedName>
    <definedName name="_____________SEC15110" localSheetId="4">#REF!</definedName>
    <definedName name="_____________SEC15110" localSheetId="3">#REF!</definedName>
    <definedName name="_____________SEC15110" localSheetId="5">#REF!</definedName>
    <definedName name="_____________SEC15110">#REF!</definedName>
    <definedName name="_____________SEC15125" localSheetId="4">#REF!</definedName>
    <definedName name="_____________SEC15125" localSheetId="3">#REF!</definedName>
    <definedName name="_____________SEC15125" localSheetId="5">#REF!</definedName>
    <definedName name="_____________SEC15125">#REF!</definedName>
    <definedName name="_____________SEC15160" localSheetId="4">#REF!</definedName>
    <definedName name="_____________SEC15160" localSheetId="3">#REF!</definedName>
    <definedName name="_____________SEC15160" localSheetId="5">#REF!</definedName>
    <definedName name="_____________SEC15160">#REF!</definedName>
    <definedName name="_____________SEC15175" localSheetId="4">#REF!</definedName>
    <definedName name="_____________SEC15175" localSheetId="3">#REF!</definedName>
    <definedName name="_____________SEC15175" localSheetId="5">#REF!</definedName>
    <definedName name="_____________SEC15175">#REF!</definedName>
    <definedName name="_____________SEC15290" localSheetId="4">#REF!</definedName>
    <definedName name="_____________SEC15290" localSheetId="3">#REF!</definedName>
    <definedName name="_____________SEC15290" localSheetId="5">#REF!</definedName>
    <definedName name="_____________SEC15290">#REF!</definedName>
    <definedName name="_____________SEC15310" localSheetId="4">#REF!</definedName>
    <definedName name="_____________SEC15310" localSheetId="3">#REF!</definedName>
    <definedName name="_____________SEC15310" localSheetId="5">#REF!</definedName>
    <definedName name="_____________SEC15310">#REF!</definedName>
    <definedName name="_____________SEC15420" localSheetId="4">#REF!</definedName>
    <definedName name="_____________SEC15420" localSheetId="3">#REF!</definedName>
    <definedName name="_____________SEC15420" localSheetId="5">#REF!</definedName>
    <definedName name="_____________SEC15420">#REF!</definedName>
    <definedName name="_____________SEC15440" localSheetId="4">#REF!</definedName>
    <definedName name="_____________SEC15440" localSheetId="3">#REF!</definedName>
    <definedName name="_____________SEC15440" localSheetId="5">#REF!</definedName>
    <definedName name="_____________SEC15440">#REF!</definedName>
    <definedName name="_____________SEC15470" localSheetId="4">#REF!</definedName>
    <definedName name="_____________SEC15470" localSheetId="3">#REF!</definedName>
    <definedName name="_____________SEC15470" localSheetId="5">#REF!</definedName>
    <definedName name="_____________SEC15470">#REF!</definedName>
    <definedName name="_____________SEC15486" localSheetId="4">#REF!</definedName>
    <definedName name="_____________SEC15486" localSheetId="3">#REF!</definedName>
    <definedName name="_____________SEC15486" localSheetId="5">#REF!</definedName>
    <definedName name="_____________SEC15486">#REF!</definedName>
    <definedName name="_____________SEC15540" localSheetId="4">#REF!</definedName>
    <definedName name="_____________SEC15540" localSheetId="3">#REF!</definedName>
    <definedName name="_____________SEC15540" localSheetId="5">#REF!</definedName>
    <definedName name="_____________SEC15540">#REF!</definedName>
    <definedName name="_____________SEC15610" localSheetId="4">#REF!</definedName>
    <definedName name="_____________SEC15610" localSheetId="3">#REF!</definedName>
    <definedName name="_____________SEC15610" localSheetId="5">#REF!</definedName>
    <definedName name="_____________SEC15610">#REF!</definedName>
    <definedName name="_____________SEC15625" localSheetId="4">#REF!</definedName>
    <definedName name="_____________SEC15625" localSheetId="3">#REF!</definedName>
    <definedName name="_____________SEC15625" localSheetId="5">#REF!</definedName>
    <definedName name="_____________SEC15625">#REF!</definedName>
    <definedName name="_____________SEC15680" localSheetId="4">#REF!</definedName>
    <definedName name="_____________SEC15680" localSheetId="3">#REF!</definedName>
    <definedName name="_____________SEC15680" localSheetId="5">#REF!</definedName>
    <definedName name="_____________SEC15680">#REF!</definedName>
    <definedName name="_____________SEC15850" localSheetId="4">#REF!</definedName>
    <definedName name="_____________SEC15850" localSheetId="3">#REF!</definedName>
    <definedName name="_____________SEC15850" localSheetId="5">#REF!</definedName>
    <definedName name="_____________SEC15850">#REF!</definedName>
    <definedName name="_____________SEC15865" localSheetId="4">#REF!</definedName>
    <definedName name="_____________SEC15865" localSheetId="3">#REF!</definedName>
    <definedName name="_____________SEC15865" localSheetId="5">#REF!</definedName>
    <definedName name="_____________SEC15865">#REF!</definedName>
    <definedName name="_____________SEC15875" localSheetId="4">#REF!</definedName>
    <definedName name="_____________SEC15875" localSheetId="3">#REF!</definedName>
    <definedName name="_____________SEC15875" localSheetId="5">#REF!</definedName>
    <definedName name="_____________SEC15875">#REF!</definedName>
    <definedName name="_____________SEC15890" localSheetId="4">#REF!</definedName>
    <definedName name="_____________SEC15890" localSheetId="3">#REF!</definedName>
    <definedName name="_____________SEC15890" localSheetId="5">#REF!</definedName>
    <definedName name="_____________SEC15890">#REF!</definedName>
    <definedName name="_____________SEC15910" localSheetId="4">#REF!</definedName>
    <definedName name="_____________SEC15910" localSheetId="3">#REF!</definedName>
    <definedName name="_____________SEC15910" localSheetId="5">#REF!</definedName>
    <definedName name="_____________SEC15910">#REF!</definedName>
    <definedName name="_____________SEC15940" localSheetId="4">#REF!</definedName>
    <definedName name="_____________SEC15940" localSheetId="3">#REF!</definedName>
    <definedName name="_____________SEC15940" localSheetId="5">#REF!</definedName>
    <definedName name="_____________SEC15940">#REF!</definedName>
    <definedName name="_____________SEC15975" localSheetId="4">#REF!</definedName>
    <definedName name="_____________SEC15975" localSheetId="3">#REF!</definedName>
    <definedName name="_____________SEC15975" localSheetId="5">#REF!</definedName>
    <definedName name="_____________SEC15975">#REF!</definedName>
    <definedName name="____________SEC15030" localSheetId="4">#REF!</definedName>
    <definedName name="____________SEC15030" localSheetId="3">#REF!</definedName>
    <definedName name="____________SEC15030" localSheetId="5">#REF!</definedName>
    <definedName name="____________SEC15030">#REF!</definedName>
    <definedName name="____________SEC15060" localSheetId="4">#REF!</definedName>
    <definedName name="____________SEC15060" localSheetId="3">#REF!</definedName>
    <definedName name="____________SEC15060" localSheetId="5">#REF!</definedName>
    <definedName name="____________SEC15060">#REF!</definedName>
    <definedName name="____________SEC15100" localSheetId="4">#REF!</definedName>
    <definedName name="____________SEC15100" localSheetId="3">#REF!</definedName>
    <definedName name="____________SEC15100" localSheetId="5">#REF!</definedName>
    <definedName name="____________SEC15100">#REF!</definedName>
    <definedName name="____________SEC15110" localSheetId="4">#REF!</definedName>
    <definedName name="____________SEC15110" localSheetId="3">#REF!</definedName>
    <definedName name="____________SEC15110" localSheetId="5">#REF!</definedName>
    <definedName name="____________SEC15110">#REF!</definedName>
    <definedName name="____________SEC15125" localSheetId="4">#REF!</definedName>
    <definedName name="____________SEC15125" localSheetId="3">#REF!</definedName>
    <definedName name="____________SEC15125" localSheetId="5">#REF!</definedName>
    <definedName name="____________SEC15125">#REF!</definedName>
    <definedName name="____________SEC15160" localSheetId="4">#REF!</definedName>
    <definedName name="____________SEC15160" localSheetId="3">#REF!</definedName>
    <definedName name="____________SEC15160" localSheetId="5">#REF!</definedName>
    <definedName name="____________SEC15160">#REF!</definedName>
    <definedName name="____________SEC15175" localSheetId="4">#REF!</definedName>
    <definedName name="____________SEC15175" localSheetId="3">#REF!</definedName>
    <definedName name="____________SEC15175" localSheetId="5">#REF!</definedName>
    <definedName name="____________SEC15175">#REF!</definedName>
    <definedName name="____________SEC15290" localSheetId="4">#REF!</definedName>
    <definedName name="____________SEC15290" localSheetId="3">#REF!</definedName>
    <definedName name="____________SEC15290" localSheetId="5">#REF!</definedName>
    <definedName name="____________SEC15290">#REF!</definedName>
    <definedName name="____________SEC15310" localSheetId="4">#REF!</definedName>
    <definedName name="____________SEC15310" localSheetId="3">#REF!</definedName>
    <definedName name="____________SEC15310" localSheetId="5">#REF!</definedName>
    <definedName name="____________SEC15310">#REF!</definedName>
    <definedName name="____________SEC15420" localSheetId="4">#REF!</definedName>
    <definedName name="____________SEC15420" localSheetId="3">#REF!</definedName>
    <definedName name="____________SEC15420" localSheetId="5">#REF!</definedName>
    <definedName name="____________SEC15420">#REF!</definedName>
    <definedName name="____________SEC15440" localSheetId="4">#REF!</definedName>
    <definedName name="____________SEC15440" localSheetId="3">#REF!</definedName>
    <definedName name="____________SEC15440" localSheetId="5">#REF!</definedName>
    <definedName name="____________SEC15440">#REF!</definedName>
    <definedName name="____________SEC15470" localSheetId="4">#REF!</definedName>
    <definedName name="____________SEC15470" localSheetId="3">#REF!</definedName>
    <definedName name="____________SEC15470" localSheetId="5">#REF!</definedName>
    <definedName name="____________SEC15470">#REF!</definedName>
    <definedName name="____________SEC15486" localSheetId="4">#REF!</definedName>
    <definedName name="____________SEC15486" localSheetId="3">#REF!</definedName>
    <definedName name="____________SEC15486" localSheetId="5">#REF!</definedName>
    <definedName name="____________SEC15486">#REF!</definedName>
    <definedName name="____________SEC15540" localSheetId="4">#REF!</definedName>
    <definedName name="____________SEC15540" localSheetId="3">#REF!</definedName>
    <definedName name="____________SEC15540" localSheetId="5">#REF!</definedName>
    <definedName name="____________SEC15540">#REF!</definedName>
    <definedName name="____________SEC15610" localSheetId="4">#REF!</definedName>
    <definedName name="____________SEC15610" localSheetId="3">#REF!</definedName>
    <definedName name="____________SEC15610" localSheetId="5">#REF!</definedName>
    <definedName name="____________SEC15610">#REF!</definedName>
    <definedName name="____________SEC15625" localSheetId="4">#REF!</definedName>
    <definedName name="____________SEC15625" localSheetId="3">#REF!</definedName>
    <definedName name="____________SEC15625" localSheetId="5">#REF!</definedName>
    <definedName name="____________SEC15625">#REF!</definedName>
    <definedName name="____________SEC15680" localSheetId="4">#REF!</definedName>
    <definedName name="____________SEC15680" localSheetId="3">#REF!</definedName>
    <definedName name="____________SEC15680" localSheetId="5">#REF!</definedName>
    <definedName name="____________SEC15680">#REF!</definedName>
    <definedName name="____________SEC15850" localSheetId="4">#REF!</definedName>
    <definedName name="____________SEC15850" localSheetId="3">#REF!</definedName>
    <definedName name="____________SEC15850" localSheetId="5">#REF!</definedName>
    <definedName name="____________SEC15850">#REF!</definedName>
    <definedName name="____________SEC15865" localSheetId="4">#REF!</definedName>
    <definedName name="____________SEC15865" localSheetId="3">#REF!</definedName>
    <definedName name="____________SEC15865" localSheetId="5">#REF!</definedName>
    <definedName name="____________SEC15865">#REF!</definedName>
    <definedName name="____________SEC15875" localSheetId="4">#REF!</definedName>
    <definedName name="____________SEC15875" localSheetId="3">#REF!</definedName>
    <definedName name="____________SEC15875" localSheetId="5">#REF!</definedName>
    <definedName name="____________SEC15875">#REF!</definedName>
    <definedName name="____________SEC15890" localSheetId="4">#REF!</definedName>
    <definedName name="____________SEC15890" localSheetId="3">#REF!</definedName>
    <definedName name="____________SEC15890" localSheetId="5">#REF!</definedName>
    <definedName name="____________SEC15890">#REF!</definedName>
    <definedName name="____________SEC15910" localSheetId="4">#REF!</definedName>
    <definedName name="____________SEC15910" localSheetId="3">#REF!</definedName>
    <definedName name="____________SEC15910" localSheetId="5">#REF!</definedName>
    <definedName name="____________SEC15910">#REF!</definedName>
    <definedName name="____________SEC15940" localSheetId="4">#REF!</definedName>
    <definedName name="____________SEC15940" localSheetId="3">#REF!</definedName>
    <definedName name="____________SEC15940" localSheetId="5">#REF!</definedName>
    <definedName name="____________SEC15940">#REF!</definedName>
    <definedName name="____________SEC15975" localSheetId="4">#REF!</definedName>
    <definedName name="____________SEC15975" localSheetId="3">#REF!</definedName>
    <definedName name="____________SEC15975" localSheetId="5">#REF!</definedName>
    <definedName name="____________SEC15975">#REF!</definedName>
    <definedName name="___________SEC15030" localSheetId="4">#REF!</definedName>
    <definedName name="___________SEC15030" localSheetId="3">#REF!</definedName>
    <definedName name="___________SEC15030" localSheetId="5">#REF!</definedName>
    <definedName name="___________SEC15030">#REF!</definedName>
    <definedName name="___________SEC15060" localSheetId="4">#REF!</definedName>
    <definedName name="___________SEC15060" localSheetId="3">#REF!</definedName>
    <definedName name="___________SEC15060" localSheetId="5">#REF!</definedName>
    <definedName name="___________SEC15060">#REF!</definedName>
    <definedName name="___________SEC15100" localSheetId="4">#REF!</definedName>
    <definedName name="___________SEC15100" localSheetId="3">#REF!</definedName>
    <definedName name="___________SEC15100" localSheetId="5">#REF!</definedName>
    <definedName name="___________SEC15100">#REF!</definedName>
    <definedName name="___________SEC15110" localSheetId="4">#REF!</definedName>
    <definedName name="___________SEC15110" localSheetId="3">#REF!</definedName>
    <definedName name="___________SEC15110" localSheetId="5">#REF!</definedName>
    <definedName name="___________SEC15110">#REF!</definedName>
    <definedName name="___________SEC15125" localSheetId="4">#REF!</definedName>
    <definedName name="___________SEC15125" localSheetId="3">#REF!</definedName>
    <definedName name="___________SEC15125" localSheetId="5">#REF!</definedName>
    <definedName name="___________SEC15125">#REF!</definedName>
    <definedName name="___________SEC15160" localSheetId="4">#REF!</definedName>
    <definedName name="___________SEC15160" localSheetId="3">#REF!</definedName>
    <definedName name="___________SEC15160" localSheetId="5">#REF!</definedName>
    <definedName name="___________SEC15160">#REF!</definedName>
    <definedName name="___________SEC15175" localSheetId="4">#REF!</definedName>
    <definedName name="___________SEC15175" localSheetId="3">#REF!</definedName>
    <definedName name="___________SEC15175" localSheetId="5">#REF!</definedName>
    <definedName name="___________SEC15175">#REF!</definedName>
    <definedName name="___________SEC15290" localSheetId="4">#REF!</definedName>
    <definedName name="___________SEC15290" localSheetId="3">#REF!</definedName>
    <definedName name="___________SEC15290" localSheetId="5">#REF!</definedName>
    <definedName name="___________SEC15290">#REF!</definedName>
    <definedName name="___________SEC15310" localSheetId="4">#REF!</definedName>
    <definedName name="___________SEC15310" localSheetId="3">#REF!</definedName>
    <definedName name="___________SEC15310" localSheetId="5">#REF!</definedName>
    <definedName name="___________SEC15310">#REF!</definedName>
    <definedName name="___________SEC15420" localSheetId="4">#REF!</definedName>
    <definedName name="___________SEC15420" localSheetId="3">#REF!</definedName>
    <definedName name="___________SEC15420" localSheetId="5">#REF!</definedName>
    <definedName name="___________SEC15420">#REF!</definedName>
    <definedName name="___________SEC15440" localSheetId="4">#REF!</definedName>
    <definedName name="___________SEC15440" localSheetId="3">#REF!</definedName>
    <definedName name="___________SEC15440" localSheetId="5">#REF!</definedName>
    <definedName name="___________SEC15440">#REF!</definedName>
    <definedName name="___________SEC15470" localSheetId="4">#REF!</definedName>
    <definedName name="___________SEC15470" localSheetId="3">#REF!</definedName>
    <definedName name="___________SEC15470" localSheetId="5">#REF!</definedName>
    <definedName name="___________SEC15470">#REF!</definedName>
    <definedName name="___________SEC15486" localSheetId="4">#REF!</definedName>
    <definedName name="___________SEC15486" localSheetId="3">#REF!</definedName>
    <definedName name="___________SEC15486" localSheetId="5">#REF!</definedName>
    <definedName name="___________SEC15486">#REF!</definedName>
    <definedName name="___________SEC15540" localSheetId="4">#REF!</definedName>
    <definedName name="___________SEC15540" localSheetId="3">#REF!</definedName>
    <definedName name="___________SEC15540" localSheetId="5">#REF!</definedName>
    <definedName name="___________SEC15540">#REF!</definedName>
    <definedName name="___________SEC15610" localSheetId="4">#REF!</definedName>
    <definedName name="___________SEC15610" localSheetId="3">#REF!</definedName>
    <definedName name="___________SEC15610" localSheetId="5">#REF!</definedName>
    <definedName name="___________SEC15610">#REF!</definedName>
    <definedName name="___________SEC15625" localSheetId="4">#REF!</definedName>
    <definedName name="___________SEC15625" localSheetId="3">#REF!</definedName>
    <definedName name="___________SEC15625" localSheetId="5">#REF!</definedName>
    <definedName name="___________SEC15625">#REF!</definedName>
    <definedName name="___________SEC15680" localSheetId="4">#REF!</definedName>
    <definedName name="___________SEC15680" localSheetId="3">#REF!</definedName>
    <definedName name="___________SEC15680" localSheetId="5">#REF!</definedName>
    <definedName name="___________SEC15680">#REF!</definedName>
    <definedName name="___________SEC15850" localSheetId="4">#REF!</definedName>
    <definedName name="___________SEC15850" localSheetId="3">#REF!</definedName>
    <definedName name="___________SEC15850" localSheetId="5">#REF!</definedName>
    <definedName name="___________SEC15850">#REF!</definedName>
    <definedName name="___________SEC15865" localSheetId="4">#REF!</definedName>
    <definedName name="___________SEC15865" localSheetId="3">#REF!</definedName>
    <definedName name="___________SEC15865" localSheetId="5">#REF!</definedName>
    <definedName name="___________SEC15865">#REF!</definedName>
    <definedName name="___________SEC15875" localSheetId="4">#REF!</definedName>
    <definedName name="___________SEC15875" localSheetId="3">#REF!</definedName>
    <definedName name="___________SEC15875" localSheetId="5">#REF!</definedName>
    <definedName name="___________SEC15875">#REF!</definedName>
    <definedName name="___________SEC15890" localSheetId="4">#REF!</definedName>
    <definedName name="___________SEC15890" localSheetId="3">#REF!</definedName>
    <definedName name="___________SEC15890" localSheetId="5">#REF!</definedName>
    <definedName name="___________SEC15890">#REF!</definedName>
    <definedName name="___________SEC15910" localSheetId="4">#REF!</definedName>
    <definedName name="___________SEC15910" localSheetId="3">#REF!</definedName>
    <definedName name="___________SEC15910" localSheetId="5">#REF!</definedName>
    <definedName name="___________SEC15910">#REF!</definedName>
    <definedName name="___________SEC15940" localSheetId="4">#REF!</definedName>
    <definedName name="___________SEC15940" localSheetId="3">#REF!</definedName>
    <definedName name="___________SEC15940" localSheetId="5">#REF!</definedName>
    <definedName name="___________SEC15940">#REF!</definedName>
    <definedName name="___________SEC15975" localSheetId="4">#REF!</definedName>
    <definedName name="___________SEC15975" localSheetId="3">#REF!</definedName>
    <definedName name="___________SEC15975" localSheetId="5">#REF!</definedName>
    <definedName name="___________SEC15975">#REF!</definedName>
    <definedName name="__________SEC15030" localSheetId="4">#REF!</definedName>
    <definedName name="__________SEC15030" localSheetId="3">#REF!</definedName>
    <definedName name="__________SEC15030" localSheetId="5">#REF!</definedName>
    <definedName name="__________SEC15030">#REF!</definedName>
    <definedName name="__________SEC15060" localSheetId="4">#REF!</definedName>
    <definedName name="__________SEC15060" localSheetId="3">#REF!</definedName>
    <definedName name="__________SEC15060" localSheetId="5">#REF!</definedName>
    <definedName name="__________SEC15060">#REF!</definedName>
    <definedName name="__________SEC15100" localSheetId="4">#REF!</definedName>
    <definedName name="__________SEC15100" localSheetId="3">#REF!</definedName>
    <definedName name="__________SEC15100" localSheetId="5">#REF!</definedName>
    <definedName name="__________SEC15100">#REF!</definedName>
    <definedName name="__________SEC15110" localSheetId="4">#REF!</definedName>
    <definedName name="__________SEC15110" localSheetId="3">#REF!</definedName>
    <definedName name="__________SEC15110" localSheetId="5">#REF!</definedName>
    <definedName name="__________SEC15110">#REF!</definedName>
    <definedName name="__________SEC15125" localSheetId="4">#REF!</definedName>
    <definedName name="__________SEC15125" localSheetId="3">#REF!</definedName>
    <definedName name="__________SEC15125" localSheetId="5">#REF!</definedName>
    <definedName name="__________SEC15125">#REF!</definedName>
    <definedName name="__________SEC15160" localSheetId="4">#REF!</definedName>
    <definedName name="__________SEC15160" localSheetId="3">#REF!</definedName>
    <definedName name="__________SEC15160" localSheetId="5">#REF!</definedName>
    <definedName name="__________SEC15160">#REF!</definedName>
    <definedName name="__________SEC15175" localSheetId="4">#REF!</definedName>
    <definedName name="__________SEC15175" localSheetId="3">#REF!</definedName>
    <definedName name="__________SEC15175" localSheetId="5">#REF!</definedName>
    <definedName name="__________SEC15175">#REF!</definedName>
    <definedName name="__________SEC15290" localSheetId="4">#REF!</definedName>
    <definedName name="__________SEC15290" localSheetId="3">#REF!</definedName>
    <definedName name="__________SEC15290" localSheetId="5">#REF!</definedName>
    <definedName name="__________SEC15290">#REF!</definedName>
    <definedName name="__________SEC15310" localSheetId="4">#REF!</definedName>
    <definedName name="__________SEC15310" localSheetId="3">#REF!</definedName>
    <definedName name="__________SEC15310" localSheetId="5">#REF!</definedName>
    <definedName name="__________SEC15310">#REF!</definedName>
    <definedName name="__________SEC15420" localSheetId="4">#REF!</definedName>
    <definedName name="__________SEC15420" localSheetId="3">#REF!</definedName>
    <definedName name="__________SEC15420" localSheetId="5">#REF!</definedName>
    <definedName name="__________SEC15420">#REF!</definedName>
    <definedName name="__________SEC15440" localSheetId="4">#REF!</definedName>
    <definedName name="__________SEC15440" localSheetId="3">#REF!</definedName>
    <definedName name="__________SEC15440" localSheetId="5">#REF!</definedName>
    <definedName name="__________SEC15440">#REF!</definedName>
    <definedName name="__________SEC15470" localSheetId="4">#REF!</definedName>
    <definedName name="__________SEC15470" localSheetId="3">#REF!</definedName>
    <definedName name="__________SEC15470" localSheetId="5">#REF!</definedName>
    <definedName name="__________SEC15470">#REF!</definedName>
    <definedName name="__________SEC15486" localSheetId="4">#REF!</definedName>
    <definedName name="__________SEC15486" localSheetId="3">#REF!</definedName>
    <definedName name="__________SEC15486" localSheetId="5">#REF!</definedName>
    <definedName name="__________SEC15486">#REF!</definedName>
    <definedName name="__________SEC15540" localSheetId="4">#REF!</definedName>
    <definedName name="__________SEC15540" localSheetId="3">#REF!</definedName>
    <definedName name="__________SEC15540" localSheetId="5">#REF!</definedName>
    <definedName name="__________SEC15540">#REF!</definedName>
    <definedName name="__________SEC15610" localSheetId="4">#REF!</definedName>
    <definedName name="__________SEC15610" localSheetId="3">#REF!</definedName>
    <definedName name="__________SEC15610" localSheetId="5">#REF!</definedName>
    <definedName name="__________SEC15610">#REF!</definedName>
    <definedName name="__________SEC15625" localSheetId="4">#REF!</definedName>
    <definedName name="__________SEC15625" localSheetId="3">#REF!</definedName>
    <definedName name="__________SEC15625" localSheetId="5">#REF!</definedName>
    <definedName name="__________SEC15625">#REF!</definedName>
    <definedName name="__________SEC15680" localSheetId="4">#REF!</definedName>
    <definedName name="__________SEC15680" localSheetId="3">#REF!</definedName>
    <definedName name="__________SEC15680" localSheetId="5">#REF!</definedName>
    <definedName name="__________SEC15680">#REF!</definedName>
    <definedName name="__________SEC15850" localSheetId="4">#REF!</definedName>
    <definedName name="__________SEC15850" localSheetId="3">#REF!</definedName>
    <definedName name="__________SEC15850" localSheetId="5">#REF!</definedName>
    <definedName name="__________SEC15850">#REF!</definedName>
    <definedName name="__________SEC15865" localSheetId="4">#REF!</definedName>
    <definedName name="__________SEC15865" localSheetId="3">#REF!</definedName>
    <definedName name="__________SEC15865" localSheetId="5">#REF!</definedName>
    <definedName name="__________SEC15865">#REF!</definedName>
    <definedName name="__________SEC15875" localSheetId="4">#REF!</definedName>
    <definedName name="__________SEC15875" localSheetId="3">#REF!</definedName>
    <definedName name="__________SEC15875" localSheetId="5">#REF!</definedName>
    <definedName name="__________SEC15875">#REF!</definedName>
    <definedName name="__________SEC15890" localSheetId="4">#REF!</definedName>
    <definedName name="__________SEC15890" localSheetId="3">#REF!</definedName>
    <definedName name="__________SEC15890" localSheetId="5">#REF!</definedName>
    <definedName name="__________SEC15890">#REF!</definedName>
    <definedName name="__________SEC15910" localSheetId="4">#REF!</definedName>
    <definedName name="__________SEC15910" localSheetId="3">#REF!</definedName>
    <definedName name="__________SEC15910" localSheetId="5">#REF!</definedName>
    <definedName name="__________SEC15910">#REF!</definedName>
    <definedName name="__________SEC15940" localSheetId="4">#REF!</definedName>
    <definedName name="__________SEC15940" localSheetId="3">#REF!</definedName>
    <definedName name="__________SEC15940" localSheetId="5">#REF!</definedName>
    <definedName name="__________SEC15940">#REF!</definedName>
    <definedName name="__________SEC15975" localSheetId="4">#REF!</definedName>
    <definedName name="__________SEC15975" localSheetId="3">#REF!</definedName>
    <definedName name="__________SEC15975" localSheetId="5">#REF!</definedName>
    <definedName name="__________SEC15975">#REF!</definedName>
    <definedName name="_________SEC15030" localSheetId="4">#REF!</definedName>
    <definedName name="_________SEC15030" localSheetId="3">#REF!</definedName>
    <definedName name="_________SEC15030" localSheetId="5">#REF!</definedName>
    <definedName name="_________SEC15030">#REF!</definedName>
    <definedName name="_________SEC15060" localSheetId="4">#REF!</definedName>
    <definedName name="_________SEC15060" localSheetId="3">#REF!</definedName>
    <definedName name="_________SEC15060" localSheetId="5">#REF!</definedName>
    <definedName name="_________SEC15060">#REF!</definedName>
    <definedName name="_________SEC15100" localSheetId="4">#REF!</definedName>
    <definedName name="_________SEC15100" localSheetId="3">#REF!</definedName>
    <definedName name="_________SEC15100" localSheetId="5">#REF!</definedName>
    <definedName name="_________SEC15100">#REF!</definedName>
    <definedName name="_________SEC15110" localSheetId="4">#REF!</definedName>
    <definedName name="_________SEC15110" localSheetId="3">#REF!</definedName>
    <definedName name="_________SEC15110" localSheetId="5">#REF!</definedName>
    <definedName name="_________SEC15110">#REF!</definedName>
    <definedName name="_________SEC15125" localSheetId="4">#REF!</definedName>
    <definedName name="_________SEC15125" localSheetId="3">#REF!</definedName>
    <definedName name="_________SEC15125" localSheetId="5">#REF!</definedName>
    <definedName name="_________SEC15125">#REF!</definedName>
    <definedName name="_________SEC15160" localSheetId="4">#REF!</definedName>
    <definedName name="_________SEC15160" localSheetId="3">#REF!</definedName>
    <definedName name="_________SEC15160" localSheetId="5">#REF!</definedName>
    <definedName name="_________SEC15160">#REF!</definedName>
    <definedName name="_________SEC15175" localSheetId="4">#REF!</definedName>
    <definedName name="_________SEC15175" localSheetId="3">#REF!</definedName>
    <definedName name="_________SEC15175" localSheetId="5">#REF!</definedName>
    <definedName name="_________SEC15175">#REF!</definedName>
    <definedName name="_________SEC15290" localSheetId="4">#REF!</definedName>
    <definedName name="_________SEC15290" localSheetId="3">#REF!</definedName>
    <definedName name="_________SEC15290" localSheetId="5">#REF!</definedName>
    <definedName name="_________SEC15290">#REF!</definedName>
    <definedName name="_________SEC15310" localSheetId="4">#REF!</definedName>
    <definedName name="_________SEC15310" localSheetId="3">#REF!</definedName>
    <definedName name="_________SEC15310" localSheetId="5">#REF!</definedName>
    <definedName name="_________SEC15310">#REF!</definedName>
    <definedName name="_________SEC15420" localSheetId="4">#REF!</definedName>
    <definedName name="_________SEC15420" localSheetId="3">#REF!</definedName>
    <definedName name="_________SEC15420" localSheetId="5">#REF!</definedName>
    <definedName name="_________SEC15420">#REF!</definedName>
    <definedName name="_________SEC15440" localSheetId="4">#REF!</definedName>
    <definedName name="_________SEC15440" localSheetId="3">#REF!</definedName>
    <definedName name="_________SEC15440" localSheetId="5">#REF!</definedName>
    <definedName name="_________SEC15440">#REF!</definedName>
    <definedName name="_________SEC15470" localSheetId="4">#REF!</definedName>
    <definedName name="_________SEC15470" localSheetId="3">#REF!</definedName>
    <definedName name="_________SEC15470" localSheetId="5">#REF!</definedName>
    <definedName name="_________SEC15470">#REF!</definedName>
    <definedName name="_________SEC15486" localSheetId="4">#REF!</definedName>
    <definedName name="_________SEC15486" localSheetId="3">#REF!</definedName>
    <definedName name="_________SEC15486" localSheetId="5">#REF!</definedName>
    <definedName name="_________SEC15486">#REF!</definedName>
    <definedName name="_________SEC15540" localSheetId="4">#REF!</definedName>
    <definedName name="_________SEC15540" localSheetId="3">#REF!</definedName>
    <definedName name="_________SEC15540" localSheetId="5">#REF!</definedName>
    <definedName name="_________SEC15540">#REF!</definedName>
    <definedName name="_________SEC15610" localSheetId="4">#REF!</definedName>
    <definedName name="_________SEC15610" localSheetId="3">#REF!</definedName>
    <definedName name="_________SEC15610" localSheetId="5">#REF!</definedName>
    <definedName name="_________SEC15610">#REF!</definedName>
    <definedName name="_________SEC15625" localSheetId="4">#REF!</definedName>
    <definedName name="_________SEC15625" localSheetId="3">#REF!</definedName>
    <definedName name="_________SEC15625" localSheetId="5">#REF!</definedName>
    <definedName name="_________SEC15625">#REF!</definedName>
    <definedName name="_________SEC15680" localSheetId="4">#REF!</definedName>
    <definedName name="_________SEC15680" localSheetId="3">#REF!</definedName>
    <definedName name="_________SEC15680" localSheetId="5">#REF!</definedName>
    <definedName name="_________SEC15680">#REF!</definedName>
    <definedName name="_________SEC15850" localSheetId="4">#REF!</definedName>
    <definedName name="_________SEC15850" localSheetId="3">#REF!</definedName>
    <definedName name="_________SEC15850" localSheetId="5">#REF!</definedName>
    <definedName name="_________SEC15850">#REF!</definedName>
    <definedName name="_________SEC15865" localSheetId="4">#REF!</definedName>
    <definedName name="_________SEC15865" localSheetId="3">#REF!</definedName>
    <definedName name="_________SEC15865" localSheetId="5">#REF!</definedName>
    <definedName name="_________SEC15865">#REF!</definedName>
    <definedName name="_________SEC15875" localSheetId="4">#REF!</definedName>
    <definedName name="_________SEC15875" localSheetId="3">#REF!</definedName>
    <definedName name="_________SEC15875" localSheetId="5">#REF!</definedName>
    <definedName name="_________SEC15875">#REF!</definedName>
    <definedName name="_________SEC15890" localSheetId="4">#REF!</definedName>
    <definedName name="_________SEC15890" localSheetId="3">#REF!</definedName>
    <definedName name="_________SEC15890" localSheetId="5">#REF!</definedName>
    <definedName name="_________SEC15890">#REF!</definedName>
    <definedName name="_________SEC15910" localSheetId="4">#REF!</definedName>
    <definedName name="_________SEC15910" localSheetId="3">#REF!</definedName>
    <definedName name="_________SEC15910" localSheetId="5">#REF!</definedName>
    <definedName name="_________SEC15910">#REF!</definedName>
    <definedName name="_________SEC15940" localSheetId="4">#REF!</definedName>
    <definedName name="_________SEC15940" localSheetId="3">#REF!</definedName>
    <definedName name="_________SEC15940" localSheetId="5">#REF!</definedName>
    <definedName name="_________SEC15940">#REF!</definedName>
    <definedName name="_________SEC15975" localSheetId="4">#REF!</definedName>
    <definedName name="_________SEC15975" localSheetId="3">#REF!</definedName>
    <definedName name="_________SEC15975" localSheetId="5">#REF!</definedName>
    <definedName name="_________SEC15975">#REF!</definedName>
    <definedName name="________bil3" localSheetId="2">#REF!</definedName>
    <definedName name="________bil3" localSheetId="1">#REF!</definedName>
    <definedName name="________bil3" localSheetId="0">#REF!</definedName>
    <definedName name="________bil3" localSheetId="4">#REF!</definedName>
    <definedName name="________bil3" localSheetId="3">#REF!</definedName>
    <definedName name="________bil3" localSheetId="5">#REF!</definedName>
    <definedName name="________bil3">#REF!</definedName>
    <definedName name="________DWR001" localSheetId="4">#REF!</definedName>
    <definedName name="________DWR001" localSheetId="3">#REF!</definedName>
    <definedName name="________DWR001" localSheetId="5">#REF!</definedName>
    <definedName name="________DWR001">#REF!</definedName>
    <definedName name="________DWR002" localSheetId="4">#REF!</definedName>
    <definedName name="________DWR002" localSheetId="3">#REF!</definedName>
    <definedName name="________DWR002" localSheetId="5">#REF!</definedName>
    <definedName name="________DWR002">#REF!</definedName>
    <definedName name="________DWR003" localSheetId="4">#REF!</definedName>
    <definedName name="________DWR003" localSheetId="3">#REF!</definedName>
    <definedName name="________DWR003" localSheetId="5">#REF!</definedName>
    <definedName name="________DWR003">#REF!</definedName>
    <definedName name="________DWR004" localSheetId="4">#REF!</definedName>
    <definedName name="________DWR004" localSheetId="3">#REF!</definedName>
    <definedName name="________DWR004" localSheetId="5">#REF!</definedName>
    <definedName name="________DWR004">#REF!</definedName>
    <definedName name="________DWR005" localSheetId="4">#REF!</definedName>
    <definedName name="________DWR005" localSheetId="3">#REF!</definedName>
    <definedName name="________DWR005" localSheetId="5">#REF!</definedName>
    <definedName name="________DWR005">#REF!</definedName>
    <definedName name="________SEC15030" localSheetId="4">#REF!</definedName>
    <definedName name="________SEC15030" localSheetId="3">#REF!</definedName>
    <definedName name="________SEC15030" localSheetId="5">#REF!</definedName>
    <definedName name="________SEC15030">#REF!</definedName>
    <definedName name="________SEC15060" localSheetId="4">#REF!</definedName>
    <definedName name="________SEC15060" localSheetId="3">#REF!</definedName>
    <definedName name="________SEC15060" localSheetId="5">#REF!</definedName>
    <definedName name="________SEC15060">#REF!</definedName>
    <definedName name="________SEC15100" localSheetId="4">#REF!</definedName>
    <definedName name="________SEC15100" localSheetId="3">#REF!</definedName>
    <definedName name="________SEC15100" localSheetId="5">#REF!</definedName>
    <definedName name="________SEC15100">#REF!</definedName>
    <definedName name="________SEC15110" localSheetId="4">#REF!</definedName>
    <definedName name="________SEC15110" localSheetId="3">#REF!</definedName>
    <definedName name="________SEC15110" localSheetId="5">#REF!</definedName>
    <definedName name="________SEC15110">#REF!</definedName>
    <definedName name="________SEC15125" localSheetId="4">#REF!</definedName>
    <definedName name="________SEC15125" localSheetId="3">#REF!</definedName>
    <definedName name="________SEC15125" localSheetId="5">#REF!</definedName>
    <definedName name="________SEC15125">#REF!</definedName>
    <definedName name="________SEC15160" localSheetId="4">#REF!</definedName>
    <definedName name="________SEC15160" localSheetId="3">#REF!</definedName>
    <definedName name="________SEC15160" localSheetId="5">#REF!</definedName>
    <definedName name="________SEC15160">#REF!</definedName>
    <definedName name="________SEC15175" localSheetId="4">#REF!</definedName>
    <definedName name="________SEC15175" localSheetId="3">#REF!</definedName>
    <definedName name="________SEC15175" localSheetId="5">#REF!</definedName>
    <definedName name="________SEC15175">#REF!</definedName>
    <definedName name="________SEC15290" localSheetId="4">#REF!</definedName>
    <definedName name="________SEC15290" localSheetId="3">#REF!</definedName>
    <definedName name="________SEC15290" localSheetId="5">#REF!</definedName>
    <definedName name="________SEC15290">#REF!</definedName>
    <definedName name="________SEC15310" localSheetId="4">#REF!</definedName>
    <definedName name="________SEC15310" localSheetId="3">#REF!</definedName>
    <definedName name="________SEC15310" localSheetId="5">#REF!</definedName>
    <definedName name="________SEC15310">#REF!</definedName>
    <definedName name="________SEC15420" localSheetId="4">#REF!</definedName>
    <definedName name="________SEC15420" localSheetId="3">#REF!</definedName>
    <definedName name="________SEC15420" localSheetId="5">#REF!</definedName>
    <definedName name="________SEC15420">#REF!</definedName>
    <definedName name="________SEC15440" localSheetId="4">#REF!</definedName>
    <definedName name="________SEC15440" localSheetId="3">#REF!</definedName>
    <definedName name="________SEC15440" localSheetId="5">#REF!</definedName>
    <definedName name="________SEC15440">#REF!</definedName>
    <definedName name="________SEC15470" localSheetId="4">#REF!</definedName>
    <definedName name="________SEC15470" localSheetId="3">#REF!</definedName>
    <definedName name="________SEC15470" localSheetId="5">#REF!</definedName>
    <definedName name="________SEC15470">#REF!</definedName>
    <definedName name="________SEC15486" localSheetId="4">#REF!</definedName>
    <definedName name="________SEC15486" localSheetId="3">#REF!</definedName>
    <definedName name="________SEC15486" localSheetId="5">#REF!</definedName>
    <definedName name="________SEC15486">#REF!</definedName>
    <definedName name="________SEC15540" localSheetId="4">#REF!</definedName>
    <definedName name="________SEC15540" localSheetId="3">#REF!</definedName>
    <definedName name="________SEC15540" localSheetId="5">#REF!</definedName>
    <definedName name="________SEC15540">#REF!</definedName>
    <definedName name="________SEC15610" localSheetId="4">#REF!</definedName>
    <definedName name="________SEC15610" localSheetId="3">#REF!</definedName>
    <definedName name="________SEC15610" localSheetId="5">#REF!</definedName>
    <definedName name="________SEC15610">#REF!</definedName>
    <definedName name="________SEC15625" localSheetId="4">#REF!</definedName>
    <definedName name="________SEC15625" localSheetId="3">#REF!</definedName>
    <definedName name="________SEC15625" localSheetId="5">#REF!</definedName>
    <definedName name="________SEC15625">#REF!</definedName>
    <definedName name="________SEC15680" localSheetId="4">#REF!</definedName>
    <definedName name="________SEC15680" localSheetId="3">#REF!</definedName>
    <definedName name="________SEC15680" localSheetId="5">#REF!</definedName>
    <definedName name="________SEC15680">#REF!</definedName>
    <definedName name="________SEC15850" localSheetId="4">#REF!</definedName>
    <definedName name="________SEC15850" localSheetId="3">#REF!</definedName>
    <definedName name="________SEC15850" localSheetId="5">#REF!</definedName>
    <definedName name="________SEC15850">#REF!</definedName>
    <definedName name="________SEC15865" localSheetId="4">#REF!</definedName>
    <definedName name="________SEC15865" localSheetId="3">#REF!</definedName>
    <definedName name="________SEC15865" localSheetId="5">#REF!</definedName>
    <definedName name="________SEC15865">#REF!</definedName>
    <definedName name="________SEC15875" localSheetId="4">#REF!</definedName>
    <definedName name="________SEC15875" localSheetId="3">#REF!</definedName>
    <definedName name="________SEC15875" localSheetId="5">#REF!</definedName>
    <definedName name="________SEC15875">#REF!</definedName>
    <definedName name="________SEC15890" localSheetId="4">#REF!</definedName>
    <definedName name="________SEC15890" localSheetId="3">#REF!</definedName>
    <definedName name="________SEC15890" localSheetId="5">#REF!</definedName>
    <definedName name="________SEC15890">#REF!</definedName>
    <definedName name="________SEC15910" localSheetId="4">#REF!</definedName>
    <definedName name="________SEC15910" localSheetId="3">#REF!</definedName>
    <definedName name="________SEC15910" localSheetId="5">#REF!</definedName>
    <definedName name="________SEC15910">#REF!</definedName>
    <definedName name="________SEC15940" localSheetId="4">#REF!</definedName>
    <definedName name="________SEC15940" localSheetId="3">#REF!</definedName>
    <definedName name="________SEC15940" localSheetId="5">#REF!</definedName>
    <definedName name="________SEC15940">#REF!</definedName>
    <definedName name="________SEC15975" localSheetId="4">#REF!</definedName>
    <definedName name="________SEC15975" localSheetId="3">#REF!</definedName>
    <definedName name="________SEC15975" localSheetId="5">#REF!</definedName>
    <definedName name="________SEC15975">#REF!</definedName>
    <definedName name="________tas2" localSheetId="2">#REF!</definedName>
    <definedName name="________tas2" localSheetId="1">#REF!</definedName>
    <definedName name="________tas2" localSheetId="0">#REF!</definedName>
    <definedName name="________tas2" localSheetId="4">#REF!</definedName>
    <definedName name="________tas2" localSheetId="3">#REF!</definedName>
    <definedName name="________tas2" localSheetId="5">#REF!</definedName>
    <definedName name="________tas2">#REF!</definedName>
    <definedName name="________tas3" localSheetId="2">#REF!</definedName>
    <definedName name="________tas3" localSheetId="1">#REF!</definedName>
    <definedName name="________tas3" localSheetId="0">#REF!</definedName>
    <definedName name="________tas3" localSheetId="4">#REF!</definedName>
    <definedName name="________tas3" localSheetId="3">#REF!</definedName>
    <definedName name="________tas3" localSheetId="5">#REF!</definedName>
    <definedName name="________tas3">#REF!</definedName>
    <definedName name="_______bil3" localSheetId="2">#REF!</definedName>
    <definedName name="_______bil3" localSheetId="1">#REF!</definedName>
    <definedName name="_______bil3" localSheetId="0">#REF!</definedName>
    <definedName name="_______bil3" localSheetId="4">#REF!</definedName>
    <definedName name="_______bil3" localSheetId="3">#REF!</definedName>
    <definedName name="_______bil3" localSheetId="5">#REF!</definedName>
    <definedName name="_______bil3">#REF!</definedName>
    <definedName name="_______BLK100" localSheetId="4">#REF!</definedName>
    <definedName name="_______BLK100" localSheetId="3">#REF!</definedName>
    <definedName name="_______BLK100" localSheetId="5">#REF!</definedName>
    <definedName name="_______BLK100">#REF!</definedName>
    <definedName name="_______DPM375" localSheetId="4">#REF!</definedName>
    <definedName name="_______DPM375" localSheetId="3">#REF!</definedName>
    <definedName name="_______DPM375" localSheetId="5">#REF!</definedName>
    <definedName name="_______DPM375">#REF!</definedName>
    <definedName name="_______DWR001" localSheetId="4">#REF!</definedName>
    <definedName name="_______DWR001" localSheetId="3">#REF!</definedName>
    <definedName name="_______DWR001" localSheetId="5">#REF!</definedName>
    <definedName name="_______DWR001">#REF!</definedName>
    <definedName name="_______DWR002" localSheetId="4">#REF!</definedName>
    <definedName name="_______DWR002" localSheetId="3">#REF!</definedName>
    <definedName name="_______DWR002" localSheetId="5">#REF!</definedName>
    <definedName name="_______DWR002">#REF!</definedName>
    <definedName name="_______DWR003" localSheetId="4">#REF!</definedName>
    <definedName name="_______DWR003" localSheetId="3">#REF!</definedName>
    <definedName name="_______DWR003" localSheetId="5">#REF!</definedName>
    <definedName name="_______DWR003">#REF!</definedName>
    <definedName name="_______DWR004" localSheetId="4">#REF!</definedName>
    <definedName name="_______DWR004" localSheetId="3">#REF!</definedName>
    <definedName name="_______DWR004" localSheetId="5">#REF!</definedName>
    <definedName name="_______DWR004">#REF!</definedName>
    <definedName name="_______DWR005" localSheetId="4">#REF!</definedName>
    <definedName name="_______DWR005" localSheetId="3">#REF!</definedName>
    <definedName name="_______DWR005" localSheetId="5">#REF!</definedName>
    <definedName name="_______DWR005">#REF!</definedName>
    <definedName name="_______DWR0053" localSheetId="4">#REF!</definedName>
    <definedName name="_______DWR0053" localSheetId="3">#REF!</definedName>
    <definedName name="_______DWR0053" localSheetId="5">#REF!</definedName>
    <definedName name="_______DWR0053">#REF!</definedName>
    <definedName name="_______esc1" localSheetId="4">#REF!</definedName>
    <definedName name="_______esc1" localSheetId="3">#REF!</definedName>
    <definedName name="_______esc1" localSheetId="5">#REF!</definedName>
    <definedName name="_______esc1">#REF!</definedName>
    <definedName name="_______ngk1109" localSheetId="2" hidden="1">{#N/A,#N/A,FALSE,"估價單  (3)"}</definedName>
    <definedName name="_______ngk1109" localSheetId="1" hidden="1">{#N/A,#N/A,FALSE,"估價單  (3)"}</definedName>
    <definedName name="_______ngk1109" localSheetId="0" hidden="1">{#N/A,#N/A,FALSE,"估價單  (3)"}</definedName>
    <definedName name="_______ngk1109" localSheetId="4" hidden="1">{#N/A,#N/A,FALSE,"估價單  (3)"}</definedName>
    <definedName name="_______ngk1109" localSheetId="3" hidden="1">{#N/A,#N/A,FALSE,"估價單  (3)"}</definedName>
    <definedName name="_______ngk1109" localSheetId="5" hidden="1">{#N/A,#N/A,FALSE,"估價單  (3)"}</definedName>
    <definedName name="_______ngk1109" hidden="1">{#N/A,#N/A,FALSE,"估價單  (3)"}</definedName>
    <definedName name="_______PE2000" localSheetId="5">#REF!</definedName>
    <definedName name="_______PE2000">#REF!</definedName>
    <definedName name="_______SEC15030" localSheetId="4">#REF!</definedName>
    <definedName name="_______SEC15030" localSheetId="3">#REF!</definedName>
    <definedName name="_______SEC15030" localSheetId="5">#REF!</definedName>
    <definedName name="_______SEC15030">#REF!</definedName>
    <definedName name="_______SEC15060" localSheetId="4">#REF!</definedName>
    <definedName name="_______SEC15060" localSheetId="3">#REF!</definedName>
    <definedName name="_______SEC15060" localSheetId="5">#REF!</definedName>
    <definedName name="_______SEC15060">#REF!</definedName>
    <definedName name="_______SEC15100" localSheetId="4">#REF!</definedName>
    <definedName name="_______SEC15100" localSheetId="3">#REF!</definedName>
    <definedName name="_______SEC15100" localSheetId="5">#REF!</definedName>
    <definedName name="_______SEC15100">#REF!</definedName>
    <definedName name="_______SEC15110" localSheetId="4">#REF!</definedName>
    <definedName name="_______SEC15110" localSheetId="3">#REF!</definedName>
    <definedName name="_______SEC15110" localSheetId="5">#REF!</definedName>
    <definedName name="_______SEC15110">#REF!</definedName>
    <definedName name="_______SEC15125" localSheetId="4">#REF!</definedName>
    <definedName name="_______SEC15125" localSheetId="3">#REF!</definedName>
    <definedName name="_______SEC15125" localSheetId="5">#REF!</definedName>
    <definedName name="_______SEC15125">#REF!</definedName>
    <definedName name="_______SEC15160" localSheetId="4">#REF!</definedName>
    <definedName name="_______SEC15160" localSheetId="3">#REF!</definedName>
    <definedName name="_______SEC15160" localSheetId="5">#REF!</definedName>
    <definedName name="_______SEC15160">#REF!</definedName>
    <definedName name="_______SEC15175" localSheetId="4">#REF!</definedName>
    <definedName name="_______SEC15175" localSheetId="3">#REF!</definedName>
    <definedName name="_______SEC15175" localSheetId="5">#REF!</definedName>
    <definedName name="_______SEC15175">#REF!</definedName>
    <definedName name="_______SEC15290" localSheetId="4">#REF!</definedName>
    <definedName name="_______SEC15290" localSheetId="3">#REF!</definedName>
    <definedName name="_______SEC15290" localSheetId="5">#REF!</definedName>
    <definedName name="_______SEC15290">#REF!</definedName>
    <definedName name="_______SEC15310" localSheetId="4">#REF!</definedName>
    <definedName name="_______SEC15310" localSheetId="3">#REF!</definedName>
    <definedName name="_______SEC15310" localSheetId="5">#REF!</definedName>
    <definedName name="_______SEC15310">#REF!</definedName>
    <definedName name="_______SEC15420" localSheetId="4">#REF!</definedName>
    <definedName name="_______SEC15420" localSheetId="3">#REF!</definedName>
    <definedName name="_______SEC15420" localSheetId="5">#REF!</definedName>
    <definedName name="_______SEC15420">#REF!</definedName>
    <definedName name="_______SEC15440" localSheetId="4">#REF!</definedName>
    <definedName name="_______SEC15440" localSheetId="3">#REF!</definedName>
    <definedName name="_______SEC15440" localSheetId="5">#REF!</definedName>
    <definedName name="_______SEC15440">#REF!</definedName>
    <definedName name="_______SEC15470" localSheetId="4">#REF!</definedName>
    <definedName name="_______SEC15470" localSheetId="3">#REF!</definedName>
    <definedName name="_______SEC15470" localSheetId="5">#REF!</definedName>
    <definedName name="_______SEC15470">#REF!</definedName>
    <definedName name="_______SEC15486" localSheetId="4">#REF!</definedName>
    <definedName name="_______SEC15486" localSheetId="3">#REF!</definedName>
    <definedName name="_______SEC15486" localSheetId="5">#REF!</definedName>
    <definedName name="_______SEC15486">#REF!</definedName>
    <definedName name="_______SEC15540" localSheetId="4">#REF!</definedName>
    <definedName name="_______SEC15540" localSheetId="3">#REF!</definedName>
    <definedName name="_______SEC15540" localSheetId="5">#REF!</definedName>
    <definedName name="_______SEC15540">#REF!</definedName>
    <definedName name="_______SEC15610" localSheetId="4">#REF!</definedName>
    <definedName name="_______SEC15610" localSheetId="3">#REF!</definedName>
    <definedName name="_______SEC15610" localSheetId="5">#REF!</definedName>
    <definedName name="_______SEC15610">#REF!</definedName>
    <definedName name="_______SEC15625" localSheetId="4">#REF!</definedName>
    <definedName name="_______SEC15625" localSheetId="3">#REF!</definedName>
    <definedName name="_______SEC15625" localSheetId="5">#REF!</definedName>
    <definedName name="_______SEC15625">#REF!</definedName>
    <definedName name="_______SEC15680" localSheetId="4">#REF!</definedName>
    <definedName name="_______SEC15680" localSheetId="3">#REF!</definedName>
    <definedName name="_______SEC15680" localSheetId="5">#REF!</definedName>
    <definedName name="_______SEC15680">#REF!</definedName>
    <definedName name="_______SEC15850" localSheetId="4">#REF!</definedName>
    <definedName name="_______SEC15850" localSheetId="3">#REF!</definedName>
    <definedName name="_______SEC15850" localSheetId="5">#REF!</definedName>
    <definedName name="_______SEC15850">#REF!</definedName>
    <definedName name="_______SEC15865" localSheetId="4">#REF!</definedName>
    <definedName name="_______SEC15865" localSheetId="3">#REF!</definedName>
    <definedName name="_______SEC15865" localSheetId="5">#REF!</definedName>
    <definedName name="_______SEC15865">#REF!</definedName>
    <definedName name="_______SEC15875" localSheetId="4">#REF!</definedName>
    <definedName name="_______SEC15875" localSheetId="3">#REF!</definedName>
    <definedName name="_______SEC15875" localSheetId="5">#REF!</definedName>
    <definedName name="_______SEC15875">#REF!</definedName>
    <definedName name="_______SEC15890" localSheetId="4">#REF!</definedName>
    <definedName name="_______SEC15890" localSheetId="3">#REF!</definedName>
    <definedName name="_______SEC15890" localSheetId="5">#REF!</definedName>
    <definedName name="_______SEC15890">#REF!</definedName>
    <definedName name="_______SEC15910" localSheetId="4">#REF!</definedName>
    <definedName name="_______SEC15910" localSheetId="3">#REF!</definedName>
    <definedName name="_______SEC15910" localSheetId="5">#REF!</definedName>
    <definedName name="_______SEC15910">#REF!</definedName>
    <definedName name="_______SEC15940" localSheetId="4">#REF!</definedName>
    <definedName name="_______SEC15940" localSheetId="3">#REF!</definedName>
    <definedName name="_______SEC15940" localSheetId="5">#REF!</definedName>
    <definedName name="_______SEC15940">#REF!</definedName>
    <definedName name="_______SEC15975" localSheetId="4">#REF!</definedName>
    <definedName name="_______SEC15975" localSheetId="3">#REF!</definedName>
    <definedName name="_______SEC15975" localSheetId="5">#REF!</definedName>
    <definedName name="_______SEC15975">#REF!</definedName>
    <definedName name="_______tas2" localSheetId="2">#REF!</definedName>
    <definedName name="_______tas2" localSheetId="1">#REF!</definedName>
    <definedName name="_______tas2" localSheetId="0">#REF!</definedName>
    <definedName name="_______tas2" localSheetId="4">#REF!</definedName>
    <definedName name="_______tas2" localSheetId="3">#REF!</definedName>
    <definedName name="_______tas2" localSheetId="5">#REF!</definedName>
    <definedName name="_______tas2">#REF!</definedName>
    <definedName name="_______tas3" localSheetId="2">#REF!</definedName>
    <definedName name="_______tas3" localSheetId="1">#REF!</definedName>
    <definedName name="_______tas3" localSheetId="0">#REF!</definedName>
    <definedName name="_______tas3" localSheetId="4">#REF!</definedName>
    <definedName name="_______tas3" localSheetId="3">#REF!</definedName>
    <definedName name="_______tas3" localSheetId="5">#REF!</definedName>
    <definedName name="_______tas3">#REF!</definedName>
    <definedName name="______bil3" localSheetId="2">#REF!</definedName>
    <definedName name="______bil3" localSheetId="1">#REF!</definedName>
    <definedName name="______bil3" localSheetId="0">#REF!</definedName>
    <definedName name="______bil3" localSheetId="4">#REF!</definedName>
    <definedName name="______bil3" localSheetId="3">#REF!</definedName>
    <definedName name="______bil3" localSheetId="5">#REF!</definedName>
    <definedName name="______bil3">#REF!</definedName>
    <definedName name="______BLK100" localSheetId="4">#REF!</definedName>
    <definedName name="______BLK100" localSheetId="3">#REF!</definedName>
    <definedName name="______BLK100" localSheetId="5">#REF!</definedName>
    <definedName name="______BLK100">#REF!</definedName>
    <definedName name="______DPM375" localSheetId="4">#REF!</definedName>
    <definedName name="______DPM375" localSheetId="3">#REF!</definedName>
    <definedName name="______DPM375" localSheetId="5">#REF!</definedName>
    <definedName name="______DPM375">#REF!</definedName>
    <definedName name="______DWR001" localSheetId="4">#REF!</definedName>
    <definedName name="______DWR001" localSheetId="3">#REF!</definedName>
    <definedName name="______DWR001" localSheetId="5">#REF!</definedName>
    <definedName name="______DWR001">#REF!</definedName>
    <definedName name="______DWR002" localSheetId="4">#REF!</definedName>
    <definedName name="______DWR002" localSheetId="3">#REF!</definedName>
    <definedName name="______DWR002" localSheetId="5">#REF!</definedName>
    <definedName name="______DWR002">#REF!</definedName>
    <definedName name="______DWR003" localSheetId="4">#REF!</definedName>
    <definedName name="______DWR003" localSheetId="3">#REF!</definedName>
    <definedName name="______DWR003" localSheetId="5">#REF!</definedName>
    <definedName name="______DWR003">#REF!</definedName>
    <definedName name="______DWR004" localSheetId="4">#REF!</definedName>
    <definedName name="______DWR004" localSheetId="3">#REF!</definedName>
    <definedName name="______DWR004" localSheetId="5">#REF!</definedName>
    <definedName name="______DWR004">#REF!</definedName>
    <definedName name="______DWR005" localSheetId="4">#REF!</definedName>
    <definedName name="______DWR005" localSheetId="3">#REF!</definedName>
    <definedName name="______DWR005" localSheetId="5">#REF!</definedName>
    <definedName name="______DWR005">#REF!</definedName>
    <definedName name="______DWR0053" localSheetId="4">#REF!</definedName>
    <definedName name="______DWR0053" localSheetId="3">#REF!</definedName>
    <definedName name="______DWR0053" localSheetId="5">#REF!</definedName>
    <definedName name="______DWR0053">#REF!</definedName>
    <definedName name="______esc1" localSheetId="4">#REF!</definedName>
    <definedName name="______esc1" localSheetId="3">#REF!</definedName>
    <definedName name="______esc1" localSheetId="5">#REF!</definedName>
    <definedName name="______esc1">#REF!</definedName>
    <definedName name="______ngk1109" localSheetId="2" hidden="1">{#N/A,#N/A,FALSE,"估價單  (3)"}</definedName>
    <definedName name="______ngk1109" localSheetId="1" hidden="1">{#N/A,#N/A,FALSE,"估價單  (3)"}</definedName>
    <definedName name="______ngk1109" localSheetId="0" hidden="1">{#N/A,#N/A,FALSE,"估價單  (3)"}</definedName>
    <definedName name="______ngk1109" localSheetId="4" hidden="1">{#N/A,#N/A,FALSE,"估價單  (3)"}</definedName>
    <definedName name="______ngk1109" localSheetId="3" hidden="1">{#N/A,#N/A,FALSE,"估價單  (3)"}</definedName>
    <definedName name="______ngk1109" localSheetId="5" hidden="1">{#N/A,#N/A,FALSE,"估價單  (3)"}</definedName>
    <definedName name="______ngk1109" hidden="1">{#N/A,#N/A,FALSE,"估價單  (3)"}</definedName>
    <definedName name="______PE2000" localSheetId="5">#REF!</definedName>
    <definedName name="______PE2000">#REF!</definedName>
    <definedName name="______SEC15030" localSheetId="4">#REF!</definedName>
    <definedName name="______SEC15030" localSheetId="3">#REF!</definedName>
    <definedName name="______SEC15030" localSheetId="5">#REF!</definedName>
    <definedName name="______SEC15030">#REF!</definedName>
    <definedName name="______SEC15060" localSheetId="4">#REF!</definedName>
    <definedName name="______SEC15060" localSheetId="3">#REF!</definedName>
    <definedName name="______SEC15060" localSheetId="5">#REF!</definedName>
    <definedName name="______SEC15060">#REF!</definedName>
    <definedName name="______SEC15100" localSheetId="4">#REF!</definedName>
    <definedName name="______SEC15100" localSheetId="3">#REF!</definedName>
    <definedName name="______SEC15100" localSheetId="5">#REF!</definedName>
    <definedName name="______SEC15100">#REF!</definedName>
    <definedName name="______SEC15110" localSheetId="4">#REF!</definedName>
    <definedName name="______SEC15110" localSheetId="3">#REF!</definedName>
    <definedName name="______SEC15110" localSheetId="5">#REF!</definedName>
    <definedName name="______SEC15110">#REF!</definedName>
    <definedName name="______SEC15125" localSheetId="4">#REF!</definedName>
    <definedName name="______SEC15125" localSheetId="3">#REF!</definedName>
    <definedName name="______SEC15125" localSheetId="5">#REF!</definedName>
    <definedName name="______SEC15125">#REF!</definedName>
    <definedName name="______SEC15160" localSheetId="4">#REF!</definedName>
    <definedName name="______SEC15160" localSheetId="3">#REF!</definedName>
    <definedName name="______SEC15160" localSheetId="5">#REF!</definedName>
    <definedName name="______SEC15160">#REF!</definedName>
    <definedName name="______SEC15175" localSheetId="4">#REF!</definedName>
    <definedName name="______SEC15175" localSheetId="3">#REF!</definedName>
    <definedName name="______SEC15175" localSheetId="5">#REF!</definedName>
    <definedName name="______SEC15175">#REF!</definedName>
    <definedName name="______SEC15290" localSheetId="4">#REF!</definedName>
    <definedName name="______SEC15290" localSheetId="3">#REF!</definedName>
    <definedName name="______SEC15290" localSheetId="5">#REF!</definedName>
    <definedName name="______SEC15290">#REF!</definedName>
    <definedName name="______SEC15310" localSheetId="4">#REF!</definedName>
    <definedName name="______SEC15310" localSheetId="3">#REF!</definedName>
    <definedName name="______SEC15310" localSheetId="5">#REF!</definedName>
    <definedName name="______SEC15310">#REF!</definedName>
    <definedName name="______SEC15420" localSheetId="4">#REF!</definedName>
    <definedName name="______SEC15420" localSheetId="3">#REF!</definedName>
    <definedName name="______SEC15420" localSheetId="5">#REF!</definedName>
    <definedName name="______SEC15420">#REF!</definedName>
    <definedName name="______SEC15440" localSheetId="4">#REF!</definedName>
    <definedName name="______SEC15440" localSheetId="3">#REF!</definedName>
    <definedName name="______SEC15440" localSheetId="5">#REF!</definedName>
    <definedName name="______SEC15440">#REF!</definedName>
    <definedName name="______SEC15470" localSheetId="4">#REF!</definedName>
    <definedName name="______SEC15470" localSheetId="3">#REF!</definedName>
    <definedName name="______SEC15470" localSheetId="5">#REF!</definedName>
    <definedName name="______SEC15470">#REF!</definedName>
    <definedName name="______SEC15486" localSheetId="4">#REF!</definedName>
    <definedName name="______SEC15486" localSheetId="3">#REF!</definedName>
    <definedName name="______SEC15486" localSheetId="5">#REF!</definedName>
    <definedName name="______SEC15486">#REF!</definedName>
    <definedName name="______SEC15540" localSheetId="4">#REF!</definedName>
    <definedName name="______SEC15540" localSheetId="3">#REF!</definedName>
    <definedName name="______SEC15540" localSheetId="5">#REF!</definedName>
    <definedName name="______SEC15540">#REF!</definedName>
    <definedName name="______SEC15610" localSheetId="4">#REF!</definedName>
    <definedName name="______SEC15610" localSheetId="3">#REF!</definedName>
    <definedName name="______SEC15610" localSheetId="5">#REF!</definedName>
    <definedName name="______SEC15610">#REF!</definedName>
    <definedName name="______SEC15625" localSheetId="4">#REF!</definedName>
    <definedName name="______SEC15625" localSheetId="3">#REF!</definedName>
    <definedName name="______SEC15625" localSheetId="5">#REF!</definedName>
    <definedName name="______SEC15625">#REF!</definedName>
    <definedName name="______SEC15680" localSheetId="4">#REF!</definedName>
    <definedName name="______SEC15680" localSheetId="3">#REF!</definedName>
    <definedName name="______SEC15680" localSheetId="5">#REF!</definedName>
    <definedName name="______SEC15680">#REF!</definedName>
    <definedName name="______SEC15850" localSheetId="4">#REF!</definedName>
    <definedName name="______SEC15850" localSheetId="3">#REF!</definedName>
    <definedName name="______SEC15850" localSheetId="5">#REF!</definedName>
    <definedName name="______SEC15850">#REF!</definedName>
    <definedName name="______SEC15865" localSheetId="4">#REF!</definedName>
    <definedName name="______SEC15865" localSheetId="3">#REF!</definedName>
    <definedName name="______SEC15865" localSheetId="5">#REF!</definedName>
    <definedName name="______SEC15865">#REF!</definedName>
    <definedName name="______SEC15875" localSheetId="4">#REF!</definedName>
    <definedName name="______SEC15875" localSheetId="3">#REF!</definedName>
    <definedName name="______SEC15875" localSheetId="5">#REF!</definedName>
    <definedName name="______SEC15875">#REF!</definedName>
    <definedName name="______SEC15890" localSheetId="4">#REF!</definedName>
    <definedName name="______SEC15890" localSheetId="3">#REF!</definedName>
    <definedName name="______SEC15890" localSheetId="5">#REF!</definedName>
    <definedName name="______SEC15890">#REF!</definedName>
    <definedName name="______SEC15910" localSheetId="4">#REF!</definedName>
    <definedName name="______SEC15910" localSheetId="3">#REF!</definedName>
    <definedName name="______SEC15910" localSheetId="5">#REF!</definedName>
    <definedName name="______SEC15910">#REF!</definedName>
    <definedName name="______SEC15940" localSheetId="4">#REF!</definedName>
    <definedName name="______SEC15940" localSheetId="3">#REF!</definedName>
    <definedName name="______SEC15940" localSheetId="5">#REF!</definedName>
    <definedName name="______SEC15940">#REF!</definedName>
    <definedName name="______SEC15975" localSheetId="4">#REF!</definedName>
    <definedName name="______SEC15975" localSheetId="3">#REF!</definedName>
    <definedName name="______SEC15975" localSheetId="5">#REF!</definedName>
    <definedName name="______SEC15975">#REF!</definedName>
    <definedName name="______tas2" localSheetId="2">#REF!</definedName>
    <definedName name="______tas2" localSheetId="1">#REF!</definedName>
    <definedName name="______tas2" localSheetId="0">#REF!</definedName>
    <definedName name="______tas2" localSheetId="4">#REF!</definedName>
    <definedName name="______tas2" localSheetId="3">#REF!</definedName>
    <definedName name="______tas2" localSheetId="5">#REF!</definedName>
    <definedName name="______tas2">#REF!</definedName>
    <definedName name="______tas3" localSheetId="2">#REF!</definedName>
    <definedName name="______tas3" localSheetId="1">#REF!</definedName>
    <definedName name="______tas3" localSheetId="0">#REF!</definedName>
    <definedName name="______tas3" localSheetId="4">#REF!</definedName>
    <definedName name="______tas3" localSheetId="3">#REF!</definedName>
    <definedName name="______tas3" localSheetId="5">#REF!</definedName>
    <definedName name="______tas3">#REF!</definedName>
    <definedName name="_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il3" localSheetId="2">#REF!</definedName>
    <definedName name="_____bil3" localSheetId="1">#REF!</definedName>
    <definedName name="_____bil3" localSheetId="0">#REF!</definedName>
    <definedName name="_____bil3" localSheetId="4">#REF!</definedName>
    <definedName name="_____bil3" localSheetId="3">#REF!</definedName>
    <definedName name="_____bil3" localSheetId="5">#REF!</definedName>
    <definedName name="_____bil3">#REF!</definedName>
    <definedName name="_____BLK100" localSheetId="4">#REF!</definedName>
    <definedName name="_____BLK100" localSheetId="3">#REF!</definedName>
    <definedName name="_____BLK100" localSheetId="5">#REF!</definedName>
    <definedName name="_____BLK100">#REF!</definedName>
    <definedName name="_____ccr1" localSheetId="2" hidden="1">{#N/A,#N/A,TRUE,"Cover";#N/A,#N/A,TRUE,"Conts";#N/A,#N/A,TRUE,"VOS";#N/A,#N/A,TRUE,"Warrington";#N/A,#N/A,TRUE,"Widnes"}</definedName>
    <definedName name="_____ccr1" localSheetId="1" hidden="1">{#N/A,#N/A,TRUE,"Cover";#N/A,#N/A,TRUE,"Conts";#N/A,#N/A,TRUE,"VOS";#N/A,#N/A,TRUE,"Warrington";#N/A,#N/A,TRUE,"Widnes"}</definedName>
    <definedName name="_____ccr1" localSheetId="0" hidden="1">{#N/A,#N/A,TRUE,"Cover";#N/A,#N/A,TRUE,"Conts";#N/A,#N/A,TRUE,"VOS";#N/A,#N/A,TRUE,"Warrington";#N/A,#N/A,TRUE,"Widnes"}</definedName>
    <definedName name="_____ccr1" localSheetId="4" hidden="1">{#N/A,#N/A,TRUE,"Cover";#N/A,#N/A,TRUE,"Conts";#N/A,#N/A,TRUE,"VOS";#N/A,#N/A,TRUE,"Warrington";#N/A,#N/A,TRUE,"Widnes"}</definedName>
    <definedName name="_____ccr1" localSheetId="3" hidden="1">{#N/A,#N/A,TRUE,"Cover";#N/A,#N/A,TRUE,"Conts";#N/A,#N/A,TRUE,"VOS";#N/A,#N/A,TRUE,"Warrington";#N/A,#N/A,TRUE,"Widnes"}</definedName>
    <definedName name="_____ccr1" localSheetId="5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DPM375" localSheetId="5">#REF!</definedName>
    <definedName name="_____DPM375">#REF!</definedName>
    <definedName name="_____DWR0053" localSheetId="4">#REF!</definedName>
    <definedName name="_____DWR0053" localSheetId="3">#REF!</definedName>
    <definedName name="_____DWR0053" localSheetId="5">#REF!</definedName>
    <definedName name="_____DWR0053">#REF!</definedName>
    <definedName name="_____ngk1109" localSheetId="2" hidden="1">{#N/A,#N/A,FALSE,"估價單  (3)"}</definedName>
    <definedName name="_____ngk1109" localSheetId="1" hidden="1">{#N/A,#N/A,FALSE,"估價單  (3)"}</definedName>
    <definedName name="_____ngk1109" localSheetId="0" hidden="1">{#N/A,#N/A,FALSE,"估價單  (3)"}</definedName>
    <definedName name="_____ngk1109" localSheetId="4" hidden="1">{#N/A,#N/A,FALSE,"估價單  (3)"}</definedName>
    <definedName name="_____ngk1109" localSheetId="3" hidden="1">{#N/A,#N/A,FALSE,"估價單  (3)"}</definedName>
    <definedName name="_____ngk1109" localSheetId="5" hidden="1">{#N/A,#N/A,FALSE,"估價單  (3)"}</definedName>
    <definedName name="_____ngk1109" hidden="1">{#N/A,#N/A,FALSE,"估價單  (3)"}</definedName>
    <definedName name="_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_old3" localSheetId="5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_old5" localSheetId="5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_old7" localSheetId="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E2000" localSheetId="5">#REF!</definedName>
    <definedName name="_____PE2000">#REF!</definedName>
    <definedName name="_____SEC15030" localSheetId="4">#REF!</definedName>
    <definedName name="_____SEC15030" localSheetId="3">#REF!</definedName>
    <definedName name="_____SEC15030" localSheetId="5">#REF!</definedName>
    <definedName name="_____SEC15030">#REF!</definedName>
    <definedName name="_____SEC15060" localSheetId="4">#REF!</definedName>
    <definedName name="_____SEC15060" localSheetId="3">#REF!</definedName>
    <definedName name="_____SEC15060" localSheetId="5">#REF!</definedName>
    <definedName name="_____SEC15060">#REF!</definedName>
    <definedName name="_____SEC15100" localSheetId="4">#REF!</definedName>
    <definedName name="_____SEC15100" localSheetId="3">#REF!</definedName>
    <definedName name="_____SEC15100" localSheetId="5">#REF!</definedName>
    <definedName name="_____SEC15100">#REF!</definedName>
    <definedName name="_____SEC15110" localSheetId="4">#REF!</definedName>
    <definedName name="_____SEC15110" localSheetId="3">#REF!</definedName>
    <definedName name="_____SEC15110" localSheetId="5">#REF!</definedName>
    <definedName name="_____SEC15110">#REF!</definedName>
    <definedName name="_____SEC15125" localSheetId="4">#REF!</definedName>
    <definedName name="_____SEC15125" localSheetId="3">#REF!</definedName>
    <definedName name="_____SEC15125" localSheetId="5">#REF!</definedName>
    <definedName name="_____SEC15125">#REF!</definedName>
    <definedName name="_____SEC15160" localSheetId="4">#REF!</definedName>
    <definedName name="_____SEC15160" localSheetId="3">#REF!</definedName>
    <definedName name="_____SEC15160" localSheetId="5">#REF!</definedName>
    <definedName name="_____SEC15160">#REF!</definedName>
    <definedName name="_____SEC15175" localSheetId="4">#REF!</definedName>
    <definedName name="_____SEC15175" localSheetId="3">#REF!</definedName>
    <definedName name="_____SEC15175" localSheetId="5">#REF!</definedName>
    <definedName name="_____SEC15175">#REF!</definedName>
    <definedName name="_____SEC15290" localSheetId="4">#REF!</definedName>
    <definedName name="_____SEC15290" localSheetId="3">#REF!</definedName>
    <definedName name="_____SEC15290" localSheetId="5">#REF!</definedName>
    <definedName name="_____SEC15290">#REF!</definedName>
    <definedName name="_____SEC15310" localSheetId="4">#REF!</definedName>
    <definedName name="_____SEC15310" localSheetId="3">#REF!</definedName>
    <definedName name="_____SEC15310" localSheetId="5">#REF!</definedName>
    <definedName name="_____SEC15310">#REF!</definedName>
    <definedName name="_____SEC15420" localSheetId="4">#REF!</definedName>
    <definedName name="_____SEC15420" localSheetId="3">#REF!</definedName>
    <definedName name="_____SEC15420" localSheetId="5">#REF!</definedName>
    <definedName name="_____SEC15420">#REF!</definedName>
    <definedName name="_____SEC15440" localSheetId="4">#REF!</definedName>
    <definedName name="_____SEC15440" localSheetId="3">#REF!</definedName>
    <definedName name="_____SEC15440" localSheetId="5">#REF!</definedName>
    <definedName name="_____SEC15440">#REF!</definedName>
    <definedName name="_____SEC15470" localSheetId="4">#REF!</definedName>
    <definedName name="_____SEC15470" localSheetId="3">#REF!</definedName>
    <definedName name="_____SEC15470" localSheetId="5">#REF!</definedName>
    <definedName name="_____SEC15470">#REF!</definedName>
    <definedName name="_____SEC15486" localSheetId="4">#REF!</definedName>
    <definedName name="_____SEC15486" localSheetId="3">#REF!</definedName>
    <definedName name="_____SEC15486" localSheetId="5">#REF!</definedName>
    <definedName name="_____SEC15486">#REF!</definedName>
    <definedName name="_____SEC15540" localSheetId="4">#REF!</definedName>
    <definedName name="_____SEC15540" localSheetId="3">#REF!</definedName>
    <definedName name="_____SEC15540" localSheetId="5">#REF!</definedName>
    <definedName name="_____SEC15540">#REF!</definedName>
    <definedName name="_____SEC15610" localSheetId="4">#REF!</definedName>
    <definedName name="_____SEC15610" localSheetId="3">#REF!</definedName>
    <definedName name="_____SEC15610" localSheetId="5">#REF!</definedName>
    <definedName name="_____SEC15610">#REF!</definedName>
    <definedName name="_____SEC15625" localSheetId="4">#REF!</definedName>
    <definedName name="_____SEC15625" localSheetId="3">#REF!</definedName>
    <definedName name="_____SEC15625" localSheetId="5">#REF!</definedName>
    <definedName name="_____SEC15625">#REF!</definedName>
    <definedName name="_____SEC15680" localSheetId="4">#REF!</definedName>
    <definedName name="_____SEC15680" localSheetId="3">#REF!</definedName>
    <definedName name="_____SEC15680" localSheetId="5">#REF!</definedName>
    <definedName name="_____SEC15680">#REF!</definedName>
    <definedName name="_____SEC15850" localSheetId="4">#REF!</definedName>
    <definedName name="_____SEC15850" localSheetId="3">#REF!</definedName>
    <definedName name="_____SEC15850" localSheetId="5">#REF!</definedName>
    <definedName name="_____SEC15850">#REF!</definedName>
    <definedName name="_____SEC15865" localSheetId="4">#REF!</definedName>
    <definedName name="_____SEC15865" localSheetId="3">#REF!</definedName>
    <definedName name="_____SEC15865" localSheetId="5">#REF!</definedName>
    <definedName name="_____SEC15865">#REF!</definedName>
    <definedName name="_____SEC15875" localSheetId="4">#REF!</definedName>
    <definedName name="_____SEC15875" localSheetId="3">#REF!</definedName>
    <definedName name="_____SEC15875" localSheetId="5">#REF!</definedName>
    <definedName name="_____SEC15875">#REF!</definedName>
    <definedName name="_____SEC15890" localSheetId="4">#REF!</definedName>
    <definedName name="_____SEC15890" localSheetId="3">#REF!</definedName>
    <definedName name="_____SEC15890" localSheetId="5">#REF!</definedName>
    <definedName name="_____SEC15890">#REF!</definedName>
    <definedName name="_____SEC15910" localSheetId="4">#REF!</definedName>
    <definedName name="_____SEC15910" localSheetId="3">#REF!</definedName>
    <definedName name="_____SEC15910" localSheetId="5">#REF!</definedName>
    <definedName name="_____SEC15910">#REF!</definedName>
    <definedName name="_____SEC15940" localSheetId="4">#REF!</definedName>
    <definedName name="_____SEC15940" localSheetId="3">#REF!</definedName>
    <definedName name="_____SEC15940" localSheetId="5">#REF!</definedName>
    <definedName name="_____SEC15940">#REF!</definedName>
    <definedName name="_____SEC15975" localSheetId="4">#REF!</definedName>
    <definedName name="_____SEC15975" localSheetId="3">#REF!</definedName>
    <definedName name="_____SEC15975" localSheetId="5">#REF!</definedName>
    <definedName name="_____SEC15975">#REF!</definedName>
    <definedName name="_____sw4" localSheetId="2">#REF!</definedName>
    <definedName name="_____sw4" localSheetId="1">#REF!</definedName>
    <definedName name="_____sw4" localSheetId="0">#REF!</definedName>
    <definedName name="_____sw4" localSheetId="4">#REF!</definedName>
    <definedName name="_____sw4" localSheetId="3">#REF!</definedName>
    <definedName name="_____sw4" localSheetId="5">#REF!</definedName>
    <definedName name="_____sw4">#REF!</definedName>
    <definedName name="_____sw5" localSheetId="2">#REF!</definedName>
    <definedName name="_____sw5" localSheetId="1">#REF!</definedName>
    <definedName name="_____sw5" localSheetId="0">#REF!</definedName>
    <definedName name="_____sw5" localSheetId="4">#REF!</definedName>
    <definedName name="_____sw5" localSheetId="3">#REF!</definedName>
    <definedName name="_____sw5" localSheetId="5">#REF!</definedName>
    <definedName name="_____sw5">#REF!</definedName>
    <definedName name="_____sw6" localSheetId="2">#REF!</definedName>
    <definedName name="_____sw6" localSheetId="1">#REF!</definedName>
    <definedName name="_____sw6" localSheetId="0">#REF!</definedName>
    <definedName name="_____sw6" localSheetId="4">#REF!</definedName>
    <definedName name="_____sw6" localSheetId="3">#REF!</definedName>
    <definedName name="_____sw6" localSheetId="5">#REF!</definedName>
    <definedName name="_____sw6">#REF!</definedName>
    <definedName name="_____sw7" localSheetId="2">#REF!</definedName>
    <definedName name="_____sw7" localSheetId="1">#REF!</definedName>
    <definedName name="_____sw7" localSheetId="0">#REF!</definedName>
    <definedName name="_____sw7" localSheetId="4">#REF!</definedName>
    <definedName name="_____sw7" localSheetId="3">#REF!</definedName>
    <definedName name="_____sw7" localSheetId="5">#REF!</definedName>
    <definedName name="_____sw7">#REF!</definedName>
    <definedName name="_____sw8" localSheetId="2">#REF!</definedName>
    <definedName name="_____sw8" localSheetId="1">#REF!</definedName>
    <definedName name="_____sw8" localSheetId="0">#REF!</definedName>
    <definedName name="_____sw8" localSheetId="4">#REF!</definedName>
    <definedName name="_____sw8" localSheetId="3">#REF!</definedName>
    <definedName name="_____sw8" localSheetId="5">#REF!</definedName>
    <definedName name="_____sw8">#REF!</definedName>
    <definedName name="_____tas2" localSheetId="2">#REF!</definedName>
    <definedName name="_____tas2" localSheetId="1">#REF!</definedName>
    <definedName name="_____tas2" localSheetId="0">#REF!</definedName>
    <definedName name="_____tas2" localSheetId="4">#REF!</definedName>
    <definedName name="_____tas2" localSheetId="3">#REF!</definedName>
    <definedName name="_____tas2" localSheetId="5">#REF!</definedName>
    <definedName name="_____tas2">#REF!</definedName>
    <definedName name="_____tas3" localSheetId="2">#REF!</definedName>
    <definedName name="_____tas3" localSheetId="1">#REF!</definedName>
    <definedName name="_____tas3" localSheetId="0">#REF!</definedName>
    <definedName name="_____tas3" localSheetId="4">#REF!</definedName>
    <definedName name="_____tas3" localSheetId="3">#REF!</definedName>
    <definedName name="_____tas3" localSheetId="5">#REF!</definedName>
    <definedName name="_____tas3">#REF!</definedName>
    <definedName name="_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il3" localSheetId="2">#REF!</definedName>
    <definedName name="____bil3" localSheetId="1">#REF!</definedName>
    <definedName name="____bil3" localSheetId="0">#REF!</definedName>
    <definedName name="____bil3" localSheetId="4">#REF!</definedName>
    <definedName name="____bil3" localSheetId="3">#REF!</definedName>
    <definedName name="____bil3" localSheetId="5">#REF!</definedName>
    <definedName name="____bil3">#REF!</definedName>
    <definedName name="____BLK100" localSheetId="4">#REF!</definedName>
    <definedName name="____BLK100" localSheetId="3">#REF!</definedName>
    <definedName name="____BLK100" localSheetId="5">#REF!</definedName>
    <definedName name="____BLK100">#REF!</definedName>
    <definedName name="____ccr1" localSheetId="2" hidden="1">{#N/A,#N/A,TRUE,"Cover";#N/A,#N/A,TRUE,"Conts";#N/A,#N/A,TRUE,"VOS";#N/A,#N/A,TRUE,"Warrington";#N/A,#N/A,TRUE,"Widnes"}</definedName>
    <definedName name="____ccr1" localSheetId="1" hidden="1">{#N/A,#N/A,TRUE,"Cover";#N/A,#N/A,TRUE,"Conts";#N/A,#N/A,TRUE,"VOS";#N/A,#N/A,TRUE,"Warrington";#N/A,#N/A,TRUE,"Widnes"}</definedName>
    <definedName name="____ccr1" localSheetId="0" hidden="1">{#N/A,#N/A,TRUE,"Cover";#N/A,#N/A,TRUE,"Conts";#N/A,#N/A,TRUE,"VOS";#N/A,#N/A,TRUE,"Warrington";#N/A,#N/A,TRUE,"Widnes"}</definedName>
    <definedName name="____ccr1" localSheetId="4" hidden="1">{#N/A,#N/A,TRUE,"Cover";#N/A,#N/A,TRUE,"Conts";#N/A,#N/A,TRUE,"VOS";#N/A,#N/A,TRUE,"Warrington";#N/A,#N/A,TRUE,"Widnes"}</definedName>
    <definedName name="____ccr1" localSheetId="3" hidden="1">{#N/A,#N/A,TRUE,"Cover";#N/A,#N/A,TRUE,"Conts";#N/A,#N/A,TRUE,"VOS";#N/A,#N/A,TRUE,"Warrington";#N/A,#N/A,TRUE,"Widnes"}</definedName>
    <definedName name="____ccr1" localSheetId="5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DPM375" localSheetId="5">#REF!</definedName>
    <definedName name="____DPM375">#REF!</definedName>
    <definedName name="____DWR001" localSheetId="4">#REF!</definedName>
    <definedName name="____DWR001" localSheetId="3">#REF!</definedName>
    <definedName name="____DWR001" localSheetId="5">#REF!</definedName>
    <definedName name="____DWR001">#REF!</definedName>
    <definedName name="____DWR002" localSheetId="4">#REF!</definedName>
    <definedName name="____DWR002" localSheetId="3">#REF!</definedName>
    <definedName name="____DWR002" localSheetId="5">#REF!</definedName>
    <definedName name="____DWR002">#REF!</definedName>
    <definedName name="____DWR003" localSheetId="4">#REF!</definedName>
    <definedName name="____DWR003" localSheetId="3">#REF!</definedName>
    <definedName name="____DWR003" localSheetId="5">#REF!</definedName>
    <definedName name="____DWR003">#REF!</definedName>
    <definedName name="____DWR004" localSheetId="4">#REF!</definedName>
    <definedName name="____DWR004" localSheetId="3">#REF!</definedName>
    <definedName name="____DWR004" localSheetId="5">#REF!</definedName>
    <definedName name="____DWR004">#REF!</definedName>
    <definedName name="____DWR005" localSheetId="4">#REF!</definedName>
    <definedName name="____DWR005" localSheetId="3">#REF!</definedName>
    <definedName name="____DWR005" localSheetId="5">#REF!</definedName>
    <definedName name="____DWR005">#REF!</definedName>
    <definedName name="____DWR0053" localSheetId="4">#REF!</definedName>
    <definedName name="____DWR0053" localSheetId="3">#REF!</definedName>
    <definedName name="____DWR0053" localSheetId="5">#REF!</definedName>
    <definedName name="____DWR0053">#REF!</definedName>
    <definedName name="____esc1" localSheetId="4">#REF!</definedName>
    <definedName name="____esc1" localSheetId="3">#REF!</definedName>
    <definedName name="____esc1" localSheetId="5">#REF!</definedName>
    <definedName name="____esc1">#REF!</definedName>
    <definedName name="____LIG1" localSheetId="4">#REF!,#REF!,#REF!,#REF!,#REF!,#REF!,#REF!,#REF!,#REF!,#REF!,#REF!,#REF!,#REF!,#REF!,#REF!,#REF!,#REF!,#REF!,#REF!,#REF!,#REF!,#REF!,#REF!,#REF!,#REF!,#REF!,#REF!</definedName>
    <definedName name="____LIG1" localSheetId="3">#REF!,#REF!,#REF!,#REF!,#REF!,#REF!,#REF!,#REF!,#REF!,#REF!,#REF!,#REF!,#REF!,#REF!,#REF!,#REF!,#REF!,#REF!,#REF!,#REF!,#REF!,#REF!,#REF!,#REF!,#REF!,#REF!,#REF!</definedName>
    <definedName name="____LIG1" localSheetId="5">#REF!,#REF!,#REF!,#REF!,#REF!,#REF!,#REF!,#REF!,#REF!,#REF!,#REF!,#REF!,#REF!,#REF!,#REF!,#REF!,#REF!,#REF!,#REF!,#REF!,#REF!,#REF!,#REF!,#REF!,#REF!,#REF!,#REF!</definedName>
    <definedName name="____LIG1">#REF!,#REF!,#REF!,#REF!,#REF!,#REF!,#REF!,#REF!,#REF!,#REF!,#REF!,#REF!,#REF!,#REF!,#REF!,#REF!,#REF!,#REF!,#REF!,#REF!,#REF!,#REF!,#REF!,#REF!,#REF!,#REF!,#REF!</definedName>
    <definedName name="____LIG2" localSheetId="4">#REF!,#REF!,#REF!,#REF!,#REF!,#REF!,#REF!,#REF!,#REF!,#REF!,#REF!,#REF!,#REF!</definedName>
    <definedName name="____LIG2" localSheetId="3">#REF!,#REF!,#REF!,#REF!,#REF!,#REF!,#REF!,#REF!,#REF!,#REF!,#REF!,#REF!,#REF!</definedName>
    <definedName name="____LIG2" localSheetId="5">#REF!,#REF!,#REF!,#REF!,#REF!,#REF!,#REF!,#REF!,#REF!,#REF!,#REF!,#REF!,#REF!</definedName>
    <definedName name="____LIG2">#REF!,#REF!,#REF!,#REF!,#REF!,#REF!,#REF!,#REF!,#REF!,#REF!,#REF!,#REF!,#REF!</definedName>
    <definedName name="____LIG3" localSheetId="4">#REF!,#REF!,#REF!,#REF!,#REF!,#REF!,#REF!,#REF!,#REF!,#REF!,#REF!,#REF!,#REF!,#REF!,#REF!</definedName>
    <definedName name="____LIG3" localSheetId="3">#REF!,#REF!,#REF!,#REF!,#REF!,#REF!,#REF!,#REF!,#REF!,#REF!,#REF!,#REF!,#REF!,#REF!,#REF!</definedName>
    <definedName name="____LIG3" localSheetId="5">#REF!,#REF!,#REF!,#REF!,#REF!,#REF!,#REF!,#REF!,#REF!,#REF!,#REF!,#REF!,#REF!,#REF!,#REF!</definedName>
    <definedName name="____LIG3">#REF!,#REF!,#REF!,#REF!,#REF!,#REF!,#REF!,#REF!,#REF!,#REF!,#REF!,#REF!,#REF!,#REF!,#REF!</definedName>
    <definedName name="____ngk1109" localSheetId="2" hidden="1">{#N/A,#N/A,FALSE,"估價單  (3)"}</definedName>
    <definedName name="____ngk1109" localSheetId="1" hidden="1">{#N/A,#N/A,FALSE,"估價單  (3)"}</definedName>
    <definedName name="____ngk1109" localSheetId="0" hidden="1">{#N/A,#N/A,FALSE,"估價單  (3)"}</definedName>
    <definedName name="____ngk1109" localSheetId="4" hidden="1">{#N/A,#N/A,FALSE,"估價單  (3)"}</definedName>
    <definedName name="____ngk1109" localSheetId="3" hidden="1">{#N/A,#N/A,FALSE,"估價單  (3)"}</definedName>
    <definedName name="____ngk1109" localSheetId="5" hidden="1">{#N/A,#N/A,FALSE,"估價單  (3)"}</definedName>
    <definedName name="____ngk1109" hidden="1">{#N/A,#N/A,FALSE,"估價單  (3)"}</definedName>
    <definedName name="_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_old3" localSheetId="5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_old5" localSheetId="5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_old7" localSheetId="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PE2000" localSheetId="5">#REF!</definedName>
    <definedName name="____PE2000">#REF!</definedName>
    <definedName name="____SEC15030" localSheetId="4">#REF!</definedName>
    <definedName name="____SEC15030" localSheetId="3">#REF!</definedName>
    <definedName name="____SEC15030" localSheetId="5">#REF!</definedName>
    <definedName name="____SEC15030">#REF!</definedName>
    <definedName name="____SEC15060" localSheetId="4">#REF!</definedName>
    <definedName name="____SEC15060" localSheetId="3">#REF!</definedName>
    <definedName name="____SEC15060" localSheetId="5">#REF!</definedName>
    <definedName name="____SEC15060">#REF!</definedName>
    <definedName name="____SEC15100" localSheetId="4">#REF!</definedName>
    <definedName name="____SEC15100" localSheetId="3">#REF!</definedName>
    <definedName name="____SEC15100" localSheetId="5">#REF!</definedName>
    <definedName name="____SEC15100">#REF!</definedName>
    <definedName name="____SEC15110" localSheetId="4">#REF!</definedName>
    <definedName name="____SEC15110" localSheetId="3">#REF!</definedName>
    <definedName name="____SEC15110" localSheetId="5">#REF!</definedName>
    <definedName name="____SEC15110">#REF!</definedName>
    <definedName name="____SEC15125" localSheetId="4">#REF!</definedName>
    <definedName name="____SEC15125" localSheetId="3">#REF!</definedName>
    <definedName name="____SEC15125" localSheetId="5">#REF!</definedName>
    <definedName name="____SEC15125">#REF!</definedName>
    <definedName name="____SEC15160" localSheetId="4">#REF!</definedName>
    <definedName name="____SEC15160" localSheetId="3">#REF!</definedName>
    <definedName name="____SEC15160" localSheetId="5">#REF!</definedName>
    <definedName name="____SEC15160">#REF!</definedName>
    <definedName name="____SEC15175" localSheetId="4">#REF!</definedName>
    <definedName name="____SEC15175" localSheetId="3">#REF!</definedName>
    <definedName name="____SEC15175" localSheetId="5">#REF!</definedName>
    <definedName name="____SEC15175">#REF!</definedName>
    <definedName name="____SEC15290" localSheetId="4">#REF!</definedName>
    <definedName name="____SEC15290" localSheetId="3">#REF!</definedName>
    <definedName name="____SEC15290" localSheetId="5">#REF!</definedName>
    <definedName name="____SEC15290">#REF!</definedName>
    <definedName name="____SEC15310" localSheetId="4">#REF!</definedName>
    <definedName name="____SEC15310" localSheetId="3">#REF!</definedName>
    <definedName name="____SEC15310" localSheetId="5">#REF!</definedName>
    <definedName name="____SEC15310">#REF!</definedName>
    <definedName name="____SEC15420" localSheetId="4">#REF!</definedName>
    <definedName name="____SEC15420" localSheetId="3">#REF!</definedName>
    <definedName name="____SEC15420" localSheetId="5">#REF!</definedName>
    <definedName name="____SEC15420">#REF!</definedName>
    <definedName name="____SEC15440" localSheetId="4">#REF!</definedName>
    <definedName name="____SEC15440" localSheetId="3">#REF!</definedName>
    <definedName name="____SEC15440" localSheetId="5">#REF!</definedName>
    <definedName name="____SEC15440">#REF!</definedName>
    <definedName name="____SEC15470" localSheetId="4">#REF!</definedName>
    <definedName name="____SEC15470" localSheetId="3">#REF!</definedName>
    <definedName name="____SEC15470" localSheetId="5">#REF!</definedName>
    <definedName name="____SEC15470">#REF!</definedName>
    <definedName name="____SEC15486" localSheetId="4">#REF!</definedName>
    <definedName name="____SEC15486" localSheetId="3">#REF!</definedName>
    <definedName name="____SEC15486" localSheetId="5">#REF!</definedName>
    <definedName name="____SEC15486">#REF!</definedName>
    <definedName name="____SEC15540" localSheetId="4">#REF!</definedName>
    <definedName name="____SEC15540" localSheetId="3">#REF!</definedName>
    <definedName name="____SEC15540" localSheetId="5">#REF!</definedName>
    <definedName name="____SEC15540">#REF!</definedName>
    <definedName name="____SEC15610" localSheetId="4">#REF!</definedName>
    <definedName name="____SEC15610" localSheetId="3">#REF!</definedName>
    <definedName name="____SEC15610" localSheetId="5">#REF!</definedName>
    <definedName name="____SEC15610">#REF!</definedName>
    <definedName name="____SEC15625" localSheetId="4">#REF!</definedName>
    <definedName name="____SEC15625" localSheetId="3">#REF!</definedName>
    <definedName name="____SEC15625" localSheetId="5">#REF!</definedName>
    <definedName name="____SEC15625">#REF!</definedName>
    <definedName name="____SEC15680" localSheetId="4">#REF!</definedName>
    <definedName name="____SEC15680" localSheetId="3">#REF!</definedName>
    <definedName name="____SEC15680" localSheetId="5">#REF!</definedName>
    <definedName name="____SEC15680">#REF!</definedName>
    <definedName name="____SEC15850" localSheetId="4">#REF!</definedName>
    <definedName name="____SEC15850" localSheetId="3">#REF!</definedName>
    <definedName name="____SEC15850" localSheetId="5">#REF!</definedName>
    <definedName name="____SEC15850">#REF!</definedName>
    <definedName name="____SEC15865" localSheetId="4">#REF!</definedName>
    <definedName name="____SEC15865" localSheetId="3">#REF!</definedName>
    <definedName name="____SEC15865" localSheetId="5">#REF!</definedName>
    <definedName name="____SEC15865">#REF!</definedName>
    <definedName name="____SEC15875" localSheetId="4">#REF!</definedName>
    <definedName name="____SEC15875" localSheetId="3">#REF!</definedName>
    <definedName name="____SEC15875" localSheetId="5">#REF!</definedName>
    <definedName name="____SEC15875">#REF!</definedName>
    <definedName name="____SEC15890" localSheetId="4">#REF!</definedName>
    <definedName name="____SEC15890" localSheetId="3">#REF!</definedName>
    <definedName name="____SEC15890" localSheetId="5">#REF!</definedName>
    <definedName name="____SEC15890">#REF!</definedName>
    <definedName name="____SEC15910" localSheetId="4">#REF!</definedName>
    <definedName name="____SEC15910" localSheetId="3">#REF!</definedName>
    <definedName name="____SEC15910" localSheetId="5">#REF!</definedName>
    <definedName name="____SEC15910">#REF!</definedName>
    <definedName name="____SEC15940" localSheetId="4">#REF!</definedName>
    <definedName name="____SEC15940" localSheetId="3">#REF!</definedName>
    <definedName name="____SEC15940" localSheetId="5">#REF!</definedName>
    <definedName name="____SEC15940">#REF!</definedName>
    <definedName name="____SEC15975" localSheetId="4">#REF!</definedName>
    <definedName name="____SEC15975" localSheetId="3">#REF!</definedName>
    <definedName name="____SEC15975" localSheetId="5">#REF!</definedName>
    <definedName name="____SEC15975">#REF!</definedName>
    <definedName name="____sw1" localSheetId="2">#REF!</definedName>
    <definedName name="____sw1" localSheetId="1">#REF!</definedName>
    <definedName name="____sw1" localSheetId="0">#REF!</definedName>
    <definedName name="____sw1" localSheetId="4">#REF!</definedName>
    <definedName name="____sw1" localSheetId="3">#REF!</definedName>
    <definedName name="____sw1" localSheetId="5">#REF!</definedName>
    <definedName name="____sw1">#REF!</definedName>
    <definedName name="____sw2" localSheetId="2">#REF!</definedName>
    <definedName name="____sw2" localSheetId="1">#REF!</definedName>
    <definedName name="____sw2" localSheetId="0">#REF!</definedName>
    <definedName name="____sw2" localSheetId="4">#REF!</definedName>
    <definedName name="____sw2" localSheetId="3">#REF!</definedName>
    <definedName name="____sw2" localSheetId="5">#REF!</definedName>
    <definedName name="____sw2">#REF!</definedName>
    <definedName name="____sw3" localSheetId="2">#REF!</definedName>
    <definedName name="____sw3" localSheetId="1">#REF!</definedName>
    <definedName name="____sw3" localSheetId="0">#REF!</definedName>
    <definedName name="____sw3" localSheetId="4">#REF!</definedName>
    <definedName name="____sw3" localSheetId="3">#REF!</definedName>
    <definedName name="____sw3" localSheetId="5">#REF!</definedName>
    <definedName name="____sw3">#REF!</definedName>
    <definedName name="____sw4" localSheetId="2">#REF!</definedName>
    <definedName name="____sw4" localSheetId="1">#REF!</definedName>
    <definedName name="____sw4" localSheetId="0">#REF!</definedName>
    <definedName name="____sw4" localSheetId="4">#REF!</definedName>
    <definedName name="____sw4" localSheetId="3">#REF!</definedName>
    <definedName name="____sw4" localSheetId="5">#REF!</definedName>
    <definedName name="____sw4">#REF!</definedName>
    <definedName name="____sw5" localSheetId="2">#REF!</definedName>
    <definedName name="____sw5" localSheetId="1">#REF!</definedName>
    <definedName name="____sw5" localSheetId="0">#REF!</definedName>
    <definedName name="____sw5" localSheetId="4">#REF!</definedName>
    <definedName name="____sw5" localSheetId="3">#REF!</definedName>
    <definedName name="____sw5" localSheetId="5">#REF!</definedName>
    <definedName name="____sw5">#REF!</definedName>
    <definedName name="____sw6" localSheetId="2">#REF!</definedName>
    <definedName name="____sw6" localSheetId="1">#REF!</definedName>
    <definedName name="____sw6" localSheetId="0">#REF!</definedName>
    <definedName name="____sw6" localSheetId="4">#REF!</definedName>
    <definedName name="____sw6" localSheetId="3">#REF!</definedName>
    <definedName name="____sw6" localSheetId="5">#REF!</definedName>
    <definedName name="____sw6">#REF!</definedName>
    <definedName name="____sw7" localSheetId="2">#REF!</definedName>
    <definedName name="____sw7" localSheetId="1">#REF!</definedName>
    <definedName name="____sw7" localSheetId="0">#REF!</definedName>
    <definedName name="____sw7" localSheetId="4">#REF!</definedName>
    <definedName name="____sw7" localSheetId="3">#REF!</definedName>
    <definedName name="____sw7" localSheetId="5">#REF!</definedName>
    <definedName name="____sw7">#REF!</definedName>
    <definedName name="____sw8" localSheetId="2">#REF!</definedName>
    <definedName name="____sw8" localSheetId="1">#REF!</definedName>
    <definedName name="____sw8" localSheetId="0">#REF!</definedName>
    <definedName name="____sw8" localSheetId="4">#REF!</definedName>
    <definedName name="____sw8" localSheetId="3">#REF!</definedName>
    <definedName name="____sw8" localSheetId="5">#REF!</definedName>
    <definedName name="____sw8">#REF!</definedName>
    <definedName name="____T1" localSheetId="0">#REF!</definedName>
    <definedName name="____T1" localSheetId="4">#REF!</definedName>
    <definedName name="____T1" localSheetId="3">#REF!</definedName>
    <definedName name="____T1" localSheetId="5">#REF!</definedName>
    <definedName name="____T1">#REF!</definedName>
    <definedName name="____tas2" localSheetId="2">#REF!</definedName>
    <definedName name="____tas2" localSheetId="1">#REF!</definedName>
    <definedName name="____tas2" localSheetId="0">#REF!</definedName>
    <definedName name="____tas2" localSheetId="4">#REF!</definedName>
    <definedName name="____tas2" localSheetId="3">#REF!</definedName>
    <definedName name="____tas2" localSheetId="5">#REF!</definedName>
    <definedName name="____tas2">#REF!</definedName>
    <definedName name="____tas3" localSheetId="2">#REF!</definedName>
    <definedName name="____tas3" localSheetId="1">#REF!</definedName>
    <definedName name="____tas3" localSheetId="0">#REF!</definedName>
    <definedName name="____tas3" localSheetId="4">#REF!</definedName>
    <definedName name="____tas3" localSheetId="3">#REF!</definedName>
    <definedName name="____tas3" localSheetId="5">#REF!</definedName>
    <definedName name="____tas3">#REF!</definedName>
    <definedName name="____xlfn.BAHTTEXT" hidden="1">#NAME?</definedName>
    <definedName name="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il3" localSheetId="2">#REF!</definedName>
    <definedName name="___bil3" localSheetId="1">#REF!</definedName>
    <definedName name="___bil3" localSheetId="0">#REF!</definedName>
    <definedName name="___bil3" localSheetId="4">#REF!</definedName>
    <definedName name="___bil3" localSheetId="3">#REF!</definedName>
    <definedName name="___bil3" localSheetId="5">#REF!</definedName>
    <definedName name="___bil3">#REF!</definedName>
    <definedName name="___BLK100" localSheetId="4">#REF!</definedName>
    <definedName name="___BLK100" localSheetId="3">#REF!</definedName>
    <definedName name="___BLK100" localSheetId="5">#REF!</definedName>
    <definedName name="___BLK100">#REF!</definedName>
    <definedName name="___ccr1" localSheetId="2" hidden="1">{#N/A,#N/A,TRUE,"Cover";#N/A,#N/A,TRUE,"Conts";#N/A,#N/A,TRUE,"VOS";#N/A,#N/A,TRUE,"Warrington";#N/A,#N/A,TRUE,"Widnes"}</definedName>
    <definedName name="___ccr1" localSheetId="1" hidden="1">{#N/A,#N/A,TRUE,"Cover";#N/A,#N/A,TRUE,"Conts";#N/A,#N/A,TRUE,"VOS";#N/A,#N/A,TRUE,"Warrington";#N/A,#N/A,TRUE,"Widnes"}</definedName>
    <definedName name="___ccr1" localSheetId="0" hidden="1">{#N/A,#N/A,TRUE,"Cover";#N/A,#N/A,TRUE,"Conts";#N/A,#N/A,TRUE,"VOS";#N/A,#N/A,TRUE,"Warrington";#N/A,#N/A,TRUE,"Widnes"}</definedName>
    <definedName name="___ccr1" localSheetId="4" hidden="1">{#N/A,#N/A,TRUE,"Cover";#N/A,#N/A,TRUE,"Conts";#N/A,#N/A,TRUE,"VOS";#N/A,#N/A,TRUE,"Warrington";#N/A,#N/A,TRUE,"Widnes"}</definedName>
    <definedName name="___ccr1" localSheetId="3" hidden="1">{#N/A,#N/A,TRUE,"Cover";#N/A,#N/A,TRUE,"Conts";#N/A,#N/A,TRUE,"VOS";#N/A,#N/A,TRUE,"Warrington";#N/A,#N/A,TRUE,"Widnes"}</definedName>
    <definedName name="___ccr1" localSheetId="5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DPM375" localSheetId="5">#REF!</definedName>
    <definedName name="___DPM375">#REF!</definedName>
    <definedName name="___esc1" localSheetId="4">#REF!</definedName>
    <definedName name="___esc1" localSheetId="3">#REF!</definedName>
    <definedName name="___esc1" localSheetId="5">#REF!</definedName>
    <definedName name="___esc1">#REF!</definedName>
    <definedName name="___int12" localSheetId="4">#REF!</definedName>
    <definedName name="___int12" localSheetId="3">#REF!</definedName>
    <definedName name="___int12" localSheetId="5">#REF!</definedName>
    <definedName name="___int12">#REF!</definedName>
    <definedName name="___LIG1" localSheetId="4">#REF!,#REF!,#REF!,#REF!,#REF!,#REF!,#REF!,#REF!,#REF!,#REF!,#REF!,#REF!,#REF!,#REF!,#REF!,#REF!,#REF!,#REF!,#REF!,#REF!,#REF!,#REF!,#REF!,#REF!,#REF!,#REF!,#REF!</definedName>
    <definedName name="___LIG1" localSheetId="3">#REF!,#REF!,#REF!,#REF!,#REF!,#REF!,#REF!,#REF!,#REF!,#REF!,#REF!,#REF!,#REF!,#REF!,#REF!,#REF!,#REF!,#REF!,#REF!,#REF!,#REF!,#REF!,#REF!,#REF!,#REF!,#REF!,#REF!</definedName>
    <definedName name="___LIG1" localSheetId="5">#REF!,#REF!,#REF!,#REF!,#REF!,#REF!,#REF!,#REF!,#REF!,#REF!,#REF!,#REF!,#REF!,#REF!,#REF!,#REF!,#REF!,#REF!,#REF!,#REF!,#REF!,#REF!,#REF!,#REF!,#REF!,#REF!,#REF!</definedName>
    <definedName name="___LIG1">#REF!,#REF!,#REF!,#REF!,#REF!,#REF!,#REF!,#REF!,#REF!,#REF!,#REF!,#REF!,#REF!,#REF!,#REF!,#REF!,#REF!,#REF!,#REF!,#REF!,#REF!,#REF!,#REF!,#REF!,#REF!,#REF!,#REF!</definedName>
    <definedName name="___LIG2" localSheetId="4">#REF!,#REF!,#REF!,#REF!,#REF!,#REF!,#REF!,#REF!,#REF!,#REF!,#REF!,#REF!,#REF!</definedName>
    <definedName name="___LIG2" localSheetId="3">#REF!,#REF!,#REF!,#REF!,#REF!,#REF!,#REF!,#REF!,#REF!,#REF!,#REF!,#REF!,#REF!</definedName>
    <definedName name="___LIG2" localSheetId="5">#REF!,#REF!,#REF!,#REF!,#REF!,#REF!,#REF!,#REF!,#REF!,#REF!,#REF!,#REF!,#REF!</definedName>
    <definedName name="___LIG2">#REF!,#REF!,#REF!,#REF!,#REF!,#REF!,#REF!,#REF!,#REF!,#REF!,#REF!,#REF!,#REF!</definedName>
    <definedName name="___LIG3" localSheetId="4">#REF!,#REF!,#REF!,#REF!,#REF!,#REF!,#REF!,#REF!,#REF!,#REF!,#REF!,#REF!,#REF!,#REF!,#REF!</definedName>
    <definedName name="___LIG3" localSheetId="3">#REF!,#REF!,#REF!,#REF!,#REF!,#REF!,#REF!,#REF!,#REF!,#REF!,#REF!,#REF!,#REF!,#REF!,#REF!</definedName>
    <definedName name="___LIG3" localSheetId="5">#REF!,#REF!,#REF!,#REF!,#REF!,#REF!,#REF!,#REF!,#REF!,#REF!,#REF!,#REF!,#REF!,#REF!,#REF!</definedName>
    <definedName name="___LIG3">#REF!,#REF!,#REF!,#REF!,#REF!,#REF!,#REF!,#REF!,#REF!,#REF!,#REF!,#REF!,#REF!,#REF!,#REF!</definedName>
    <definedName name="___MUP3" localSheetId="4">#REF!</definedName>
    <definedName name="___MUP3" localSheetId="3">#REF!</definedName>
    <definedName name="___MUP3" localSheetId="5">#REF!</definedName>
    <definedName name="___MUP3">#REF!</definedName>
    <definedName name="___ngk1109" localSheetId="2" hidden="1">{#N/A,#N/A,FALSE,"估價單  (3)"}</definedName>
    <definedName name="___ngk1109" localSheetId="1" hidden="1">{#N/A,#N/A,FALSE,"估價單  (3)"}</definedName>
    <definedName name="___ngk1109" localSheetId="0" hidden="1">{#N/A,#N/A,FALSE,"估價單  (3)"}</definedName>
    <definedName name="___ngk1109" localSheetId="4" hidden="1">{#N/A,#N/A,FALSE,"估價單  (3)"}</definedName>
    <definedName name="___ngk1109" localSheetId="3" hidden="1">{#N/A,#N/A,FALSE,"估價單  (3)"}</definedName>
    <definedName name="___ngk1109" localSheetId="5" hidden="1">{#N/A,#N/A,FALSE,"估價單  (3)"}</definedName>
    <definedName name="___ngk1109" hidden="1">{#N/A,#N/A,FALSE,"估價單  (3)"}</definedName>
    <definedName name="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old3" localSheetId="3" hidden="1">{#N/A,#N/A,FALSE,"Summary";#N/A,#N/A,FALSE,"3TJ";#N/A,#N/A,FALSE,"3TN";#N/A,#N/A,FALSE,"3TP";#N/A,#N/A,FALSE,"3SJ";#N/A,#N/A,FALSE,"3CJ";#N/A,#N/A,FALSE,"3CN";#N/A,#N/A,FALSE,"3CP";#N/A,#N/A,FALSE,"3A"}</definedName>
    <definedName name="___old3" localSheetId="5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old5" localSheetId="3" hidden="1">{#N/A,#N/A,FALSE,"Summary";#N/A,#N/A,FALSE,"3TJ";#N/A,#N/A,FALSE,"3TN";#N/A,#N/A,FALSE,"3TP";#N/A,#N/A,FALSE,"3SJ";#N/A,#N/A,FALSE,"3CJ";#N/A,#N/A,FALSE,"3CN";#N/A,#N/A,FALSE,"3CP";#N/A,#N/A,FALSE,"3A"}</definedName>
    <definedName name="___old5" localSheetId="5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old7" localSheetId="3" hidden="1">{#N/A,#N/A,FALSE,"Summary";#N/A,#N/A,FALSE,"3TJ";#N/A,#N/A,FALSE,"3TN";#N/A,#N/A,FALSE,"3TP";#N/A,#N/A,FALSE,"3SJ";#N/A,#N/A,FALSE,"3CJ";#N/A,#N/A,FALSE,"3CN";#N/A,#N/A,FALSE,"3CP";#N/A,#N/A,FALSE,"3A"}</definedName>
    <definedName name="___old7" localSheetId="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200205" localSheetId="5">#REF!</definedName>
    <definedName name="___P200205">#REF!</definedName>
    <definedName name="___SEC15030" localSheetId="4">#REF!</definedName>
    <definedName name="___SEC15030" localSheetId="3">#REF!</definedName>
    <definedName name="___SEC15030" localSheetId="5">#REF!</definedName>
    <definedName name="___SEC15030">#REF!</definedName>
    <definedName name="___SEC15060" localSheetId="4">#REF!</definedName>
    <definedName name="___SEC15060" localSheetId="3">#REF!</definedName>
    <definedName name="___SEC15060" localSheetId="5">#REF!</definedName>
    <definedName name="___SEC15060">#REF!</definedName>
    <definedName name="___SEC15100" localSheetId="4">#REF!</definedName>
    <definedName name="___SEC15100" localSheetId="3">#REF!</definedName>
    <definedName name="___SEC15100" localSheetId="5">#REF!</definedName>
    <definedName name="___SEC15100">#REF!</definedName>
    <definedName name="___SEC15110" localSheetId="4">#REF!</definedName>
    <definedName name="___SEC15110" localSheetId="3">#REF!</definedName>
    <definedName name="___SEC15110" localSheetId="5">#REF!</definedName>
    <definedName name="___SEC15110">#REF!</definedName>
    <definedName name="___SEC15125" localSheetId="4">#REF!</definedName>
    <definedName name="___SEC15125" localSheetId="3">#REF!</definedName>
    <definedName name="___SEC15125" localSheetId="5">#REF!</definedName>
    <definedName name="___SEC15125">#REF!</definedName>
    <definedName name="___SEC15160" localSheetId="4">#REF!</definedName>
    <definedName name="___SEC15160" localSheetId="3">#REF!</definedName>
    <definedName name="___SEC15160" localSheetId="5">#REF!</definedName>
    <definedName name="___SEC15160">#REF!</definedName>
    <definedName name="___SEC15175" localSheetId="4">#REF!</definedName>
    <definedName name="___SEC15175" localSheetId="3">#REF!</definedName>
    <definedName name="___SEC15175" localSheetId="5">#REF!</definedName>
    <definedName name="___SEC15175">#REF!</definedName>
    <definedName name="___SEC15290" localSheetId="4">#REF!</definedName>
    <definedName name="___SEC15290" localSheetId="3">#REF!</definedName>
    <definedName name="___SEC15290" localSheetId="5">#REF!</definedName>
    <definedName name="___SEC15290">#REF!</definedName>
    <definedName name="___SEC15310" localSheetId="4">#REF!</definedName>
    <definedName name="___SEC15310" localSheetId="3">#REF!</definedName>
    <definedName name="___SEC15310" localSheetId="5">#REF!</definedName>
    <definedName name="___SEC15310">#REF!</definedName>
    <definedName name="___SEC15420" localSheetId="4">#REF!</definedName>
    <definedName name="___SEC15420" localSheetId="3">#REF!</definedName>
    <definedName name="___SEC15420" localSheetId="5">#REF!</definedName>
    <definedName name="___SEC15420">#REF!</definedName>
    <definedName name="___SEC15440" localSheetId="4">#REF!</definedName>
    <definedName name="___SEC15440" localSheetId="3">#REF!</definedName>
    <definedName name="___SEC15440" localSheetId="5">#REF!</definedName>
    <definedName name="___SEC15440">#REF!</definedName>
    <definedName name="___SEC15470" localSheetId="4">#REF!</definedName>
    <definedName name="___SEC15470" localSheetId="3">#REF!</definedName>
    <definedName name="___SEC15470" localSheetId="5">#REF!</definedName>
    <definedName name="___SEC15470">#REF!</definedName>
    <definedName name="___SEC15486" localSheetId="4">#REF!</definedName>
    <definedName name="___SEC15486" localSheetId="3">#REF!</definedName>
    <definedName name="___SEC15486" localSheetId="5">#REF!</definedName>
    <definedName name="___SEC15486">#REF!</definedName>
    <definedName name="___SEC15540" localSheetId="4">#REF!</definedName>
    <definedName name="___SEC15540" localSheetId="3">#REF!</definedName>
    <definedName name="___SEC15540" localSheetId="5">#REF!</definedName>
    <definedName name="___SEC15540">#REF!</definedName>
    <definedName name="___SEC15610" localSheetId="4">#REF!</definedName>
    <definedName name="___SEC15610" localSheetId="3">#REF!</definedName>
    <definedName name="___SEC15610" localSheetId="5">#REF!</definedName>
    <definedName name="___SEC15610">#REF!</definedName>
    <definedName name="___SEC15625" localSheetId="4">#REF!</definedName>
    <definedName name="___SEC15625" localSheetId="3">#REF!</definedName>
    <definedName name="___SEC15625" localSheetId="5">#REF!</definedName>
    <definedName name="___SEC15625">#REF!</definedName>
    <definedName name="___SEC15680" localSheetId="4">#REF!</definedName>
    <definedName name="___SEC15680" localSheetId="3">#REF!</definedName>
    <definedName name="___SEC15680" localSheetId="5">#REF!</definedName>
    <definedName name="___SEC15680">#REF!</definedName>
    <definedName name="___SEC15850" localSheetId="4">#REF!</definedName>
    <definedName name="___SEC15850" localSheetId="3">#REF!</definedName>
    <definedName name="___SEC15850" localSheetId="5">#REF!</definedName>
    <definedName name="___SEC15850">#REF!</definedName>
    <definedName name="___SEC15865" localSheetId="4">#REF!</definedName>
    <definedName name="___SEC15865" localSheetId="3">#REF!</definedName>
    <definedName name="___SEC15865" localSheetId="5">#REF!</definedName>
    <definedName name="___SEC15865">#REF!</definedName>
    <definedName name="___SEC15875" localSheetId="4">#REF!</definedName>
    <definedName name="___SEC15875" localSheetId="3">#REF!</definedName>
    <definedName name="___SEC15875" localSheetId="5">#REF!</definedName>
    <definedName name="___SEC15875">#REF!</definedName>
    <definedName name="___SEC15890" localSheetId="4">#REF!</definedName>
    <definedName name="___SEC15890" localSheetId="3">#REF!</definedName>
    <definedName name="___SEC15890" localSheetId="5">#REF!</definedName>
    <definedName name="___SEC15890">#REF!</definedName>
    <definedName name="___SEC15910" localSheetId="4">#REF!</definedName>
    <definedName name="___SEC15910" localSheetId="3">#REF!</definedName>
    <definedName name="___SEC15910" localSheetId="5">#REF!</definedName>
    <definedName name="___SEC15910">#REF!</definedName>
    <definedName name="___SEC15940" localSheetId="4">#REF!</definedName>
    <definedName name="___SEC15940" localSheetId="3">#REF!</definedName>
    <definedName name="___SEC15940" localSheetId="5">#REF!</definedName>
    <definedName name="___SEC15940">#REF!</definedName>
    <definedName name="___SEC15975" localSheetId="4">#REF!</definedName>
    <definedName name="___SEC15975" localSheetId="3">#REF!</definedName>
    <definedName name="___SEC15975" localSheetId="5">#REF!</definedName>
    <definedName name="___SEC15975">#REF!</definedName>
    <definedName name="___sw1" localSheetId="2">#REF!</definedName>
    <definedName name="___sw1" localSheetId="1">#REF!</definedName>
    <definedName name="___sw1" localSheetId="0">#REF!</definedName>
    <definedName name="___sw1" localSheetId="4">#REF!</definedName>
    <definedName name="___sw1" localSheetId="3">#REF!</definedName>
    <definedName name="___sw1" localSheetId="5">#REF!</definedName>
    <definedName name="___sw1">#REF!</definedName>
    <definedName name="___sw2" localSheetId="2">#REF!</definedName>
    <definedName name="___sw2" localSheetId="1">#REF!</definedName>
    <definedName name="___sw2" localSheetId="0">#REF!</definedName>
    <definedName name="___sw2" localSheetId="4">#REF!</definedName>
    <definedName name="___sw2" localSheetId="3">#REF!</definedName>
    <definedName name="___sw2" localSheetId="5">#REF!</definedName>
    <definedName name="___sw2">#REF!</definedName>
    <definedName name="___sw3" localSheetId="2">#REF!</definedName>
    <definedName name="___sw3" localSheetId="1">#REF!</definedName>
    <definedName name="___sw3" localSheetId="0">#REF!</definedName>
    <definedName name="___sw3" localSheetId="4">#REF!</definedName>
    <definedName name="___sw3" localSheetId="3">#REF!</definedName>
    <definedName name="___sw3" localSheetId="5">#REF!</definedName>
    <definedName name="___sw3">#REF!</definedName>
    <definedName name="___sw4" localSheetId="2">#REF!</definedName>
    <definedName name="___sw4" localSheetId="1">#REF!</definedName>
    <definedName name="___sw4" localSheetId="0">#REF!</definedName>
    <definedName name="___sw4" localSheetId="4">#REF!</definedName>
    <definedName name="___sw4" localSheetId="3">#REF!</definedName>
    <definedName name="___sw4" localSheetId="5">#REF!</definedName>
    <definedName name="___sw4">#REF!</definedName>
    <definedName name="___sw5" localSheetId="2">#REF!</definedName>
    <definedName name="___sw5" localSheetId="1">#REF!</definedName>
    <definedName name="___sw5" localSheetId="0">#REF!</definedName>
    <definedName name="___sw5" localSheetId="4">#REF!</definedName>
    <definedName name="___sw5" localSheetId="3">#REF!</definedName>
    <definedName name="___sw5" localSheetId="5">#REF!</definedName>
    <definedName name="___sw5">#REF!</definedName>
    <definedName name="___sw6" localSheetId="2">#REF!</definedName>
    <definedName name="___sw6" localSheetId="1">#REF!</definedName>
    <definedName name="___sw6" localSheetId="0">#REF!</definedName>
    <definedName name="___sw6" localSheetId="4">#REF!</definedName>
    <definedName name="___sw6" localSheetId="3">#REF!</definedName>
    <definedName name="___sw6" localSheetId="5">#REF!</definedName>
    <definedName name="___sw6">#REF!</definedName>
    <definedName name="___sw7" localSheetId="2">#REF!</definedName>
    <definedName name="___sw7" localSheetId="1">#REF!</definedName>
    <definedName name="___sw7" localSheetId="0">#REF!</definedName>
    <definedName name="___sw7" localSheetId="4">#REF!</definedName>
    <definedName name="___sw7" localSheetId="3">#REF!</definedName>
    <definedName name="___sw7" localSheetId="5">#REF!</definedName>
    <definedName name="___sw7">#REF!</definedName>
    <definedName name="___sw8" localSheetId="2">#REF!</definedName>
    <definedName name="___sw8" localSheetId="1">#REF!</definedName>
    <definedName name="___sw8" localSheetId="0">#REF!</definedName>
    <definedName name="___sw8" localSheetId="4">#REF!</definedName>
    <definedName name="___sw8" localSheetId="3">#REF!</definedName>
    <definedName name="___sw8" localSheetId="5">#REF!</definedName>
    <definedName name="___sw8">#REF!</definedName>
    <definedName name="___T1" localSheetId="0">#REF!</definedName>
    <definedName name="___T1" localSheetId="4">#REF!</definedName>
    <definedName name="___T1" localSheetId="3">#REF!</definedName>
    <definedName name="___T1" localSheetId="5">#REF!</definedName>
    <definedName name="___T1">#REF!</definedName>
    <definedName name="___tas2" localSheetId="2">#REF!</definedName>
    <definedName name="___tas2" localSheetId="1">#REF!</definedName>
    <definedName name="___tas2" localSheetId="0">#REF!</definedName>
    <definedName name="___tas2" localSheetId="4">#REF!</definedName>
    <definedName name="___tas2" localSheetId="3">#REF!</definedName>
    <definedName name="___tas2" localSheetId="5">#REF!</definedName>
    <definedName name="___tas2">#REF!</definedName>
    <definedName name="___tas3" localSheetId="2">#REF!</definedName>
    <definedName name="___tas3" localSheetId="1">#REF!</definedName>
    <definedName name="___tas3" localSheetId="0">#REF!</definedName>
    <definedName name="___tas3" localSheetId="4">#REF!</definedName>
    <definedName name="___tas3" localSheetId="3">#REF!</definedName>
    <definedName name="___tas3" localSheetId="5">#REF!</definedName>
    <definedName name="___tas3">#REF!</definedName>
    <definedName name="___xlfn.BAHTTEXT" hidden="1">#NAME?</definedName>
    <definedName name="___xlfn.SUMIFS" hidden="1">#NAME?</definedName>
    <definedName name="__123Graph_A" localSheetId="2" hidden="1">#REF!</definedName>
    <definedName name="__123Graph_A" localSheetId="1" hidden="1">#REF!</definedName>
    <definedName name="__123Graph_A" localSheetId="0" hidden="1">#REF!</definedName>
    <definedName name="__123Graph_A" localSheetId="4" hidden="1">#REF!</definedName>
    <definedName name="__123Graph_A" localSheetId="3" hidden="1">#REF!</definedName>
    <definedName name="__123Graph_A" localSheetId="5" hidden="1">#REF!</definedName>
    <definedName name="__123Graph_A" hidden="1">#REF!</definedName>
    <definedName name="__123Graph_ACHART1" localSheetId="2" hidden="1">#REF!</definedName>
    <definedName name="__123Graph_ACHART1" localSheetId="1" hidden="1">#REF!</definedName>
    <definedName name="__123Graph_ACHART1" localSheetId="4" hidden="1">#REF!</definedName>
    <definedName name="__123Graph_ACHART1" localSheetId="3" hidden="1">#REF!</definedName>
    <definedName name="__123Graph_ACHART1" localSheetId="5" hidden="1">#REF!</definedName>
    <definedName name="__123Graph_ACHART1" hidden="1">#REF!</definedName>
    <definedName name="__123Graph_ACURRENT" localSheetId="2" hidden="1">#REF!</definedName>
    <definedName name="__123Graph_ACURRENT" localSheetId="1" hidden="1">#REF!</definedName>
    <definedName name="__123Graph_ACURRENT" localSheetId="4" hidden="1">#REF!</definedName>
    <definedName name="__123Graph_ACURRENT" localSheetId="3" hidden="1">#REF!</definedName>
    <definedName name="__123Graph_ACURRENT" localSheetId="5" hidden="1">#REF!</definedName>
    <definedName name="__123Graph_ACURRENT" hidden="1">#REF!</definedName>
    <definedName name="__123Graph_X" localSheetId="2" hidden="1">#REF!</definedName>
    <definedName name="__123Graph_X" localSheetId="1" hidden="1">#REF!</definedName>
    <definedName name="__123Graph_X" localSheetId="4" hidden="1">#REF!</definedName>
    <definedName name="__123Graph_X" localSheetId="3" hidden="1">#REF!</definedName>
    <definedName name="__123Graph_X" localSheetId="5" hidden="1">#REF!</definedName>
    <definedName name="__123Graph_X" hidden="1">#REF!</definedName>
    <definedName name="__123Graph_XCHART1" localSheetId="2" hidden="1">#REF!</definedName>
    <definedName name="__123Graph_XCHART1" localSheetId="1" hidden="1">#REF!</definedName>
    <definedName name="__123Graph_XCHART1" localSheetId="4" hidden="1">#REF!</definedName>
    <definedName name="__123Graph_XCHART1" localSheetId="3" hidden="1">#REF!</definedName>
    <definedName name="__123Graph_XCHART1" localSheetId="5" hidden="1">#REF!</definedName>
    <definedName name="__123Graph_XCHART1" hidden="1">#REF!</definedName>
    <definedName name="__123Graph_XCURRENT" localSheetId="4" hidden="1">#REF!</definedName>
    <definedName name="__123Graph_XCURRENT" localSheetId="3" hidden="1">#REF!</definedName>
    <definedName name="__123Graph_XCURRENT" localSheetId="5" hidden="1">#REF!</definedName>
    <definedName name="__123Graph_XCURRENT" hidden="1">#REF!</definedName>
    <definedName name="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il3" localSheetId="2">#REF!</definedName>
    <definedName name="__bil3" localSheetId="1">#REF!</definedName>
    <definedName name="__bil3" localSheetId="0">#REF!</definedName>
    <definedName name="__bil3" localSheetId="4">#REF!</definedName>
    <definedName name="__bil3" localSheetId="3">#REF!</definedName>
    <definedName name="__bil3" localSheetId="5">#REF!</definedName>
    <definedName name="__bil3">#REF!</definedName>
    <definedName name="__ccr1" localSheetId="2" hidden="1">{#N/A,#N/A,TRUE,"Cover";#N/A,#N/A,TRUE,"Conts";#N/A,#N/A,TRUE,"VOS";#N/A,#N/A,TRUE,"Warrington";#N/A,#N/A,TRUE,"Widnes"}</definedName>
    <definedName name="__ccr1" localSheetId="1" hidden="1">{#N/A,#N/A,TRUE,"Cover";#N/A,#N/A,TRUE,"Conts";#N/A,#N/A,TRUE,"VOS";#N/A,#N/A,TRUE,"Warrington";#N/A,#N/A,TRUE,"Widnes"}</definedName>
    <definedName name="__ccr1" localSheetId="0" hidden="1">{#N/A,#N/A,TRUE,"Cover";#N/A,#N/A,TRUE,"Conts";#N/A,#N/A,TRUE,"VOS";#N/A,#N/A,TRUE,"Warrington";#N/A,#N/A,TRUE,"Widnes"}</definedName>
    <definedName name="__ccr1" localSheetId="4" hidden="1">{#N/A,#N/A,TRUE,"Cover";#N/A,#N/A,TRUE,"Conts";#N/A,#N/A,TRUE,"VOS";#N/A,#N/A,TRUE,"Warrington";#N/A,#N/A,TRUE,"Widnes"}</definedName>
    <definedName name="__ccr1" localSheetId="3" hidden="1">{#N/A,#N/A,TRUE,"Cover";#N/A,#N/A,TRUE,"Conts";#N/A,#N/A,TRUE,"VOS";#N/A,#N/A,TRUE,"Warrington";#N/A,#N/A,TRUE,"Widnes"}</definedName>
    <definedName name="__ccr1" localSheetId="5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DWR001" localSheetId="5">#REF!</definedName>
    <definedName name="__DWR001">#REF!</definedName>
    <definedName name="__DWR002" localSheetId="4">#REF!</definedName>
    <definedName name="__DWR002" localSheetId="3">#REF!</definedName>
    <definedName name="__DWR002" localSheetId="5">#REF!</definedName>
    <definedName name="__DWR002">#REF!</definedName>
    <definedName name="__DWR003" localSheetId="4">#REF!</definedName>
    <definedName name="__DWR003" localSheetId="3">#REF!</definedName>
    <definedName name="__DWR003" localSheetId="5">#REF!</definedName>
    <definedName name="__DWR003">#REF!</definedName>
    <definedName name="__DWR004" localSheetId="4">#REF!</definedName>
    <definedName name="__DWR004" localSheetId="3">#REF!</definedName>
    <definedName name="__DWR004" localSheetId="5">#REF!</definedName>
    <definedName name="__DWR004">#REF!</definedName>
    <definedName name="__DWR005" localSheetId="4">#REF!</definedName>
    <definedName name="__DWR005" localSheetId="3">#REF!</definedName>
    <definedName name="__DWR005" localSheetId="5">#REF!</definedName>
    <definedName name="__DWR005">#REF!</definedName>
    <definedName name="__DWR0053" localSheetId="4">#REF!</definedName>
    <definedName name="__DWR0053" localSheetId="3">#REF!</definedName>
    <definedName name="__DWR0053" localSheetId="5">#REF!</definedName>
    <definedName name="__DWR0053">#REF!</definedName>
    <definedName name="__esc1" localSheetId="4">#REF!</definedName>
    <definedName name="__esc1" localSheetId="3">#REF!</definedName>
    <definedName name="__esc1" localSheetId="5">#REF!</definedName>
    <definedName name="__esc1">#REF!</definedName>
    <definedName name="__ff1" localSheetId="4">#REF!</definedName>
    <definedName name="__ff1" localSheetId="3">#REF!</definedName>
    <definedName name="__ff1" localSheetId="5">#REF!</definedName>
    <definedName name="__ff1">#REF!</definedName>
    <definedName name="__int12" localSheetId="4">#REF!</definedName>
    <definedName name="__int12" localSheetId="3">#REF!</definedName>
    <definedName name="__int12" localSheetId="5">#REF!</definedName>
    <definedName name="__int12">#REF!</definedName>
    <definedName name="__IntlFixup" hidden="1">TRUE</definedName>
    <definedName name="__LIG1" localSheetId="4">#REF!,#REF!,#REF!,#REF!,#REF!,#REF!,#REF!,#REF!,#REF!,#REF!,#REF!,#REF!,#REF!,#REF!,#REF!,#REF!,#REF!,#REF!,#REF!,#REF!,#REF!,#REF!,#REF!,#REF!,#REF!,#REF!,#REF!</definedName>
    <definedName name="__LIG1" localSheetId="3">#REF!,#REF!,#REF!,#REF!,#REF!,#REF!,#REF!,#REF!,#REF!,#REF!,#REF!,#REF!,#REF!,#REF!,#REF!,#REF!,#REF!,#REF!,#REF!,#REF!,#REF!,#REF!,#REF!,#REF!,#REF!,#REF!,#REF!</definedName>
    <definedName name="__LIG1" localSheetId="5">#REF!,#REF!,#REF!,#REF!,#REF!,#REF!,#REF!,#REF!,#REF!,#REF!,#REF!,#REF!,#REF!,#REF!,#REF!,#REF!,#REF!,#REF!,#REF!,#REF!,#REF!,#REF!,#REF!,#REF!,#REF!,#REF!,#REF!</definedName>
    <definedName name="__LIG1">#REF!,#REF!,#REF!,#REF!,#REF!,#REF!,#REF!,#REF!,#REF!,#REF!,#REF!,#REF!,#REF!,#REF!,#REF!,#REF!,#REF!,#REF!,#REF!,#REF!,#REF!,#REF!,#REF!,#REF!,#REF!,#REF!,#REF!</definedName>
    <definedName name="__LIG2" localSheetId="4">#REF!,#REF!,#REF!,#REF!,#REF!,#REF!,#REF!,#REF!,#REF!,#REF!,#REF!,#REF!,#REF!</definedName>
    <definedName name="__LIG2" localSheetId="3">#REF!,#REF!,#REF!,#REF!,#REF!,#REF!,#REF!,#REF!,#REF!,#REF!,#REF!,#REF!,#REF!</definedName>
    <definedName name="__LIG2" localSheetId="5">#REF!,#REF!,#REF!,#REF!,#REF!,#REF!,#REF!,#REF!,#REF!,#REF!,#REF!,#REF!,#REF!</definedName>
    <definedName name="__LIG2">#REF!,#REF!,#REF!,#REF!,#REF!,#REF!,#REF!,#REF!,#REF!,#REF!,#REF!,#REF!,#REF!</definedName>
    <definedName name="__LIG3" localSheetId="4">#REF!,#REF!,#REF!,#REF!,#REF!,#REF!,#REF!,#REF!,#REF!,#REF!,#REF!,#REF!,#REF!,#REF!,#REF!</definedName>
    <definedName name="__LIG3" localSheetId="3">#REF!,#REF!,#REF!,#REF!,#REF!,#REF!,#REF!,#REF!,#REF!,#REF!,#REF!,#REF!,#REF!,#REF!,#REF!</definedName>
    <definedName name="__LIG3" localSheetId="5">#REF!,#REF!,#REF!,#REF!,#REF!,#REF!,#REF!,#REF!,#REF!,#REF!,#REF!,#REF!,#REF!,#REF!,#REF!</definedName>
    <definedName name="__LIG3">#REF!,#REF!,#REF!,#REF!,#REF!,#REF!,#REF!,#REF!,#REF!,#REF!,#REF!,#REF!,#REF!,#REF!,#REF!</definedName>
    <definedName name="__MUP3" localSheetId="4">#REF!</definedName>
    <definedName name="__MUP3" localSheetId="3">#REF!</definedName>
    <definedName name="__MUP3" localSheetId="5">#REF!</definedName>
    <definedName name="__MUP3">#REF!</definedName>
    <definedName name="__ngk1109" localSheetId="2" hidden="1">{#N/A,#N/A,FALSE,"估價單  (3)"}</definedName>
    <definedName name="__ngk1109" localSheetId="1" hidden="1">{#N/A,#N/A,FALSE,"估價單  (3)"}</definedName>
    <definedName name="__ngk1109" localSheetId="0" hidden="1">{#N/A,#N/A,FALSE,"估價單  (3)"}</definedName>
    <definedName name="__ngk1109" localSheetId="4" hidden="1">{#N/A,#N/A,FALSE,"估價單  (3)"}</definedName>
    <definedName name="__ngk1109" localSheetId="3" hidden="1">{#N/A,#N/A,FALSE,"估價單  (3)"}</definedName>
    <definedName name="__ngk1109" localSheetId="5" hidden="1">{#N/A,#N/A,FALSE,"估價單  (3)"}</definedName>
    <definedName name="__ngk1109" hidden="1">{#N/A,#N/A,FALSE,"估價單  (3)"}</definedName>
    <definedName name="__old3" localSheetId="2" hidden="1">{#N/A,#N/A,FALSE,"Summary";#N/A,#N/A,FALSE,"3TJ";#N/A,#N/A,FALSE,"3TN";#N/A,#N/A,FALSE,"3TP";#N/A,#N/A,FALSE,"3SJ";#N/A,#N/A,FALSE,"3CJ";#N/A,#N/A,FALSE,"3CN";#N/A,#N/A,FALSE,"3CP";#N/A,#N/A,FALSE,"3A"}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localSheetId="0" hidden="1">{#N/A,#N/A,FALSE,"Summary";#N/A,#N/A,FALSE,"3TJ";#N/A,#N/A,FALSE,"3TN";#N/A,#N/A,FALSE,"3TP";#N/A,#N/A,FALSE,"3SJ";#N/A,#N/A,FALSE,"3CJ";#N/A,#N/A,FALSE,"3CN";#N/A,#N/A,FALSE,"3CP";#N/A,#N/A,FALSE,"3A"}</definedName>
    <definedName name="__old3" localSheetId="4" hidden="1">{#N/A,#N/A,FALSE,"Summary";#N/A,#N/A,FALSE,"3TJ";#N/A,#N/A,FALSE,"3TN";#N/A,#N/A,FALSE,"3TP";#N/A,#N/A,FALSE,"3SJ";#N/A,#N/A,FALSE,"3CJ";#N/A,#N/A,FALSE,"3CN";#N/A,#N/A,FALSE,"3CP";#N/A,#N/A,FALSE,"3A"}</definedName>
    <definedName name="__old3" localSheetId="3" hidden="1">{#N/A,#N/A,FALSE,"Summary";#N/A,#N/A,FALSE,"3TJ";#N/A,#N/A,FALSE,"3TN";#N/A,#N/A,FALSE,"3TP";#N/A,#N/A,FALSE,"3SJ";#N/A,#N/A,FALSE,"3CJ";#N/A,#N/A,FALSE,"3CN";#N/A,#N/A,FALSE,"3CP";#N/A,#N/A,FALSE,"3A"}</definedName>
    <definedName name="__old3" localSheetId="5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2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localSheetId="0" hidden="1">{#N/A,#N/A,FALSE,"Summary";#N/A,#N/A,FALSE,"3TJ";#N/A,#N/A,FALSE,"3TN";#N/A,#N/A,FALSE,"3TP";#N/A,#N/A,FALSE,"3SJ";#N/A,#N/A,FALSE,"3CJ";#N/A,#N/A,FALSE,"3CN";#N/A,#N/A,FALSE,"3CP";#N/A,#N/A,FALSE,"3A"}</definedName>
    <definedName name="__old5" localSheetId="4" hidden="1">{#N/A,#N/A,FALSE,"Summary";#N/A,#N/A,FALSE,"3TJ";#N/A,#N/A,FALSE,"3TN";#N/A,#N/A,FALSE,"3TP";#N/A,#N/A,FALSE,"3SJ";#N/A,#N/A,FALSE,"3CJ";#N/A,#N/A,FALSE,"3CN";#N/A,#N/A,FALSE,"3CP";#N/A,#N/A,FALSE,"3A"}</definedName>
    <definedName name="__old5" localSheetId="3" hidden="1">{#N/A,#N/A,FALSE,"Summary";#N/A,#N/A,FALSE,"3TJ";#N/A,#N/A,FALSE,"3TN";#N/A,#N/A,FALSE,"3TP";#N/A,#N/A,FALSE,"3SJ";#N/A,#N/A,FALSE,"3CJ";#N/A,#N/A,FALSE,"3CN";#N/A,#N/A,FALSE,"3CP";#N/A,#N/A,FALSE,"3A"}</definedName>
    <definedName name="__old5" localSheetId="5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2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localSheetId="0" hidden="1">{#N/A,#N/A,FALSE,"Summary";#N/A,#N/A,FALSE,"3TJ";#N/A,#N/A,FALSE,"3TN";#N/A,#N/A,FALSE,"3TP";#N/A,#N/A,FALSE,"3SJ";#N/A,#N/A,FALSE,"3CJ";#N/A,#N/A,FALSE,"3CN";#N/A,#N/A,FALSE,"3CP";#N/A,#N/A,FALSE,"3A"}</definedName>
    <definedName name="__old7" localSheetId="4" hidden="1">{#N/A,#N/A,FALSE,"Summary";#N/A,#N/A,FALSE,"3TJ";#N/A,#N/A,FALSE,"3TN";#N/A,#N/A,FALSE,"3TP";#N/A,#N/A,FALSE,"3SJ";#N/A,#N/A,FALSE,"3CJ";#N/A,#N/A,FALSE,"3CN";#N/A,#N/A,FALSE,"3CP";#N/A,#N/A,FALSE,"3A"}</definedName>
    <definedName name="__old7" localSheetId="3" hidden="1">{#N/A,#N/A,FALSE,"Summary";#N/A,#N/A,FALSE,"3TJ";#N/A,#N/A,FALSE,"3TN";#N/A,#N/A,FALSE,"3TP";#N/A,#N/A,FALSE,"3SJ";#N/A,#N/A,FALSE,"3CJ";#N/A,#N/A,FALSE,"3CN";#N/A,#N/A,FALSE,"3CP";#N/A,#N/A,FALSE,"3A"}</definedName>
    <definedName name="__old7" localSheetId="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P200205" localSheetId="5">#REF!</definedName>
    <definedName name="__P200205">#REF!</definedName>
    <definedName name="__SEC15030" localSheetId="4">#REF!</definedName>
    <definedName name="__SEC15030" localSheetId="3">#REF!</definedName>
    <definedName name="__SEC15030" localSheetId="5">#REF!</definedName>
    <definedName name="__SEC15030">#REF!</definedName>
    <definedName name="__SEC15060" localSheetId="4">#REF!</definedName>
    <definedName name="__SEC15060" localSheetId="3">#REF!</definedName>
    <definedName name="__SEC15060" localSheetId="5">#REF!</definedName>
    <definedName name="__SEC15060">#REF!</definedName>
    <definedName name="__SEC15100" localSheetId="4">#REF!</definedName>
    <definedName name="__SEC15100" localSheetId="3">#REF!</definedName>
    <definedName name="__SEC15100" localSheetId="5">#REF!</definedName>
    <definedName name="__SEC15100">#REF!</definedName>
    <definedName name="__SEC15110" localSheetId="4">#REF!</definedName>
    <definedName name="__SEC15110" localSheetId="3">#REF!</definedName>
    <definedName name="__SEC15110" localSheetId="5">#REF!</definedName>
    <definedName name="__SEC15110">#REF!</definedName>
    <definedName name="__SEC15125" localSheetId="4">#REF!</definedName>
    <definedName name="__SEC15125" localSheetId="3">#REF!</definedName>
    <definedName name="__SEC15125" localSheetId="5">#REF!</definedName>
    <definedName name="__SEC15125">#REF!</definedName>
    <definedName name="__SEC15160" localSheetId="4">#REF!</definedName>
    <definedName name="__SEC15160" localSheetId="3">#REF!</definedName>
    <definedName name="__SEC15160" localSheetId="5">#REF!</definedName>
    <definedName name="__SEC15160">#REF!</definedName>
    <definedName name="__SEC15175" localSheetId="4">#REF!</definedName>
    <definedName name="__SEC15175" localSheetId="3">#REF!</definedName>
    <definedName name="__SEC15175" localSheetId="5">#REF!</definedName>
    <definedName name="__SEC15175">#REF!</definedName>
    <definedName name="__SEC15290" localSheetId="4">#REF!</definedName>
    <definedName name="__SEC15290" localSheetId="3">#REF!</definedName>
    <definedName name="__SEC15290" localSheetId="5">#REF!</definedName>
    <definedName name="__SEC15290">#REF!</definedName>
    <definedName name="__SEC15310" localSheetId="4">#REF!</definedName>
    <definedName name="__SEC15310" localSheetId="3">#REF!</definedName>
    <definedName name="__SEC15310" localSheetId="5">#REF!</definedName>
    <definedName name="__SEC15310">#REF!</definedName>
    <definedName name="__SEC15420" localSheetId="4">#REF!</definedName>
    <definedName name="__SEC15420" localSheetId="3">#REF!</definedName>
    <definedName name="__SEC15420" localSheetId="5">#REF!</definedName>
    <definedName name="__SEC15420">#REF!</definedName>
    <definedName name="__SEC15440" localSheetId="4">#REF!</definedName>
    <definedName name="__SEC15440" localSheetId="3">#REF!</definedName>
    <definedName name="__SEC15440" localSheetId="5">#REF!</definedName>
    <definedName name="__SEC15440">#REF!</definedName>
    <definedName name="__SEC15470" localSheetId="4">#REF!</definedName>
    <definedName name="__SEC15470" localSheetId="3">#REF!</definedName>
    <definedName name="__SEC15470" localSheetId="5">#REF!</definedName>
    <definedName name="__SEC15470">#REF!</definedName>
    <definedName name="__SEC15486" localSheetId="4">#REF!</definedName>
    <definedName name="__SEC15486" localSheetId="3">#REF!</definedName>
    <definedName name="__SEC15486" localSheetId="5">#REF!</definedName>
    <definedName name="__SEC15486">#REF!</definedName>
    <definedName name="__SEC15540" localSheetId="4">#REF!</definedName>
    <definedName name="__SEC15540" localSheetId="3">#REF!</definedName>
    <definedName name="__SEC15540" localSheetId="5">#REF!</definedName>
    <definedName name="__SEC15540">#REF!</definedName>
    <definedName name="__SEC15610" localSheetId="4">#REF!</definedName>
    <definedName name="__SEC15610" localSheetId="3">#REF!</definedName>
    <definedName name="__SEC15610" localSheetId="5">#REF!</definedName>
    <definedName name="__SEC15610">#REF!</definedName>
    <definedName name="__SEC15625" localSheetId="4">#REF!</definedName>
    <definedName name="__SEC15625" localSheetId="3">#REF!</definedName>
    <definedName name="__SEC15625" localSheetId="5">#REF!</definedName>
    <definedName name="__SEC15625">#REF!</definedName>
    <definedName name="__SEC15680" localSheetId="4">#REF!</definedName>
    <definedName name="__SEC15680" localSheetId="3">#REF!</definedName>
    <definedName name="__SEC15680" localSheetId="5">#REF!</definedName>
    <definedName name="__SEC15680">#REF!</definedName>
    <definedName name="__SEC15850" localSheetId="4">#REF!</definedName>
    <definedName name="__SEC15850" localSheetId="3">#REF!</definedName>
    <definedName name="__SEC15850" localSheetId="5">#REF!</definedName>
    <definedName name="__SEC15850">#REF!</definedName>
    <definedName name="__SEC15865" localSheetId="4">#REF!</definedName>
    <definedName name="__SEC15865" localSheetId="3">#REF!</definedName>
    <definedName name="__SEC15865" localSheetId="5">#REF!</definedName>
    <definedName name="__SEC15865">#REF!</definedName>
    <definedName name="__SEC15875" localSheetId="4">#REF!</definedName>
    <definedName name="__SEC15875" localSheetId="3">#REF!</definedName>
    <definedName name="__SEC15875" localSheetId="5">#REF!</definedName>
    <definedName name="__SEC15875">#REF!</definedName>
    <definedName name="__SEC15890" localSheetId="4">#REF!</definedName>
    <definedName name="__SEC15890" localSheetId="3">#REF!</definedName>
    <definedName name="__SEC15890" localSheetId="5">#REF!</definedName>
    <definedName name="__SEC15890">#REF!</definedName>
    <definedName name="__SEC15910" localSheetId="4">#REF!</definedName>
    <definedName name="__SEC15910" localSheetId="3">#REF!</definedName>
    <definedName name="__SEC15910" localSheetId="5">#REF!</definedName>
    <definedName name="__SEC15910">#REF!</definedName>
    <definedName name="__SEC15940" localSheetId="4">#REF!</definedName>
    <definedName name="__SEC15940" localSheetId="3">#REF!</definedName>
    <definedName name="__SEC15940" localSheetId="5">#REF!</definedName>
    <definedName name="__SEC15940">#REF!</definedName>
    <definedName name="__SEC15975" localSheetId="4">#REF!</definedName>
    <definedName name="__SEC15975" localSheetId="3">#REF!</definedName>
    <definedName name="__SEC15975" localSheetId="5">#REF!</definedName>
    <definedName name="__SEC15975">#REF!</definedName>
    <definedName name="__sw1" localSheetId="2">#REF!</definedName>
    <definedName name="__sw1" localSheetId="1">#REF!</definedName>
    <definedName name="__sw1" localSheetId="0">#REF!</definedName>
    <definedName name="__sw1" localSheetId="4">#REF!</definedName>
    <definedName name="__sw1" localSheetId="3">#REF!</definedName>
    <definedName name="__sw1" localSheetId="5">#REF!</definedName>
    <definedName name="__sw1">#REF!</definedName>
    <definedName name="__sw2" localSheetId="2">#REF!</definedName>
    <definedName name="__sw2" localSheetId="1">#REF!</definedName>
    <definedName name="__sw2" localSheetId="0">#REF!</definedName>
    <definedName name="__sw2" localSheetId="4">#REF!</definedName>
    <definedName name="__sw2" localSheetId="3">#REF!</definedName>
    <definedName name="__sw2" localSheetId="5">#REF!</definedName>
    <definedName name="__sw2">#REF!</definedName>
    <definedName name="__sw3" localSheetId="2">#REF!</definedName>
    <definedName name="__sw3" localSheetId="1">#REF!</definedName>
    <definedName name="__sw3" localSheetId="0">#REF!</definedName>
    <definedName name="__sw3" localSheetId="4">#REF!</definedName>
    <definedName name="__sw3" localSheetId="3">#REF!</definedName>
    <definedName name="__sw3" localSheetId="5">#REF!</definedName>
    <definedName name="__sw3">#REF!</definedName>
    <definedName name="__sw4" localSheetId="2">#REF!</definedName>
    <definedName name="__sw4" localSheetId="1">#REF!</definedName>
    <definedName name="__sw4" localSheetId="0">#REF!</definedName>
    <definedName name="__sw4" localSheetId="4">#REF!</definedName>
    <definedName name="__sw4" localSheetId="3">#REF!</definedName>
    <definedName name="__sw4" localSheetId="5">#REF!</definedName>
    <definedName name="__sw4">#REF!</definedName>
    <definedName name="__sw5" localSheetId="2">#REF!</definedName>
    <definedName name="__sw5" localSheetId="1">#REF!</definedName>
    <definedName name="__sw5" localSheetId="0">#REF!</definedName>
    <definedName name="__sw5" localSheetId="4">#REF!</definedName>
    <definedName name="__sw5" localSheetId="3">#REF!</definedName>
    <definedName name="__sw5" localSheetId="5">#REF!</definedName>
    <definedName name="__sw5">#REF!</definedName>
    <definedName name="__sw6" localSheetId="2">#REF!</definedName>
    <definedName name="__sw6" localSheetId="1">#REF!</definedName>
    <definedName name="__sw6" localSheetId="0">#REF!</definedName>
    <definedName name="__sw6" localSheetId="4">#REF!</definedName>
    <definedName name="__sw6" localSheetId="3">#REF!</definedName>
    <definedName name="__sw6" localSheetId="5">#REF!</definedName>
    <definedName name="__sw6">#REF!</definedName>
    <definedName name="__sw7" localSheetId="2">#REF!</definedName>
    <definedName name="__sw7" localSheetId="1">#REF!</definedName>
    <definedName name="__sw7" localSheetId="0">#REF!</definedName>
    <definedName name="__sw7" localSheetId="4">#REF!</definedName>
    <definedName name="__sw7" localSheetId="3">#REF!</definedName>
    <definedName name="__sw7" localSheetId="5">#REF!</definedName>
    <definedName name="__sw7">#REF!</definedName>
    <definedName name="__sw8" localSheetId="2">#REF!</definedName>
    <definedName name="__sw8" localSheetId="1">#REF!</definedName>
    <definedName name="__sw8" localSheetId="0">#REF!</definedName>
    <definedName name="__sw8" localSheetId="4">#REF!</definedName>
    <definedName name="__sw8" localSheetId="3">#REF!</definedName>
    <definedName name="__sw8" localSheetId="5">#REF!</definedName>
    <definedName name="__sw8">#REF!</definedName>
    <definedName name="__T1" localSheetId="0">#REF!</definedName>
    <definedName name="__T1" localSheetId="4">#REF!</definedName>
    <definedName name="__T1" localSheetId="3">#REF!</definedName>
    <definedName name="__T1" localSheetId="5">#REF!</definedName>
    <definedName name="__T1">#REF!</definedName>
    <definedName name="__tas2" localSheetId="2">#REF!</definedName>
    <definedName name="__tas2" localSheetId="1">#REF!</definedName>
    <definedName name="__tas2" localSheetId="0">#REF!</definedName>
    <definedName name="__tas2" localSheetId="4">#REF!</definedName>
    <definedName name="__tas2" localSheetId="3">#REF!</definedName>
    <definedName name="__tas2" localSheetId="5">#REF!</definedName>
    <definedName name="__tas2">#REF!</definedName>
    <definedName name="__tas3" localSheetId="2">#REF!</definedName>
    <definedName name="__tas3" localSheetId="1">#REF!</definedName>
    <definedName name="__tas3" localSheetId="0">#REF!</definedName>
    <definedName name="__tas3" localSheetId="4">#REF!</definedName>
    <definedName name="__tas3" localSheetId="3">#REF!</definedName>
    <definedName name="__tas3" localSheetId="5">#REF!</definedName>
    <definedName name="__tas3">#REF!</definedName>
    <definedName name="__xlfn.BAHTTEXT" hidden="1">#NAME?</definedName>
    <definedName name="__xlfn.SUMIFS" hidden="1">#NAME?</definedName>
    <definedName name="_00" localSheetId="2">#REF!</definedName>
    <definedName name="_00" localSheetId="1">#REF!</definedName>
    <definedName name="_00" localSheetId="0">#REF!</definedName>
    <definedName name="_00" localSheetId="4">#REF!</definedName>
    <definedName name="_00" localSheetId="3">#REF!</definedName>
    <definedName name="_00" localSheetId="5">#REF!</definedName>
    <definedName name="_00">#REF!</definedName>
    <definedName name="_01" localSheetId="2">#REF!</definedName>
    <definedName name="_01" localSheetId="1">#REF!</definedName>
    <definedName name="_01" localSheetId="0">#REF!</definedName>
    <definedName name="_01" localSheetId="4">#REF!</definedName>
    <definedName name="_01" localSheetId="3">#REF!</definedName>
    <definedName name="_01" localSheetId="5">#REF!</definedName>
    <definedName name="_01">#REF!</definedName>
    <definedName name="_02" localSheetId="2">#REF!</definedName>
    <definedName name="_02" localSheetId="1">#REF!</definedName>
    <definedName name="_02" localSheetId="0">#REF!</definedName>
    <definedName name="_02" localSheetId="4">#REF!</definedName>
    <definedName name="_02" localSheetId="3">#REF!</definedName>
    <definedName name="_02" localSheetId="5">#REF!</definedName>
    <definedName name="_02">#REF!</definedName>
    <definedName name="_03" localSheetId="2">#REF!</definedName>
    <definedName name="_03" localSheetId="1">#REF!</definedName>
    <definedName name="_03" localSheetId="0">#REF!</definedName>
    <definedName name="_03" localSheetId="4">#REF!</definedName>
    <definedName name="_03" localSheetId="3">#REF!</definedName>
    <definedName name="_03" localSheetId="5">#REF!</definedName>
    <definedName name="_03">#REF!</definedName>
    <definedName name="_04" localSheetId="2">#REF!</definedName>
    <definedName name="_04" localSheetId="1">#REF!</definedName>
    <definedName name="_04" localSheetId="0">#REF!</definedName>
    <definedName name="_04" localSheetId="4">#REF!</definedName>
    <definedName name="_04" localSheetId="3">#REF!</definedName>
    <definedName name="_04" localSheetId="5">#REF!</definedName>
    <definedName name="_04">#REF!</definedName>
    <definedName name="_1" localSheetId="2">#REF!</definedName>
    <definedName name="_1" localSheetId="1">#REF!</definedName>
    <definedName name="_1" localSheetId="0">#REF!</definedName>
    <definedName name="_1" localSheetId="4">#REF!</definedName>
    <definedName name="_1" localSheetId="3">#REF!</definedName>
    <definedName name="_1" localSheetId="5">#REF!</definedName>
    <definedName name="_1">#REF!</definedName>
    <definedName name="_1__123Graph_ACHART_1" localSheetId="4" hidden="1">#REF!</definedName>
    <definedName name="_1__123Graph_ACHART_1" localSheetId="3" hidden="1">#REF!</definedName>
    <definedName name="_1__123Graph_ACHART_1" localSheetId="5" hidden="1">#REF!</definedName>
    <definedName name="_1__123Graph_ACHART_1" hidden="1">#REF!</definedName>
    <definedName name="_1__123Graph_ACHART_12" localSheetId="2" hidden="1">#REF!</definedName>
    <definedName name="_1__123Graph_ACHART_12" localSheetId="1" hidden="1">#REF!</definedName>
    <definedName name="_1__123Graph_ACHART_12" localSheetId="4" hidden="1">#REF!</definedName>
    <definedName name="_1__123Graph_ACHART_12" localSheetId="3" hidden="1">#REF!</definedName>
    <definedName name="_1__123Graph_ACHART_12" localSheetId="5" hidden="1">#REF!</definedName>
    <definedName name="_1__123Graph_ACHART_12" hidden="1">#REF!</definedName>
    <definedName name="_1__123Graph_ACHART_1A" localSheetId="2" hidden="1">#REF!</definedName>
    <definedName name="_1__123Graph_ACHART_1A" localSheetId="1" hidden="1">#REF!</definedName>
    <definedName name="_1__123Graph_ACHART_1A" localSheetId="4" hidden="1">#REF!</definedName>
    <definedName name="_1__123Graph_ACHART_1A" localSheetId="3" hidden="1">#REF!</definedName>
    <definedName name="_1__123Graph_ACHART_1A" localSheetId="5" hidden="1">#REF!</definedName>
    <definedName name="_1__123Graph_ACHART_1A" hidden="1">#REF!</definedName>
    <definedName name="_10" localSheetId="2">#REF!</definedName>
    <definedName name="_10" localSheetId="1">#REF!</definedName>
    <definedName name="_10" localSheetId="0">#REF!</definedName>
    <definedName name="_10" localSheetId="4">#REF!</definedName>
    <definedName name="_10" localSheetId="3">#REF!</definedName>
    <definedName name="_10" localSheetId="5">#REF!</definedName>
    <definedName name="_10">#REF!</definedName>
    <definedName name="_10__123Graph_ACHART_18" localSheetId="2" hidden="1">#REF!</definedName>
    <definedName name="_10__123Graph_ACHART_18" localSheetId="1" hidden="1">#REF!</definedName>
    <definedName name="_10__123Graph_ACHART_18" localSheetId="0" hidden="1">#REF!</definedName>
    <definedName name="_10__123Graph_ACHART_18" localSheetId="4" hidden="1">#REF!</definedName>
    <definedName name="_10__123Graph_ACHART_18" localSheetId="3" hidden="1">#REF!</definedName>
    <definedName name="_10__123Graph_ACHART_18" localSheetId="5" hidden="1">#REF!</definedName>
    <definedName name="_10__123Graph_ACHART_18" hidden="1">#REF!</definedName>
    <definedName name="_10__123Graph_BCHART_16" localSheetId="2" hidden="1">#REF!</definedName>
    <definedName name="_10__123Graph_BCHART_16" localSheetId="1" hidden="1">#REF!</definedName>
    <definedName name="_10__123Graph_BCHART_16" localSheetId="4" hidden="1">#REF!</definedName>
    <definedName name="_10__123Graph_BCHART_16" localSheetId="3" hidden="1">#REF!</definedName>
    <definedName name="_10__123Graph_BCHART_16" localSheetId="5" hidden="1">#REF!</definedName>
    <definedName name="_10__123Graph_BCHART_16" hidden="1">#REF!</definedName>
    <definedName name="_100" localSheetId="2">#REF!</definedName>
    <definedName name="_100" localSheetId="1">#REF!</definedName>
    <definedName name="_100" localSheetId="0">#REF!</definedName>
    <definedName name="_100" localSheetId="4">#REF!</definedName>
    <definedName name="_100" localSheetId="3">#REF!</definedName>
    <definedName name="_100" localSheetId="5">#REF!</definedName>
    <definedName name="_100">#REF!</definedName>
    <definedName name="_11" localSheetId="2">#REF!</definedName>
    <definedName name="_11" localSheetId="1">#REF!</definedName>
    <definedName name="_11" localSheetId="0">#REF!</definedName>
    <definedName name="_11" localSheetId="4">#REF!</definedName>
    <definedName name="_11" localSheetId="3">#REF!</definedName>
    <definedName name="_11" localSheetId="5">#REF!</definedName>
    <definedName name="_11">#REF!</definedName>
    <definedName name="_11__123Graph_BCHART_17" localSheetId="2" hidden="1">#REF!</definedName>
    <definedName name="_11__123Graph_BCHART_17" localSheetId="1" hidden="1">#REF!</definedName>
    <definedName name="_11__123Graph_BCHART_17" localSheetId="0" hidden="1">#REF!</definedName>
    <definedName name="_11__123Graph_BCHART_17" localSheetId="4" hidden="1">#REF!</definedName>
    <definedName name="_11__123Graph_BCHART_17" localSheetId="3" hidden="1">#REF!</definedName>
    <definedName name="_11__123Graph_BCHART_17" localSheetId="5" hidden="1">#REF!</definedName>
    <definedName name="_11__123Graph_BCHART_17" hidden="1">#REF!</definedName>
    <definedName name="_12" localSheetId="2">#REF!</definedName>
    <definedName name="_12" localSheetId="1">#REF!</definedName>
    <definedName name="_12" localSheetId="0">#REF!</definedName>
    <definedName name="_12" localSheetId="4">#REF!</definedName>
    <definedName name="_12" localSheetId="3">#REF!</definedName>
    <definedName name="_12" localSheetId="5">#REF!</definedName>
    <definedName name="_12">#REF!</definedName>
    <definedName name="_12__123Graph_ACHART_19" localSheetId="2" hidden="1">#REF!</definedName>
    <definedName name="_12__123Graph_ACHART_19" localSheetId="1" hidden="1">#REF!</definedName>
    <definedName name="_12__123Graph_ACHART_19" localSheetId="0" hidden="1">#REF!</definedName>
    <definedName name="_12__123Graph_ACHART_19" localSheetId="4" hidden="1">#REF!</definedName>
    <definedName name="_12__123Graph_ACHART_19" localSheetId="3" hidden="1">#REF!</definedName>
    <definedName name="_12__123Graph_ACHART_19" localSheetId="5" hidden="1">#REF!</definedName>
    <definedName name="_12__123Graph_ACHART_19" hidden="1">#REF!</definedName>
    <definedName name="_12__123Graph_BCHART_22" localSheetId="2" hidden="1">#REF!</definedName>
    <definedName name="_12__123Graph_BCHART_22" localSheetId="1" hidden="1">#REF!</definedName>
    <definedName name="_12__123Graph_BCHART_22" localSheetId="4" hidden="1">#REF!</definedName>
    <definedName name="_12__123Graph_BCHART_22" localSheetId="3" hidden="1">#REF!</definedName>
    <definedName name="_12__123Graph_BCHART_22" localSheetId="5" hidden="1">#REF!</definedName>
    <definedName name="_12__123Graph_BCHART_22" hidden="1">#REF!</definedName>
    <definedName name="_13" localSheetId="2">#REF!</definedName>
    <definedName name="_13" localSheetId="1">#REF!</definedName>
    <definedName name="_13" localSheetId="0">#REF!</definedName>
    <definedName name="_13" localSheetId="4">#REF!</definedName>
    <definedName name="_13" localSheetId="3">#REF!</definedName>
    <definedName name="_13" localSheetId="5">#REF!</definedName>
    <definedName name="_13">#REF!</definedName>
    <definedName name="_13__123Graph_CCHART_15" localSheetId="2" hidden="1">#REF!</definedName>
    <definedName name="_13__123Graph_CCHART_15" localSheetId="1" hidden="1">#REF!</definedName>
    <definedName name="_13__123Graph_CCHART_15" localSheetId="0" hidden="1">#REF!</definedName>
    <definedName name="_13__123Graph_CCHART_15" localSheetId="4" hidden="1">#REF!</definedName>
    <definedName name="_13__123Graph_CCHART_15" localSheetId="3" hidden="1">#REF!</definedName>
    <definedName name="_13__123Graph_CCHART_15" localSheetId="5" hidden="1">#REF!</definedName>
    <definedName name="_13__123Graph_CCHART_15" hidden="1">#REF!</definedName>
    <definedName name="_14" localSheetId="2">#REF!</definedName>
    <definedName name="_14" localSheetId="1">#REF!</definedName>
    <definedName name="_14" localSheetId="0">#REF!</definedName>
    <definedName name="_14" localSheetId="4">#REF!</definedName>
    <definedName name="_14" localSheetId="3">#REF!</definedName>
    <definedName name="_14" localSheetId="5">#REF!</definedName>
    <definedName name="_14">#REF!</definedName>
    <definedName name="_14__123Graph_ACHART_21" localSheetId="2" hidden="1">#REF!</definedName>
    <definedName name="_14__123Graph_ACHART_21" localSheetId="1" hidden="1">#REF!</definedName>
    <definedName name="_14__123Graph_ACHART_21" localSheetId="0" hidden="1">#REF!</definedName>
    <definedName name="_14__123Graph_ACHART_21" localSheetId="4" hidden="1">#REF!</definedName>
    <definedName name="_14__123Graph_ACHART_21" localSheetId="3" hidden="1">#REF!</definedName>
    <definedName name="_14__123Graph_ACHART_21" localSheetId="5" hidden="1">#REF!</definedName>
    <definedName name="_14__123Graph_ACHART_21" hidden="1">#REF!</definedName>
    <definedName name="_14__123Graph_CCHART_16" localSheetId="2" hidden="1">#REF!</definedName>
    <definedName name="_14__123Graph_CCHART_16" localSheetId="1" hidden="1">#REF!</definedName>
    <definedName name="_14__123Graph_CCHART_16" localSheetId="4" hidden="1">#REF!</definedName>
    <definedName name="_14__123Graph_CCHART_16" localSheetId="3" hidden="1">#REF!</definedName>
    <definedName name="_14__123Graph_CCHART_16" localSheetId="5" hidden="1">#REF!</definedName>
    <definedName name="_14__123Graph_CCHART_16" hidden="1">#REF!</definedName>
    <definedName name="_15" localSheetId="2">#REF!</definedName>
    <definedName name="_15" localSheetId="1">#REF!</definedName>
    <definedName name="_15" localSheetId="0">#REF!</definedName>
    <definedName name="_15" localSheetId="4">#REF!</definedName>
    <definedName name="_15" localSheetId="3">#REF!</definedName>
    <definedName name="_15" localSheetId="5">#REF!</definedName>
    <definedName name="_15">#REF!</definedName>
    <definedName name="_15__123Graph_CCHART_17" localSheetId="2" hidden="1">#REF!</definedName>
    <definedName name="_15__123Graph_CCHART_17" localSheetId="1" hidden="1">#REF!</definedName>
    <definedName name="_15__123Graph_CCHART_17" localSheetId="0" hidden="1">#REF!</definedName>
    <definedName name="_15__123Graph_CCHART_17" localSheetId="4" hidden="1">#REF!</definedName>
    <definedName name="_15__123Graph_CCHART_17" localSheetId="3" hidden="1">#REF!</definedName>
    <definedName name="_15__123Graph_CCHART_17" localSheetId="5" hidden="1">#REF!</definedName>
    <definedName name="_15__123Graph_CCHART_17" hidden="1">#REF!</definedName>
    <definedName name="_16" localSheetId="2">#REF!</definedName>
    <definedName name="_16" localSheetId="1">#REF!</definedName>
    <definedName name="_16" localSheetId="0">#REF!</definedName>
    <definedName name="_16" localSheetId="4">#REF!</definedName>
    <definedName name="_16" localSheetId="3">#REF!</definedName>
    <definedName name="_16" localSheetId="5">#REF!</definedName>
    <definedName name="_16">#REF!</definedName>
    <definedName name="_16__123Graph_ASEG_PIE" localSheetId="2" hidden="1">#REF!</definedName>
    <definedName name="_16__123Graph_ASEG_PIE" localSheetId="1" hidden="1">#REF!</definedName>
    <definedName name="_16__123Graph_ASEG_PIE" localSheetId="0" hidden="1">#REF!</definedName>
    <definedName name="_16__123Graph_ASEG_PIE" localSheetId="4" hidden="1">#REF!</definedName>
    <definedName name="_16__123Graph_ASEG_PIE" localSheetId="3" hidden="1">#REF!</definedName>
    <definedName name="_16__123Graph_ASEG_PIE" localSheetId="5" hidden="1">#REF!</definedName>
    <definedName name="_16__123Graph_ASEG_PIE" hidden="1">#REF!</definedName>
    <definedName name="_16__123Graph_CCHART_22" localSheetId="2" hidden="1">#REF!</definedName>
    <definedName name="_16__123Graph_CCHART_22" localSheetId="1" hidden="1">#REF!</definedName>
    <definedName name="_16__123Graph_CCHART_22" localSheetId="4" hidden="1">#REF!</definedName>
    <definedName name="_16__123Graph_CCHART_22" localSheetId="3" hidden="1">#REF!</definedName>
    <definedName name="_16__123Graph_CCHART_22" localSheetId="5" hidden="1">#REF!</definedName>
    <definedName name="_16__123Graph_CCHART_22" hidden="1">#REF!</definedName>
    <definedName name="_17" localSheetId="2">#REF!</definedName>
    <definedName name="_17" localSheetId="1">#REF!</definedName>
    <definedName name="_17" localSheetId="0">#REF!</definedName>
    <definedName name="_17" localSheetId="4">#REF!</definedName>
    <definedName name="_17" localSheetId="3">#REF!</definedName>
    <definedName name="_17" localSheetId="5">#REF!</definedName>
    <definedName name="_17">#REF!</definedName>
    <definedName name="_17__123Graph_CSEG_PIE" localSheetId="2" hidden="1">#REF!</definedName>
    <definedName name="_17__123Graph_CSEG_PIE" localSheetId="1" hidden="1">#REF!</definedName>
    <definedName name="_17__123Graph_CSEG_PIE" localSheetId="0" hidden="1">#REF!</definedName>
    <definedName name="_17__123Graph_CSEG_PIE" localSheetId="4" hidden="1">#REF!</definedName>
    <definedName name="_17__123Graph_CSEG_PIE" localSheetId="3" hidden="1">#REF!</definedName>
    <definedName name="_17__123Graph_CSEG_PIE" localSheetId="5" hidden="1">#REF!</definedName>
    <definedName name="_17__123Graph_CSEG_PIE" hidden="1">#REF!</definedName>
    <definedName name="_18" localSheetId="2">#REF!</definedName>
    <definedName name="_18" localSheetId="1">#REF!</definedName>
    <definedName name="_18" localSheetId="0">#REF!</definedName>
    <definedName name="_18" localSheetId="4">#REF!</definedName>
    <definedName name="_18" localSheetId="3">#REF!</definedName>
    <definedName name="_18" localSheetId="5">#REF!</definedName>
    <definedName name="_18">#REF!</definedName>
    <definedName name="_18__123Graph_BCHART_15" localSheetId="2" hidden="1">#REF!</definedName>
    <definedName name="_18__123Graph_BCHART_15" localSheetId="1" hidden="1">#REF!</definedName>
    <definedName name="_18__123Graph_BCHART_15" localSheetId="0" hidden="1">#REF!</definedName>
    <definedName name="_18__123Graph_BCHART_15" localSheetId="4" hidden="1">#REF!</definedName>
    <definedName name="_18__123Graph_BCHART_15" localSheetId="3" hidden="1">#REF!</definedName>
    <definedName name="_18__123Graph_BCHART_15" localSheetId="5" hidden="1">#REF!</definedName>
    <definedName name="_18__123Graph_BCHART_15" hidden="1">#REF!</definedName>
    <definedName name="_18__123Graph_DCHART_15" localSheetId="2" hidden="1">#REF!</definedName>
    <definedName name="_18__123Graph_DCHART_15" localSheetId="1" hidden="1">#REF!</definedName>
    <definedName name="_18__123Graph_DCHART_15" localSheetId="4" hidden="1">#REF!</definedName>
    <definedName name="_18__123Graph_DCHART_15" localSheetId="3" hidden="1">#REF!</definedName>
    <definedName name="_18__123Graph_DCHART_15" localSheetId="5" hidden="1">#REF!</definedName>
    <definedName name="_18__123Graph_DCHART_15" hidden="1">#REF!</definedName>
    <definedName name="_19" localSheetId="2">#REF!</definedName>
    <definedName name="_19" localSheetId="1">#REF!</definedName>
    <definedName name="_19" localSheetId="0">#REF!</definedName>
    <definedName name="_19" localSheetId="4">#REF!</definedName>
    <definedName name="_19" localSheetId="3">#REF!</definedName>
    <definedName name="_19" localSheetId="5">#REF!</definedName>
    <definedName name="_19">#REF!</definedName>
    <definedName name="_19__123Graph_DCHART_16" localSheetId="2" hidden="1">#REF!</definedName>
    <definedName name="_19__123Graph_DCHART_16" localSheetId="1" hidden="1">#REF!</definedName>
    <definedName name="_19__123Graph_DCHART_16" localSheetId="0" hidden="1">#REF!</definedName>
    <definedName name="_19__123Graph_DCHART_16" localSheetId="4" hidden="1">#REF!</definedName>
    <definedName name="_19__123Graph_DCHART_16" localSheetId="3" hidden="1">#REF!</definedName>
    <definedName name="_19__123Graph_DCHART_16" localSheetId="5" hidden="1">#REF!</definedName>
    <definedName name="_19__123Graph_DCHART_16" hidden="1">#REF!</definedName>
    <definedName name="_1Excel_BuiltIn_Print_Area_2_1" localSheetId="4">#REF!</definedName>
    <definedName name="_1Excel_BuiltIn_Print_Area_2_1" localSheetId="3">#REF!</definedName>
    <definedName name="_1Excel_BuiltIn_Print_Area_2_1" localSheetId="5">#REF!</definedName>
    <definedName name="_1Excel_BuiltIn_Print_Area_2_1">#REF!</definedName>
    <definedName name="_2">#N/A</definedName>
    <definedName name="_2__123Graph_ACHART_12" localSheetId="2" hidden="1">#REF!</definedName>
    <definedName name="_2__123Graph_ACHART_12" localSheetId="1" hidden="1">#REF!</definedName>
    <definedName name="_2__123Graph_ACHART_12" localSheetId="4" hidden="1">#REF!</definedName>
    <definedName name="_2__123Graph_ACHART_12" localSheetId="3" hidden="1">#REF!</definedName>
    <definedName name="_2__123Graph_ACHART_12" localSheetId="5" hidden="1">#REF!</definedName>
    <definedName name="_2__123Graph_ACHART_12" hidden="1">#REF!</definedName>
    <definedName name="_2__123Graph_ACHART_15" localSheetId="2" hidden="1">#REF!</definedName>
    <definedName name="_2__123Graph_ACHART_15" localSheetId="1" hidden="1">#REF!</definedName>
    <definedName name="_2__123Graph_ACHART_15" localSheetId="4" hidden="1">#REF!</definedName>
    <definedName name="_2__123Graph_ACHART_15" localSheetId="3" hidden="1">#REF!</definedName>
    <definedName name="_2__123Graph_ACHART_15" localSheetId="5" hidden="1">#REF!</definedName>
    <definedName name="_2__123Graph_ACHART_15" hidden="1">#REF!</definedName>
    <definedName name="_2__123Graph_ACHART_1A" localSheetId="2" hidden="1">#REF!</definedName>
    <definedName name="_2__123Graph_ACHART_1A" localSheetId="1" hidden="1">#REF!</definedName>
    <definedName name="_2__123Graph_ACHART_1A" localSheetId="4" hidden="1">#REF!</definedName>
    <definedName name="_2__123Graph_ACHART_1A" localSheetId="3" hidden="1">#REF!</definedName>
    <definedName name="_2__123Graph_ACHART_1A" localSheetId="5" hidden="1">#REF!</definedName>
    <definedName name="_2__123Graph_ACHART_1A" hidden="1">#REF!</definedName>
    <definedName name="_2__123Graph_ACHART_2" localSheetId="4" hidden="1">#REF!</definedName>
    <definedName name="_2__123Graph_ACHART_2" localSheetId="3" hidden="1">#REF!</definedName>
    <definedName name="_2__123Graph_ACHART_2" localSheetId="5" hidden="1">#REF!</definedName>
    <definedName name="_2__123Graph_ACHART_2" hidden="1">#REF!</definedName>
    <definedName name="_2__123Graph_XCHART_1A" localSheetId="4" hidden="1">#REF!</definedName>
    <definedName name="_2__123Graph_XCHART_1A" localSheetId="3" hidden="1">#REF!</definedName>
    <definedName name="_2__123Graph_XCHART_1A" localSheetId="5" hidden="1">#REF!</definedName>
    <definedName name="_2__123Graph_XCHART_1A" hidden="1">#REF!</definedName>
    <definedName name="_2_PRINT_IRON" localSheetId="2">#REF!</definedName>
    <definedName name="_2_PRINT_IRON" localSheetId="1">#REF!</definedName>
    <definedName name="_2_PRINT_IRON" localSheetId="0">#REF!</definedName>
    <definedName name="_2_PRINT_IRON" localSheetId="4">#REF!</definedName>
    <definedName name="_2_PRINT_IRON" localSheetId="3">#REF!</definedName>
    <definedName name="_2_PRINT_IRON" localSheetId="5">#REF!</definedName>
    <definedName name="_2_PRINT_IRON">#REF!</definedName>
    <definedName name="_20" localSheetId="2">#REF!</definedName>
    <definedName name="_20" localSheetId="1">#REF!</definedName>
    <definedName name="_20" localSheetId="0">#REF!</definedName>
    <definedName name="_20" localSheetId="4">#REF!</definedName>
    <definedName name="_20" localSheetId="3">#REF!</definedName>
    <definedName name="_20" localSheetId="5">#REF!</definedName>
    <definedName name="_20">#REF!</definedName>
    <definedName name="_20__123Graph_BCHART_16" localSheetId="2" hidden="1">#REF!</definedName>
    <definedName name="_20__123Graph_BCHART_16" localSheetId="1" hidden="1">#REF!</definedName>
    <definedName name="_20__123Graph_BCHART_16" localSheetId="0" hidden="1">#REF!</definedName>
    <definedName name="_20__123Graph_BCHART_16" localSheetId="4" hidden="1">#REF!</definedName>
    <definedName name="_20__123Graph_BCHART_16" localSheetId="3" hidden="1">#REF!</definedName>
    <definedName name="_20__123Graph_BCHART_16" localSheetId="5" hidden="1">#REF!</definedName>
    <definedName name="_20__123Graph_BCHART_16" hidden="1">#REF!</definedName>
    <definedName name="_20__123Graph_DCHART_17" localSheetId="2" hidden="1">#REF!</definedName>
    <definedName name="_20__123Graph_DCHART_17" localSheetId="1" hidden="1">#REF!</definedName>
    <definedName name="_20__123Graph_DCHART_17" localSheetId="4" hidden="1">#REF!</definedName>
    <definedName name="_20__123Graph_DCHART_17" localSheetId="3" hidden="1">#REF!</definedName>
    <definedName name="_20__123Graph_DCHART_17" localSheetId="5" hidden="1">#REF!</definedName>
    <definedName name="_20__123Graph_DCHART_17" hidden="1">#REF!</definedName>
    <definedName name="_21" localSheetId="2">#REF!</definedName>
    <definedName name="_21" localSheetId="1">#REF!</definedName>
    <definedName name="_21" localSheetId="0">#REF!</definedName>
    <definedName name="_21" localSheetId="4">#REF!</definedName>
    <definedName name="_21" localSheetId="3">#REF!</definedName>
    <definedName name="_21" localSheetId="5">#REF!</definedName>
    <definedName name="_21">#REF!</definedName>
    <definedName name="_21__123Graph_DCHART_22" localSheetId="2" hidden="1">#REF!</definedName>
    <definedName name="_21__123Graph_DCHART_22" localSheetId="1" hidden="1">#REF!</definedName>
    <definedName name="_21__123Graph_DCHART_22" localSheetId="0" hidden="1">#REF!</definedName>
    <definedName name="_21__123Graph_DCHART_22" localSheetId="4" hidden="1">#REF!</definedName>
    <definedName name="_21__123Graph_DCHART_22" localSheetId="3" hidden="1">#REF!</definedName>
    <definedName name="_21__123Graph_DCHART_22" localSheetId="5" hidden="1">#REF!</definedName>
    <definedName name="_21__123Graph_DCHART_22" hidden="1">#REF!</definedName>
    <definedName name="_22" localSheetId="2">#REF!</definedName>
    <definedName name="_22" localSheetId="1">#REF!</definedName>
    <definedName name="_22" localSheetId="0">#REF!</definedName>
    <definedName name="_22" localSheetId="4">#REF!</definedName>
    <definedName name="_22" localSheetId="3">#REF!</definedName>
    <definedName name="_22" localSheetId="5">#REF!</definedName>
    <definedName name="_22">#REF!</definedName>
    <definedName name="_22__123Graph_BCHART_17" localSheetId="2" hidden="1">#REF!</definedName>
    <definedName name="_22__123Graph_BCHART_17" localSheetId="1" hidden="1">#REF!</definedName>
    <definedName name="_22__123Graph_BCHART_17" localSheetId="0" hidden="1">#REF!</definedName>
    <definedName name="_22__123Graph_BCHART_17" localSheetId="4" hidden="1">#REF!</definedName>
    <definedName name="_22__123Graph_BCHART_17" localSheetId="3" hidden="1">#REF!</definedName>
    <definedName name="_22__123Graph_BCHART_17" localSheetId="5" hidden="1">#REF!</definedName>
    <definedName name="_22__123Graph_BCHART_17" hidden="1">#REF!</definedName>
    <definedName name="_22__123Graph_ECHART_15" localSheetId="2" hidden="1">#REF!</definedName>
    <definedName name="_22__123Graph_ECHART_15" localSheetId="1" hidden="1">#REF!</definedName>
    <definedName name="_22__123Graph_ECHART_15" localSheetId="4" hidden="1">#REF!</definedName>
    <definedName name="_22__123Graph_ECHART_15" localSheetId="3" hidden="1">#REF!</definedName>
    <definedName name="_22__123Graph_ECHART_15" localSheetId="5" hidden="1">#REF!</definedName>
    <definedName name="_22__123Graph_ECHART_15" hidden="1">#REF!</definedName>
    <definedName name="_22KV__High_tension" localSheetId="4">#REF!</definedName>
    <definedName name="_22KV__High_tension" localSheetId="3">#REF!</definedName>
    <definedName name="_22KV__High_tension" localSheetId="5">#REF!</definedName>
    <definedName name="_22KV__High_tension">#REF!</definedName>
    <definedName name="_23__123Graph_ECHART_16" localSheetId="2" hidden="1">#REF!</definedName>
    <definedName name="_23__123Graph_ECHART_16" localSheetId="1" hidden="1">#REF!</definedName>
    <definedName name="_23__123Graph_ECHART_16" localSheetId="4" hidden="1">#REF!</definedName>
    <definedName name="_23__123Graph_ECHART_16" localSheetId="3" hidden="1">#REF!</definedName>
    <definedName name="_23__123Graph_ECHART_16" localSheetId="5" hidden="1">#REF!</definedName>
    <definedName name="_23__123Graph_ECHART_16" hidden="1">#REF!</definedName>
    <definedName name="_24__123Graph_BCHART_22" localSheetId="2" hidden="1">#REF!</definedName>
    <definedName name="_24__123Graph_BCHART_22" localSheetId="1" hidden="1">#REF!</definedName>
    <definedName name="_24__123Graph_BCHART_22" localSheetId="4" hidden="1">#REF!</definedName>
    <definedName name="_24__123Graph_BCHART_22" localSheetId="3" hidden="1">#REF!</definedName>
    <definedName name="_24__123Graph_BCHART_22" localSheetId="5" hidden="1">#REF!</definedName>
    <definedName name="_24__123Graph_BCHART_22" hidden="1">#REF!</definedName>
    <definedName name="_24__123Graph_ECHART_17" localSheetId="2" hidden="1">#REF!</definedName>
    <definedName name="_24__123Graph_ECHART_17" localSheetId="1" hidden="1">#REF!</definedName>
    <definedName name="_24__123Graph_ECHART_17" localSheetId="4" hidden="1">#REF!</definedName>
    <definedName name="_24__123Graph_ECHART_17" localSheetId="3" hidden="1">#REF!</definedName>
    <definedName name="_24__123Graph_ECHART_17" localSheetId="5" hidden="1">#REF!</definedName>
    <definedName name="_24__123Graph_ECHART_17" hidden="1">#REF!</definedName>
    <definedName name="_25__123Graph_ECHART_22" localSheetId="2" hidden="1">#REF!</definedName>
    <definedName name="_25__123Graph_ECHART_22" localSheetId="1" hidden="1">#REF!</definedName>
    <definedName name="_25__123Graph_ECHART_22" localSheetId="4" hidden="1">#REF!</definedName>
    <definedName name="_25__123Graph_ECHART_22" localSheetId="3" hidden="1">#REF!</definedName>
    <definedName name="_25__123Graph_ECHART_22" localSheetId="5" hidden="1">#REF!</definedName>
    <definedName name="_25__123Graph_ECHART_22" hidden="1">#REF!</definedName>
    <definedName name="_26__123Graph_CCHART_15" localSheetId="4" hidden="1">#REF!</definedName>
    <definedName name="_26__123Graph_CCHART_15" localSheetId="3" hidden="1">#REF!</definedName>
    <definedName name="_26__123Graph_CCHART_15" localSheetId="5" hidden="1">#REF!</definedName>
    <definedName name="_26__123Graph_CCHART_15" hidden="1">#REF!</definedName>
    <definedName name="_26__123Graph_FCHART_15" localSheetId="4" hidden="1">#REF!</definedName>
    <definedName name="_26__123Graph_FCHART_15" localSheetId="3" hidden="1">#REF!</definedName>
    <definedName name="_26__123Graph_FCHART_15" localSheetId="5" hidden="1">#REF!</definedName>
    <definedName name="_26__123Graph_FCHART_15" hidden="1">#REF!</definedName>
    <definedName name="_27__123Graph_FCHART_16" localSheetId="4" hidden="1">#REF!</definedName>
    <definedName name="_27__123Graph_FCHART_16" localSheetId="3" hidden="1">#REF!</definedName>
    <definedName name="_27__123Graph_FCHART_16" localSheetId="5" hidden="1">#REF!</definedName>
    <definedName name="_27__123Graph_FCHART_16" hidden="1">#REF!</definedName>
    <definedName name="_28__123Graph_CCHART_16" localSheetId="4" hidden="1">#REF!</definedName>
    <definedName name="_28__123Graph_CCHART_16" localSheetId="3" hidden="1">#REF!</definedName>
    <definedName name="_28__123Graph_CCHART_16" localSheetId="5" hidden="1">#REF!</definedName>
    <definedName name="_28__123Graph_CCHART_16" hidden="1">#REF!</definedName>
    <definedName name="_28__123Graph_FCHART_17" localSheetId="4" hidden="1">#REF!</definedName>
    <definedName name="_28__123Graph_FCHART_17" localSheetId="3" hidden="1">#REF!</definedName>
    <definedName name="_28__123Graph_FCHART_17" localSheetId="5" hidden="1">#REF!</definedName>
    <definedName name="_28__123Graph_FCHART_17" hidden="1">#REF!</definedName>
    <definedName name="_29__123Graph_FCHART_22" localSheetId="4" hidden="1">#REF!</definedName>
    <definedName name="_29__123Graph_FCHART_22" localSheetId="3" hidden="1">#REF!</definedName>
    <definedName name="_29__123Graph_FCHART_22" localSheetId="5" hidden="1">#REF!</definedName>
    <definedName name="_29__123Graph_FCHART_22" hidden="1">#REF!</definedName>
    <definedName name="_2Excel_BuiltIn_Print_Area_2_1_1" localSheetId="4">#REF!</definedName>
    <definedName name="_2Excel_BuiltIn_Print_Area_2_1_1" localSheetId="3">#REF!</definedName>
    <definedName name="_2Excel_BuiltIn_Print_Area_2_1_1" localSheetId="5">#REF!</definedName>
    <definedName name="_2Excel_BuiltIn_Print_Area_2_1_1">#REF!</definedName>
    <definedName name="_3__123Graph_ACHART_16" localSheetId="0" hidden="1">#REF!</definedName>
    <definedName name="_3__123Graph_ACHART_16" localSheetId="4" hidden="1">#REF!</definedName>
    <definedName name="_3__123Graph_ACHART_16" localSheetId="3" hidden="1">#REF!</definedName>
    <definedName name="_3__123Graph_ACHART_16" localSheetId="5" hidden="1">#REF!</definedName>
    <definedName name="_3__123Graph_ACHART_16" hidden="1">#REF!</definedName>
    <definedName name="_3__123Graph_BCHART_2" localSheetId="4" hidden="1">#REF!</definedName>
    <definedName name="_3__123Graph_BCHART_2" localSheetId="3" hidden="1">#REF!</definedName>
    <definedName name="_3__123Graph_BCHART_2" localSheetId="5" hidden="1">#REF!</definedName>
    <definedName name="_3__123Graph_BCHART_2" hidden="1">#REF!</definedName>
    <definedName name="_30__123Graph_CCHART_17" localSheetId="2" hidden="1">#REF!</definedName>
    <definedName name="_30__123Graph_CCHART_17" localSheetId="1" hidden="1">#REF!</definedName>
    <definedName name="_30__123Graph_CCHART_17" localSheetId="4" hidden="1">#REF!</definedName>
    <definedName name="_30__123Graph_CCHART_17" localSheetId="3" hidden="1">#REF!</definedName>
    <definedName name="_30__123Graph_CCHART_17" localSheetId="5" hidden="1">#REF!</definedName>
    <definedName name="_30__123Graph_CCHART_17" hidden="1">#REF!</definedName>
    <definedName name="_30__123Graph_XCHART_15" localSheetId="2" hidden="1">#REF!</definedName>
    <definedName name="_30__123Graph_XCHART_15" localSheetId="1" hidden="1">#REF!</definedName>
    <definedName name="_30__123Graph_XCHART_15" localSheetId="4" hidden="1">#REF!</definedName>
    <definedName name="_30__123Graph_XCHART_15" localSheetId="3" hidden="1">#REF!</definedName>
    <definedName name="_30__123Graph_XCHART_15" localSheetId="5" hidden="1">#REF!</definedName>
    <definedName name="_30__123Graph_XCHART_15" hidden="1">#REF!</definedName>
    <definedName name="_31__123Graph_XCHART_16" localSheetId="2" hidden="1">#REF!</definedName>
    <definedName name="_31__123Graph_XCHART_16" localSheetId="1" hidden="1">#REF!</definedName>
    <definedName name="_31__123Graph_XCHART_16" localSheetId="4" hidden="1">#REF!</definedName>
    <definedName name="_31__123Graph_XCHART_16" localSheetId="3" hidden="1">#REF!</definedName>
    <definedName name="_31__123Graph_XCHART_16" localSheetId="5" hidden="1">#REF!</definedName>
    <definedName name="_31__123Graph_XCHART_16" hidden="1">#REF!</definedName>
    <definedName name="_31_Mar_02" localSheetId="2">#REF!</definedName>
    <definedName name="_31_Mar_02" localSheetId="1">#REF!</definedName>
    <definedName name="_31_Mar_02" localSheetId="0">#REF!</definedName>
    <definedName name="_31_Mar_02" localSheetId="4">#REF!</definedName>
    <definedName name="_31_Mar_02" localSheetId="3">#REF!</definedName>
    <definedName name="_31_Mar_02" localSheetId="5">#REF!</definedName>
    <definedName name="_31_Mar_02">#REF!</definedName>
    <definedName name="_32__123Graph_CCHART_22" localSheetId="2" hidden="1">#REF!</definedName>
    <definedName name="_32__123Graph_CCHART_22" localSheetId="1" hidden="1">#REF!</definedName>
    <definedName name="_32__123Graph_CCHART_22" localSheetId="0" hidden="1">#REF!</definedName>
    <definedName name="_32__123Graph_CCHART_22" localSheetId="4" hidden="1">#REF!</definedName>
    <definedName name="_32__123Graph_CCHART_22" localSheetId="3" hidden="1">#REF!</definedName>
    <definedName name="_32__123Graph_CCHART_22" localSheetId="5" hidden="1">#REF!</definedName>
    <definedName name="_32__123Graph_CCHART_22" hidden="1">#REF!</definedName>
    <definedName name="_32__123Graph_XCHART_17" localSheetId="2" hidden="1">#REF!</definedName>
    <definedName name="_32__123Graph_XCHART_17" localSheetId="1" hidden="1">#REF!</definedName>
    <definedName name="_32__123Graph_XCHART_17" localSheetId="4" hidden="1">#REF!</definedName>
    <definedName name="_32__123Graph_XCHART_17" localSheetId="3" hidden="1">#REF!</definedName>
    <definedName name="_32__123Graph_XCHART_17" localSheetId="5" hidden="1">#REF!</definedName>
    <definedName name="_32__123Graph_XCHART_17" hidden="1">#REF!</definedName>
    <definedName name="_321" localSheetId="4" hidden="1">#REF!</definedName>
    <definedName name="_321" localSheetId="3" hidden="1">#REF!</definedName>
    <definedName name="_321" localSheetId="5" hidden="1">#REF!</definedName>
    <definedName name="_321" hidden="1">#REF!</definedName>
    <definedName name="_33__123Graph_XCHART_18" localSheetId="2" hidden="1">#REF!</definedName>
    <definedName name="_33__123Graph_XCHART_18" localSheetId="1" hidden="1">#REF!</definedName>
    <definedName name="_33__123Graph_XCHART_18" localSheetId="4" hidden="1">#REF!</definedName>
    <definedName name="_33__123Graph_XCHART_18" localSheetId="3" hidden="1">#REF!</definedName>
    <definedName name="_33__123Graph_XCHART_18" localSheetId="5" hidden="1">#REF!</definedName>
    <definedName name="_33__123Graph_XCHART_18" hidden="1">#REF!</definedName>
    <definedName name="_34__123Graph_CSEG_PIE" localSheetId="4" hidden="1">#REF!</definedName>
    <definedName name="_34__123Graph_CSEG_PIE" localSheetId="3" hidden="1">#REF!</definedName>
    <definedName name="_34__123Graph_CSEG_PIE" localSheetId="5" hidden="1">#REF!</definedName>
    <definedName name="_34__123Graph_CSEG_PIE" hidden="1">#REF!</definedName>
    <definedName name="_34__123Graph_XCHART_19" localSheetId="4" hidden="1">#REF!</definedName>
    <definedName name="_34__123Graph_XCHART_19" localSheetId="3" hidden="1">#REF!</definedName>
    <definedName name="_34__123Graph_XCHART_19" localSheetId="5" hidden="1">#REF!</definedName>
    <definedName name="_34__123Graph_XCHART_19" hidden="1">#REF!</definedName>
    <definedName name="_35__123Graph_XCHART_22" localSheetId="4" hidden="1">#REF!</definedName>
    <definedName name="_35__123Graph_XCHART_22" localSheetId="3" hidden="1">#REF!</definedName>
    <definedName name="_35__123Graph_XCHART_22" localSheetId="5" hidden="1">#REF!</definedName>
    <definedName name="_35__123Graph_XCHART_22" hidden="1">#REF!</definedName>
    <definedName name="_36__123Graph_DCHART_15" localSheetId="4" hidden="1">#REF!</definedName>
    <definedName name="_36__123Graph_DCHART_15" localSheetId="3" hidden="1">#REF!</definedName>
    <definedName name="_36__123Graph_DCHART_15" localSheetId="5" hidden="1">#REF!</definedName>
    <definedName name="_36__123Graph_DCHART_15" hidden="1">#REF!</definedName>
    <definedName name="_36__123Graph_XSEG_PIE" localSheetId="4" hidden="1">#REF!</definedName>
    <definedName name="_36__123Graph_XSEG_PIE" localSheetId="3" hidden="1">#REF!</definedName>
    <definedName name="_36__123Graph_XSEG_PIE" localSheetId="5" hidden="1">#REF!</definedName>
    <definedName name="_36__123Graph_XSEG_PIE" hidden="1">#REF!</definedName>
    <definedName name="_38__123Graph_DCHART_16" localSheetId="4" hidden="1">#REF!</definedName>
    <definedName name="_38__123Graph_DCHART_16" localSheetId="3" hidden="1">#REF!</definedName>
    <definedName name="_38__123Graph_DCHART_16" localSheetId="5" hidden="1">#REF!</definedName>
    <definedName name="_38__123Graph_DCHART_16" hidden="1">#REF!</definedName>
    <definedName name="_3Excel_BuiltIn_Print_Area_4_1_1_1" localSheetId="4">#REF!</definedName>
    <definedName name="_3Excel_BuiltIn_Print_Area_4_1_1_1" localSheetId="3">#REF!</definedName>
    <definedName name="_3Excel_BuiltIn_Print_Area_4_1_1_1" localSheetId="5">#REF!</definedName>
    <definedName name="_3Excel_BuiltIn_Print_Area_4_1_1_1">#REF!</definedName>
    <definedName name="_4__123Graph_ACHART_15" localSheetId="0" hidden="1">#REF!</definedName>
    <definedName name="_4__123Graph_ACHART_15" localSheetId="4" hidden="1">#REF!</definedName>
    <definedName name="_4__123Graph_ACHART_15" localSheetId="3" hidden="1">#REF!</definedName>
    <definedName name="_4__123Graph_ACHART_15" localSheetId="5" hidden="1">#REF!</definedName>
    <definedName name="_4__123Graph_ACHART_15" hidden="1">#REF!</definedName>
    <definedName name="_4__123Graph_ACHART_17" localSheetId="4" hidden="1">#REF!</definedName>
    <definedName name="_4__123Graph_ACHART_17" localSheetId="3" hidden="1">#REF!</definedName>
    <definedName name="_4__123Graph_ACHART_17" localSheetId="5" hidden="1">#REF!</definedName>
    <definedName name="_4__123Graph_ACHART_17" hidden="1">#REF!</definedName>
    <definedName name="_4__123Graph_CCHART_1" localSheetId="4" hidden="1">#REF!</definedName>
    <definedName name="_4__123Graph_CCHART_1" localSheetId="3" hidden="1">#REF!</definedName>
    <definedName name="_4__123Graph_CCHART_1" localSheetId="5" hidden="1">#REF!</definedName>
    <definedName name="_4__123Graph_CCHART_1" hidden="1">#REF!</definedName>
    <definedName name="_4__123Graph_XCHART_1A" localSheetId="4" hidden="1">#REF!</definedName>
    <definedName name="_4__123Graph_XCHART_1A" localSheetId="3" hidden="1">#REF!</definedName>
    <definedName name="_4__123Graph_XCHART_1A" localSheetId="5" hidden="1">#REF!</definedName>
    <definedName name="_4__123Graph_XCHART_1A" hidden="1">#REF!</definedName>
    <definedName name="_40__123Graph_DCHART_17" localSheetId="2" hidden="1">#REF!</definedName>
    <definedName name="_40__123Graph_DCHART_17" localSheetId="1" hidden="1">#REF!</definedName>
    <definedName name="_40__123Graph_DCHART_17" localSheetId="4" hidden="1">#REF!</definedName>
    <definedName name="_40__123Graph_DCHART_17" localSheetId="3" hidden="1">#REF!</definedName>
    <definedName name="_40__123Graph_DCHART_17" localSheetId="5" hidden="1">#REF!</definedName>
    <definedName name="_40__123Graph_DCHART_17" hidden="1">#REF!</definedName>
    <definedName name="_42__123Graph_DCHART_22" localSheetId="2" hidden="1">#REF!</definedName>
    <definedName name="_42__123Graph_DCHART_22" localSheetId="1" hidden="1">#REF!</definedName>
    <definedName name="_42__123Graph_DCHART_22" localSheetId="4" hidden="1">#REF!</definedName>
    <definedName name="_42__123Graph_DCHART_22" localSheetId="3" hidden="1">#REF!</definedName>
    <definedName name="_42__123Graph_DCHART_22" localSheetId="5" hidden="1">#REF!</definedName>
    <definedName name="_42__123Graph_DCHART_22" hidden="1">#REF!</definedName>
    <definedName name="_44__123Graph_ECHART_15" localSheetId="2" hidden="1">#REF!</definedName>
    <definedName name="_44__123Graph_ECHART_15" localSheetId="1" hidden="1">#REF!</definedName>
    <definedName name="_44__123Graph_ECHART_15" localSheetId="4" hidden="1">#REF!</definedName>
    <definedName name="_44__123Graph_ECHART_15" localSheetId="3" hidden="1">#REF!</definedName>
    <definedName name="_44__123Graph_ECHART_15" localSheetId="5" hidden="1">#REF!</definedName>
    <definedName name="_44__123Graph_ECHART_15" hidden="1">#REF!</definedName>
    <definedName name="_46__123Graph_ECHART_16" localSheetId="4" hidden="1">#REF!</definedName>
    <definedName name="_46__123Graph_ECHART_16" localSheetId="3" hidden="1">#REF!</definedName>
    <definedName name="_46__123Graph_ECHART_16" localSheetId="5" hidden="1">#REF!</definedName>
    <definedName name="_46__123Graph_ECHART_16" hidden="1">#REF!</definedName>
    <definedName name="_48__123Graph_ECHART_17" localSheetId="4" hidden="1">#REF!</definedName>
    <definedName name="_48__123Graph_ECHART_17" localSheetId="3" hidden="1">#REF!</definedName>
    <definedName name="_48__123Graph_ECHART_17" localSheetId="5" hidden="1">#REF!</definedName>
    <definedName name="_48__123Graph_ECHART_17" hidden="1">#REF!</definedName>
    <definedName name="_4C_x" localSheetId="2">#REF!</definedName>
    <definedName name="_4C_x" localSheetId="1">#REF!</definedName>
    <definedName name="_4C_x" localSheetId="0">#REF!</definedName>
    <definedName name="_4C_x" localSheetId="4">#REF!</definedName>
    <definedName name="_4C_x" localSheetId="3">#REF!</definedName>
    <definedName name="_4C_x" localSheetId="5">#REF!</definedName>
    <definedName name="_4C_x">#REF!</definedName>
    <definedName name="_5__123Graph_ACHART_18" localSheetId="2" hidden="1">#REF!</definedName>
    <definedName name="_5__123Graph_ACHART_18" localSheetId="1" hidden="1">#REF!</definedName>
    <definedName name="_5__123Graph_ACHART_18" localSheetId="0" hidden="1">#REF!</definedName>
    <definedName name="_5__123Graph_ACHART_18" localSheetId="4" hidden="1">#REF!</definedName>
    <definedName name="_5__123Graph_ACHART_18" localSheetId="3" hidden="1">#REF!</definedName>
    <definedName name="_5__123Graph_ACHART_18" localSheetId="5" hidden="1">#REF!</definedName>
    <definedName name="_5__123Graph_ACHART_18" hidden="1">#REF!</definedName>
    <definedName name="_5__123Graph_DCHART_1" localSheetId="4" hidden="1">#REF!</definedName>
    <definedName name="_5__123Graph_DCHART_1" localSheetId="3" hidden="1">#REF!</definedName>
    <definedName name="_5__123Graph_DCHART_1" localSheetId="5" hidden="1">#REF!</definedName>
    <definedName name="_5__123Graph_DCHART_1" hidden="1">#REF!</definedName>
    <definedName name="_50__123Graph_ECHART_22" localSheetId="2" hidden="1">#REF!</definedName>
    <definedName name="_50__123Graph_ECHART_22" localSheetId="1" hidden="1">#REF!</definedName>
    <definedName name="_50__123Graph_ECHART_22" localSheetId="4" hidden="1">#REF!</definedName>
    <definedName name="_50__123Graph_ECHART_22" localSheetId="3" hidden="1">#REF!</definedName>
    <definedName name="_50__123Graph_ECHART_22" localSheetId="5" hidden="1">#REF!</definedName>
    <definedName name="_50__123Graph_ECHART_22" hidden="1">#REF!</definedName>
    <definedName name="_52__123Graph_FCHART_15" localSheetId="2" hidden="1">#REF!</definedName>
    <definedName name="_52__123Graph_FCHART_15" localSheetId="1" hidden="1">#REF!</definedName>
    <definedName name="_52__123Graph_FCHART_15" localSheetId="4" hidden="1">#REF!</definedName>
    <definedName name="_52__123Graph_FCHART_15" localSheetId="3" hidden="1">#REF!</definedName>
    <definedName name="_52__123Graph_FCHART_15" localSheetId="5" hidden="1">#REF!</definedName>
    <definedName name="_52__123Graph_FCHART_15" hidden="1">#REF!</definedName>
    <definedName name="_54__123Graph_FCHART_16" localSheetId="2" hidden="1">#REF!</definedName>
    <definedName name="_54__123Graph_FCHART_16" localSheetId="1" hidden="1">#REF!</definedName>
    <definedName name="_54__123Graph_FCHART_16" localSheetId="4" hidden="1">#REF!</definedName>
    <definedName name="_54__123Graph_FCHART_16" localSheetId="3" hidden="1">#REF!</definedName>
    <definedName name="_54__123Graph_FCHART_16" localSheetId="5" hidden="1">#REF!</definedName>
    <definedName name="_54__123Graph_FCHART_16" hidden="1">#REF!</definedName>
    <definedName name="_56__123Graph_FCHART_17" localSheetId="2" hidden="1">#REF!</definedName>
    <definedName name="_56__123Graph_FCHART_17" localSheetId="1" hidden="1">#REF!</definedName>
    <definedName name="_56__123Graph_FCHART_17" localSheetId="4" hidden="1">#REF!</definedName>
    <definedName name="_56__123Graph_FCHART_17" localSheetId="3" hidden="1">#REF!</definedName>
    <definedName name="_56__123Graph_FCHART_17" localSheetId="5" hidden="1">#REF!</definedName>
    <definedName name="_56__123Graph_FCHART_17" hidden="1">#REF!</definedName>
    <definedName name="_58__123Graph_FCHART_22" localSheetId="4" hidden="1">#REF!</definedName>
    <definedName name="_58__123Graph_FCHART_22" localSheetId="3" hidden="1">#REF!</definedName>
    <definedName name="_58__123Graph_FCHART_22" localSheetId="5" hidden="1">#REF!</definedName>
    <definedName name="_58__123Graph_FCHART_22" hidden="1">#REF!</definedName>
    <definedName name="_6__123Graph_ACHART_16" localSheetId="4" hidden="1">#REF!</definedName>
    <definedName name="_6__123Graph_ACHART_16" localSheetId="3" hidden="1">#REF!</definedName>
    <definedName name="_6__123Graph_ACHART_16" localSheetId="5" hidden="1">#REF!</definedName>
    <definedName name="_6__123Graph_ACHART_16" hidden="1">#REF!</definedName>
    <definedName name="_6__123Graph_ACHART_19" localSheetId="4" hidden="1">#REF!</definedName>
    <definedName name="_6__123Graph_ACHART_19" localSheetId="3" hidden="1">#REF!</definedName>
    <definedName name="_6__123Graph_ACHART_19" localSheetId="5" hidden="1">#REF!</definedName>
    <definedName name="_6__123Graph_ACHART_19" hidden="1">#REF!</definedName>
    <definedName name="_6_2_0OPTI" localSheetId="4">#REF!</definedName>
    <definedName name="_6_2_0OPTI" localSheetId="3">#REF!</definedName>
    <definedName name="_6_2_0OPTI" localSheetId="5">#REF!</definedName>
    <definedName name="_6_2_0OPTI">#REF!</definedName>
    <definedName name="_60__123Graph_XCHART_15" localSheetId="4" hidden="1">#REF!</definedName>
    <definedName name="_60__123Graph_XCHART_15" localSheetId="3" hidden="1">#REF!</definedName>
    <definedName name="_60__123Graph_XCHART_15" localSheetId="5" hidden="1">#REF!</definedName>
    <definedName name="_60__123Graph_XCHART_15" hidden="1">#REF!</definedName>
    <definedName name="_62__123Graph_XCHART_16" localSheetId="4" hidden="1">#REF!</definedName>
    <definedName name="_62__123Graph_XCHART_16" localSheetId="3" hidden="1">#REF!</definedName>
    <definedName name="_62__123Graph_XCHART_16" localSheetId="5" hidden="1">#REF!</definedName>
    <definedName name="_62__123Graph_XCHART_16" hidden="1">#REF!</definedName>
    <definedName name="_64__123Graph_XCHART_17" localSheetId="4" hidden="1">#REF!</definedName>
    <definedName name="_64__123Graph_XCHART_17" localSheetId="3" hidden="1">#REF!</definedName>
    <definedName name="_64__123Graph_XCHART_17" localSheetId="5" hidden="1">#REF!</definedName>
    <definedName name="_64__123Graph_XCHART_17" hidden="1">#REF!</definedName>
    <definedName name="_66__123Graph_XCHART_18" localSheetId="4" hidden="1">#REF!</definedName>
    <definedName name="_66__123Graph_XCHART_18" localSheetId="3" hidden="1">#REF!</definedName>
    <definedName name="_66__123Graph_XCHART_18" localSheetId="5" hidden="1">#REF!</definedName>
    <definedName name="_66__123Graph_XCHART_18" hidden="1">#REF!</definedName>
    <definedName name="_68__123Graph_XCHART_19" localSheetId="4" hidden="1">#REF!</definedName>
    <definedName name="_68__123Graph_XCHART_19" localSheetId="3" hidden="1">#REF!</definedName>
    <definedName name="_68__123Graph_XCHART_19" localSheetId="5" hidden="1">#REF!</definedName>
    <definedName name="_68__123Graph_XCHART_19" hidden="1">#REF!</definedName>
    <definedName name="_7" localSheetId="2">#REF!</definedName>
    <definedName name="_7" localSheetId="1">#REF!</definedName>
    <definedName name="_7" localSheetId="0">#REF!</definedName>
    <definedName name="_7" localSheetId="4">#REF!</definedName>
    <definedName name="_7" localSheetId="3">#REF!</definedName>
    <definedName name="_7" localSheetId="5">#REF!</definedName>
    <definedName name="_7">#REF!</definedName>
    <definedName name="_7__123Graph_ACHART_21" localSheetId="2" hidden="1">#REF!</definedName>
    <definedName name="_7__123Graph_ACHART_21" localSheetId="1" hidden="1">#REF!</definedName>
    <definedName name="_7__123Graph_ACHART_21" localSheetId="0" hidden="1">#REF!</definedName>
    <definedName name="_7__123Graph_ACHART_21" localSheetId="4" hidden="1">#REF!</definedName>
    <definedName name="_7__123Graph_ACHART_21" localSheetId="3" hidden="1">#REF!</definedName>
    <definedName name="_7__123Graph_ACHART_21" localSheetId="5" hidden="1">#REF!</definedName>
    <definedName name="_7__123Graph_ACHART_21" hidden="1">#REF!</definedName>
    <definedName name="_7_2__OPTI" localSheetId="2">#REF!</definedName>
    <definedName name="_7_2__OPTI" localSheetId="1">#REF!</definedName>
    <definedName name="_7_2__OPTI" localSheetId="4">#REF!</definedName>
    <definedName name="_7_2__OPTI" localSheetId="3">#REF!</definedName>
    <definedName name="_7_2__OPTI" localSheetId="5">#REF!</definedName>
    <definedName name="_7_2__OPTI">#REF!</definedName>
    <definedName name="_70__123Graph_XCHART_22" localSheetId="2" hidden="1">#REF!</definedName>
    <definedName name="_70__123Graph_XCHART_22" localSheetId="1" hidden="1">#REF!</definedName>
    <definedName name="_70__123Graph_XCHART_22" localSheetId="4" hidden="1">#REF!</definedName>
    <definedName name="_70__123Graph_XCHART_22" localSheetId="3" hidden="1">#REF!</definedName>
    <definedName name="_70__123Graph_XCHART_22" localSheetId="5" hidden="1">#REF!</definedName>
    <definedName name="_70__123Graph_XCHART_22" hidden="1">#REF!</definedName>
    <definedName name="_72__123Graph_XSEG_PIE" localSheetId="2" hidden="1">#REF!</definedName>
    <definedName name="_72__123Graph_XSEG_PIE" localSheetId="1" hidden="1">#REF!</definedName>
    <definedName name="_72__123Graph_XSEG_PIE" localSheetId="4" hidden="1">#REF!</definedName>
    <definedName name="_72__123Graph_XSEG_PIE" localSheetId="3" hidden="1">#REF!</definedName>
    <definedName name="_72__123Graph_XSEG_PIE" localSheetId="5" hidden="1">#REF!</definedName>
    <definedName name="_72__123Graph_XSEG_PIE" hidden="1">#REF!</definedName>
    <definedName name="_8" localSheetId="2">#REF!</definedName>
    <definedName name="_8" localSheetId="1">#REF!</definedName>
    <definedName name="_8" localSheetId="0">#REF!</definedName>
    <definedName name="_8" localSheetId="4">#REF!</definedName>
    <definedName name="_8" localSheetId="3">#REF!</definedName>
    <definedName name="_8" localSheetId="5">#REF!</definedName>
    <definedName name="_8">#REF!</definedName>
    <definedName name="_8__123Graph_ACHART_17" localSheetId="2" hidden="1">#REF!</definedName>
    <definedName name="_8__123Graph_ACHART_17" localSheetId="1" hidden="1">#REF!</definedName>
    <definedName name="_8__123Graph_ACHART_17" localSheetId="0" hidden="1">#REF!</definedName>
    <definedName name="_8__123Graph_ACHART_17" localSheetId="4" hidden="1">#REF!</definedName>
    <definedName name="_8__123Graph_ACHART_17" localSheetId="3" hidden="1">#REF!</definedName>
    <definedName name="_8__123Graph_ACHART_17" localSheetId="5" hidden="1">#REF!</definedName>
    <definedName name="_8__123Graph_ACHART_17" hidden="1">#REF!</definedName>
    <definedName name="_8__123Graph_ASEG_PIE" localSheetId="2" hidden="1">#REF!</definedName>
    <definedName name="_8__123Graph_ASEG_PIE" localSheetId="1" hidden="1">#REF!</definedName>
    <definedName name="_8__123Graph_ASEG_PIE" localSheetId="4" hidden="1">#REF!</definedName>
    <definedName name="_8__123Graph_ASEG_PIE" localSheetId="3" hidden="1">#REF!</definedName>
    <definedName name="_8__123Graph_ASEG_PIE" localSheetId="5" hidden="1">#REF!</definedName>
    <definedName name="_8__123Graph_ASEG_PIE" hidden="1">#REF!</definedName>
    <definedName name="_9" localSheetId="2">#REF!</definedName>
    <definedName name="_9" localSheetId="1">#REF!</definedName>
    <definedName name="_9" localSheetId="0">#REF!</definedName>
    <definedName name="_9" localSheetId="4">#REF!</definedName>
    <definedName name="_9" localSheetId="3">#REF!</definedName>
    <definedName name="_9" localSheetId="5">#REF!</definedName>
    <definedName name="_9">#REF!</definedName>
    <definedName name="_9__123Graph_BCHART_15" localSheetId="2" hidden="1">#REF!</definedName>
    <definedName name="_9__123Graph_BCHART_15" localSheetId="1" hidden="1">#REF!</definedName>
    <definedName name="_9__123Graph_BCHART_15" localSheetId="0" hidden="1">#REF!</definedName>
    <definedName name="_9__123Graph_BCHART_15" localSheetId="4" hidden="1">#REF!</definedName>
    <definedName name="_9__123Graph_BCHART_15" localSheetId="3" hidden="1">#REF!</definedName>
    <definedName name="_9__123Graph_BCHART_15" localSheetId="5" hidden="1">#REF!</definedName>
    <definedName name="_9__123Graph_BCHART_15" hidden="1">#REF!</definedName>
    <definedName name="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localSheetId="5" hidden="1">#REF!</definedName>
    <definedName name="_ABC" hidden="1">#REF!</definedName>
    <definedName name="_ALL1" localSheetId="2">#REF!</definedName>
    <definedName name="_ALL1" localSheetId="1">#REF!</definedName>
    <definedName name="_ALL1" localSheetId="0">#REF!</definedName>
    <definedName name="_ALL1" localSheetId="4">#REF!</definedName>
    <definedName name="_ALL1" localSheetId="3">#REF!</definedName>
    <definedName name="_ALL1" localSheetId="5">#REF!</definedName>
    <definedName name="_ALL1">#REF!</definedName>
    <definedName name="_ALL2" localSheetId="2">#REF!</definedName>
    <definedName name="_ALL2" localSheetId="1">#REF!</definedName>
    <definedName name="_ALL2" localSheetId="0">#REF!</definedName>
    <definedName name="_ALL2" localSheetId="4">#REF!</definedName>
    <definedName name="_ALL2" localSheetId="3">#REF!</definedName>
    <definedName name="_ALL2" localSheetId="5">#REF!</definedName>
    <definedName name="_ALL2">#REF!</definedName>
    <definedName name="_ALL3" localSheetId="2">#REF!</definedName>
    <definedName name="_ALL3" localSheetId="1">#REF!</definedName>
    <definedName name="_ALL3" localSheetId="0">#REF!</definedName>
    <definedName name="_ALL3" localSheetId="4">#REF!</definedName>
    <definedName name="_ALL3" localSheetId="3">#REF!</definedName>
    <definedName name="_ALL3" localSheetId="5">#REF!</definedName>
    <definedName name="_ALL3">#REF!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">#REF!</definedName>
    <definedName name="_AUX3" localSheetId="1">#REF!</definedName>
    <definedName name="_AUX3" localSheetId="0">#REF!</definedName>
    <definedName name="_AUX3" localSheetId="4">#REF!</definedName>
    <definedName name="_AUX3" localSheetId="3">#REF!</definedName>
    <definedName name="_AUX3" localSheetId="5">#REF!</definedName>
    <definedName name="_AUX3">#REF!</definedName>
    <definedName name="_B19000" localSheetId="2">#REF!</definedName>
    <definedName name="_B19000" localSheetId="1">#REF!</definedName>
    <definedName name="_B19000" localSheetId="0">#REF!</definedName>
    <definedName name="_B19000" localSheetId="4">#REF!</definedName>
    <definedName name="_B19000" localSheetId="3">#REF!</definedName>
    <definedName name="_B19000" localSheetId="5">#REF!</definedName>
    <definedName name="_B19000">#REF!</definedName>
    <definedName name="_B19999" localSheetId="2">#REF!</definedName>
    <definedName name="_B19999" localSheetId="1">#REF!</definedName>
    <definedName name="_B19999" localSheetId="0">#REF!</definedName>
    <definedName name="_B19999" localSheetId="4">#REF!</definedName>
    <definedName name="_B19999" localSheetId="3">#REF!</definedName>
    <definedName name="_B19999" localSheetId="5">#REF!</definedName>
    <definedName name="_B19999">#REF!</definedName>
    <definedName name="_B20000" localSheetId="2">#REF!</definedName>
    <definedName name="_B20000" localSheetId="1">#REF!</definedName>
    <definedName name="_B20000" localSheetId="0">#REF!</definedName>
    <definedName name="_B20000" localSheetId="4">#REF!</definedName>
    <definedName name="_B20000" localSheetId="3">#REF!</definedName>
    <definedName name="_B20000" localSheetId="5">#REF!</definedName>
    <definedName name="_B20000">#REF!</definedName>
    <definedName name="_BDR1" localSheetId="2">#REF!</definedName>
    <definedName name="_BDR1" localSheetId="1">#REF!</definedName>
    <definedName name="_BDR1" localSheetId="0">#REF!</definedName>
    <definedName name="_BDR1" localSheetId="4">#REF!</definedName>
    <definedName name="_BDR1" localSheetId="3">#REF!</definedName>
    <definedName name="_BDR1" localSheetId="5">#REF!</definedName>
    <definedName name="_BDR1">#REF!</definedName>
    <definedName name="_BDR2" localSheetId="2">#REF!</definedName>
    <definedName name="_BDR2" localSheetId="1">#REF!</definedName>
    <definedName name="_BDR2" localSheetId="0">#REF!</definedName>
    <definedName name="_BDR2" localSheetId="4">#REF!</definedName>
    <definedName name="_BDR2" localSheetId="3">#REF!</definedName>
    <definedName name="_BDR2" localSheetId="5">#REF!</definedName>
    <definedName name="_BDR2">#REF!</definedName>
    <definedName name="_bil3" localSheetId="2">#REF!</definedName>
    <definedName name="_bil3" localSheetId="1">#REF!</definedName>
    <definedName name="_bil3" localSheetId="0">#REF!</definedName>
    <definedName name="_bil3" localSheetId="4">#REF!</definedName>
    <definedName name="_bil3" localSheetId="3">#REF!</definedName>
    <definedName name="_bil3" localSheetId="5">#REF!</definedName>
    <definedName name="_bil3">#REF!</definedName>
    <definedName name="_blk4" localSheetId="2">#REF!</definedName>
    <definedName name="_blk4" localSheetId="1">#REF!</definedName>
    <definedName name="_blk4" localSheetId="0">#REF!</definedName>
    <definedName name="_blk4" localSheetId="4">#REF!</definedName>
    <definedName name="_blk4" localSheetId="3">#REF!</definedName>
    <definedName name="_blk4" localSheetId="5">#REF!</definedName>
    <definedName name="_blk4">#REF!</definedName>
    <definedName name="_boq1" localSheetId="0">#REF!</definedName>
    <definedName name="_boq1" localSheetId="4">#REF!</definedName>
    <definedName name="_boq1" localSheetId="3">#REF!</definedName>
    <definedName name="_boq1" localSheetId="5">#REF!</definedName>
    <definedName name="_boq1">#REF!</definedName>
    <definedName name="_ccr1" localSheetId="2" hidden="1">{#N/A,#N/A,TRUE,"Cover";#N/A,#N/A,TRUE,"Conts";#N/A,#N/A,TRUE,"VOS";#N/A,#N/A,TRUE,"Warrington";#N/A,#N/A,TRUE,"Widnes"}</definedName>
    <definedName name="_ccr1" localSheetId="1" hidden="1">{#N/A,#N/A,TRUE,"Cover";#N/A,#N/A,TRUE,"Conts";#N/A,#N/A,TRUE,"VOS";#N/A,#N/A,TRUE,"Warrington";#N/A,#N/A,TRUE,"Widnes"}</definedName>
    <definedName name="_ccr1" localSheetId="0" hidden="1">{#N/A,#N/A,TRUE,"Cover";#N/A,#N/A,TRUE,"Conts";#N/A,#N/A,TRUE,"VOS";#N/A,#N/A,TRUE,"Warrington";#N/A,#N/A,TRUE,"Widnes"}</definedName>
    <definedName name="_ccr1" localSheetId="4" hidden="1">{#N/A,#N/A,TRUE,"Cover";#N/A,#N/A,TRUE,"Conts";#N/A,#N/A,TRUE,"VOS";#N/A,#N/A,TRUE,"Warrington";#N/A,#N/A,TRUE,"Widnes"}</definedName>
    <definedName name="_ccr1" localSheetId="3" hidden="1">{#N/A,#N/A,TRUE,"Cover";#N/A,#N/A,TRUE,"Conts";#N/A,#N/A,TRUE,"VOS";#N/A,#N/A,TRUE,"Warrington";#N/A,#N/A,TRUE,"Widnes"}</definedName>
    <definedName name="_ccr1" localSheetId="5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dbs1" localSheetId="5">#REF!</definedName>
    <definedName name="_dbs1">#REF!</definedName>
    <definedName name="_dbs11" localSheetId="4">#REF!</definedName>
    <definedName name="_dbs11" localSheetId="3">#REF!</definedName>
    <definedName name="_dbs11" localSheetId="5">#REF!</definedName>
    <definedName name="_dbs11">#REF!</definedName>
    <definedName name="_dbs76" localSheetId="4">#REF!</definedName>
    <definedName name="_dbs76" localSheetId="3">#REF!</definedName>
    <definedName name="_dbs76" localSheetId="5">#REF!</definedName>
    <definedName name="_dbs76">#REF!</definedName>
    <definedName name="_DIR97" localSheetId="2">#REF!</definedName>
    <definedName name="_DIR97" localSheetId="1">#REF!</definedName>
    <definedName name="_DIR97" localSheetId="0">#REF!</definedName>
    <definedName name="_DIR97" localSheetId="4">#REF!</definedName>
    <definedName name="_DIR97" localSheetId="3">#REF!</definedName>
    <definedName name="_DIR97" localSheetId="5">#REF!</definedName>
    <definedName name="_DIR97">#REF!</definedName>
    <definedName name="_DWR001" localSheetId="4">#REF!</definedName>
    <definedName name="_DWR001" localSheetId="3">#REF!</definedName>
    <definedName name="_DWR001" localSheetId="5">#REF!</definedName>
    <definedName name="_DWR001">#REF!</definedName>
    <definedName name="_DWR002" localSheetId="4">#REF!</definedName>
    <definedName name="_DWR002" localSheetId="3">#REF!</definedName>
    <definedName name="_DWR002" localSheetId="5">#REF!</definedName>
    <definedName name="_DWR002">#REF!</definedName>
    <definedName name="_DWR003" localSheetId="4">#REF!</definedName>
    <definedName name="_DWR003" localSheetId="3">#REF!</definedName>
    <definedName name="_DWR003" localSheetId="5">#REF!</definedName>
    <definedName name="_DWR003">#REF!</definedName>
    <definedName name="_DWR004" localSheetId="4">#REF!</definedName>
    <definedName name="_DWR004" localSheetId="3">#REF!</definedName>
    <definedName name="_DWR004" localSheetId="5">#REF!</definedName>
    <definedName name="_DWR004">#REF!</definedName>
    <definedName name="_DWR005" localSheetId="4">#REF!</definedName>
    <definedName name="_DWR005" localSheetId="3">#REF!</definedName>
    <definedName name="_DWR005" localSheetId="5">#REF!</definedName>
    <definedName name="_DWR005">#REF!</definedName>
    <definedName name="_DWR0053" localSheetId="4">#REF!</definedName>
    <definedName name="_DWR0053" localSheetId="3">#REF!</definedName>
    <definedName name="_DWR0053" localSheetId="5">#REF!</definedName>
    <definedName name="_DWR0053">#REF!</definedName>
    <definedName name="_e20000" localSheetId="2">#REF!</definedName>
    <definedName name="_e20000" localSheetId="1">#REF!</definedName>
    <definedName name="_e20000" localSheetId="0">#REF!</definedName>
    <definedName name="_e20000" localSheetId="4">#REF!</definedName>
    <definedName name="_e20000" localSheetId="3">#REF!</definedName>
    <definedName name="_e20000" localSheetId="5">#REF!</definedName>
    <definedName name="_e20000">#REF!</definedName>
    <definedName name="_e99991" localSheetId="2">#REF!</definedName>
    <definedName name="_e99991" localSheetId="1">#REF!</definedName>
    <definedName name="_e99991" localSheetId="0">#REF!</definedName>
    <definedName name="_e99991" localSheetId="4">#REF!</definedName>
    <definedName name="_e99991" localSheetId="3">#REF!</definedName>
    <definedName name="_e99991" localSheetId="5">#REF!</definedName>
    <definedName name="_e99991">#REF!</definedName>
    <definedName name="_ELL45" localSheetId="2">#REF!</definedName>
    <definedName name="_ELL45" localSheetId="1">#REF!</definedName>
    <definedName name="_ELL45" localSheetId="0">#REF!</definedName>
    <definedName name="_ELL45" localSheetId="4">#REF!</definedName>
    <definedName name="_ELL45" localSheetId="3">#REF!</definedName>
    <definedName name="_ELL45" localSheetId="5">#REF!</definedName>
    <definedName name="_ELL45">#REF!</definedName>
    <definedName name="_ELL90" localSheetId="2">#REF!</definedName>
    <definedName name="_ELL90" localSheetId="1">#REF!</definedName>
    <definedName name="_ELL90" localSheetId="0">#REF!</definedName>
    <definedName name="_ELL90" localSheetId="4">#REF!</definedName>
    <definedName name="_ELL90" localSheetId="3">#REF!</definedName>
    <definedName name="_ELL90" localSheetId="5">#REF!</definedName>
    <definedName name="_ELL90">#REF!</definedName>
    <definedName name="_esc1" localSheetId="4">#REF!</definedName>
    <definedName name="_esc1" localSheetId="3">#REF!</definedName>
    <definedName name="_esc1" localSheetId="5">#REF!</definedName>
    <definedName name="_esc1">#REF!</definedName>
    <definedName name="_ewk4" localSheetId="2">#REF!</definedName>
    <definedName name="_ewk4" localSheetId="1">#REF!</definedName>
    <definedName name="_ewk4" localSheetId="0">#REF!</definedName>
    <definedName name="_ewk4" localSheetId="4">#REF!</definedName>
    <definedName name="_ewk4" localSheetId="3">#REF!</definedName>
    <definedName name="_ewk4" localSheetId="5">#REF!</definedName>
    <definedName name="_ewk4">#REF!</definedName>
    <definedName name="_F1" localSheetId="2">#REF!</definedName>
    <definedName name="_F1" localSheetId="1">#REF!</definedName>
    <definedName name="_F1" localSheetId="0">#REF!</definedName>
    <definedName name="_F1" localSheetId="4">#REF!</definedName>
    <definedName name="_F1" localSheetId="3">#REF!</definedName>
    <definedName name="_F1" localSheetId="5">#REF!</definedName>
    <definedName name="_F1">#REF!</definedName>
    <definedName name="_F3" localSheetId="2">#REF!</definedName>
    <definedName name="_F3" localSheetId="1">#REF!</definedName>
    <definedName name="_F3" localSheetId="0">#REF!</definedName>
    <definedName name="_F3" localSheetId="4">#REF!</definedName>
    <definedName name="_F3" localSheetId="3">#REF!</definedName>
    <definedName name="_F3" localSheetId="5">#REF!</definedName>
    <definedName name="_F3">#REF!</definedName>
    <definedName name="_ff1" localSheetId="4">#REF!</definedName>
    <definedName name="_ff1" localSheetId="3">#REF!</definedName>
    <definedName name="_ff1" localSheetId="5">#REF!</definedName>
    <definedName name="_ff1">#REF!</definedName>
    <definedName name="_FF3" localSheetId="2">#REF!</definedName>
    <definedName name="_FF3" localSheetId="1">#REF!</definedName>
    <definedName name="_FF3" localSheetId="0">#REF!</definedName>
    <definedName name="_FF3" localSheetId="4">#REF!</definedName>
    <definedName name="_FF3" localSheetId="3">#REF!</definedName>
    <definedName name="_FF3" localSheetId="5">#REF!</definedName>
    <definedName name="_FF3">#REF!</definedName>
    <definedName name="_Fill" localSheetId="0" hidden="1">#REF!</definedName>
    <definedName name="_Fill" localSheetId="4" hidden="1">#REF!</definedName>
    <definedName name="_Fill" localSheetId="3" hidden="1">#REF!</definedName>
    <definedName name="_Fill" localSheetId="5" hidden="1">#REF!</definedName>
    <definedName name="_Fill" hidden="1">#REF!</definedName>
    <definedName name="_fos1" localSheetId="2">#REF!</definedName>
    <definedName name="_fos1" localSheetId="1">#REF!</definedName>
    <definedName name="_fos1" localSheetId="0">#REF!</definedName>
    <definedName name="_fos1" localSheetId="4">#REF!</definedName>
    <definedName name="_fos1" localSheetId="3">#REF!</definedName>
    <definedName name="_fos1" localSheetId="5">#REF!</definedName>
    <definedName name="_fos1">#REF!</definedName>
    <definedName name="_ice4" localSheetId="2">#REF!</definedName>
    <definedName name="_ice4" localSheetId="1">#REF!</definedName>
    <definedName name="_ice4" localSheetId="0">#REF!</definedName>
    <definedName name="_ice4" localSheetId="4">#REF!</definedName>
    <definedName name="_ice4" localSheetId="3">#REF!</definedName>
    <definedName name="_ice4" localSheetId="5">#REF!</definedName>
    <definedName name="_ice4">#REF!</definedName>
    <definedName name="_IND97" localSheetId="2">#REF!</definedName>
    <definedName name="_IND97" localSheetId="1">#REF!</definedName>
    <definedName name="_IND97" localSheetId="0">#REF!</definedName>
    <definedName name="_IND97" localSheetId="4">#REF!</definedName>
    <definedName name="_IND97" localSheetId="3">#REF!</definedName>
    <definedName name="_IND97" localSheetId="5">#REF!</definedName>
    <definedName name="_IND97">#REF!</definedName>
    <definedName name="_int12" localSheetId="4">#REF!</definedName>
    <definedName name="_int12" localSheetId="3">#REF!</definedName>
    <definedName name="_int12" localSheetId="5">#REF!</definedName>
    <definedName name="_int12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localSheetId="4" hidden="1">#REF!</definedName>
    <definedName name="_Key1" localSheetId="3" hidden="1">#REF!</definedName>
    <definedName name="_Key1" localSheetId="5" hidden="1">#REF!</definedName>
    <definedName name="_Key1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localSheetId="4" hidden="1">#REF!</definedName>
    <definedName name="_Key2" localSheetId="3" hidden="1">#REF!</definedName>
    <definedName name="_Key2" localSheetId="5" hidden="1">#REF!</definedName>
    <definedName name="_Key2" hidden="1">#REF!</definedName>
    <definedName name="_le3" localSheetId="2" hidden="1">{"'Break down'!$A$4"}</definedName>
    <definedName name="_le3" localSheetId="1" hidden="1">{"'Break down'!$A$4"}</definedName>
    <definedName name="_le3" localSheetId="0" hidden="1">{"'Break down'!$A$4"}</definedName>
    <definedName name="_le3" localSheetId="4" hidden="1">{"'Break down'!$A$4"}</definedName>
    <definedName name="_le3" localSheetId="3" hidden="1">{"'Break down'!$A$4"}</definedName>
    <definedName name="_le3" localSheetId="5" hidden="1">{"'Break down'!$A$4"}</definedName>
    <definedName name="_le3" hidden="1">{"'Break down'!$A$4"}</definedName>
    <definedName name="_le3_1" localSheetId="2" hidden="1">{"'Break down'!$A$4"}</definedName>
    <definedName name="_le3_1" localSheetId="1" hidden="1">{"'Break down'!$A$4"}</definedName>
    <definedName name="_le3_1" localSheetId="0" hidden="1">{"'Break down'!$A$4"}</definedName>
    <definedName name="_le3_1" localSheetId="4" hidden="1">{"'Break down'!$A$4"}</definedName>
    <definedName name="_le3_1" localSheetId="3" hidden="1">{"'Break down'!$A$4"}</definedName>
    <definedName name="_le3_1" localSheetId="5" hidden="1">{"'Break down'!$A$4"}</definedName>
    <definedName name="_le3_1" hidden="1">{"'Break down'!$A$4"}</definedName>
    <definedName name="_le3_2" localSheetId="2" hidden="1">{"'Break down'!$A$4"}</definedName>
    <definedName name="_le3_2" localSheetId="1" hidden="1">{"'Break down'!$A$4"}</definedName>
    <definedName name="_le3_2" localSheetId="0" hidden="1">{"'Break down'!$A$4"}</definedName>
    <definedName name="_le3_2" localSheetId="4" hidden="1">{"'Break down'!$A$4"}</definedName>
    <definedName name="_le3_2" localSheetId="3" hidden="1">{"'Break down'!$A$4"}</definedName>
    <definedName name="_le3_2" localSheetId="5" hidden="1">{"'Break down'!$A$4"}</definedName>
    <definedName name="_le3_2" hidden="1">{"'Break down'!$A$4"}</definedName>
    <definedName name="_LIG1" localSheetId="4">#REF!,#REF!,#REF!,#REF!,#REF!,#REF!,#REF!,#REF!,#REF!,#REF!,#REF!,#REF!,#REF!,#REF!,#REF!,#REF!,#REF!,#REF!,#REF!,#REF!,#REF!,#REF!,#REF!,#REF!,#REF!,#REF!,#REF!</definedName>
    <definedName name="_LIG1" localSheetId="3">#REF!,#REF!,#REF!,#REF!,#REF!,#REF!,#REF!,#REF!,#REF!,#REF!,#REF!,#REF!,#REF!,#REF!,#REF!,#REF!,#REF!,#REF!,#REF!,#REF!,#REF!,#REF!,#REF!,#REF!,#REF!,#REF!,#REF!</definedName>
    <definedName name="_LIG1" localSheetId="5">#REF!,#REF!,#REF!,#REF!,#REF!,#REF!,#REF!,#REF!,#REF!,#REF!,#REF!,#REF!,#REF!,#REF!,#REF!,#REF!,#REF!,#REF!,#REF!,#REF!,#REF!,#REF!,#REF!,#REF!,#REF!,#REF!,#REF!</definedName>
    <definedName name="_LIG1">#REF!,#REF!,#REF!,#REF!,#REF!,#REF!,#REF!,#REF!,#REF!,#REF!,#REF!,#REF!,#REF!,#REF!,#REF!,#REF!,#REF!,#REF!,#REF!,#REF!,#REF!,#REF!,#REF!,#REF!,#REF!,#REF!,#REF!</definedName>
    <definedName name="_LIG2" localSheetId="4">#REF!,#REF!,#REF!,#REF!,#REF!,#REF!,#REF!,#REF!,#REF!,#REF!,#REF!,#REF!,#REF!</definedName>
    <definedName name="_LIG2" localSheetId="3">#REF!,#REF!,#REF!,#REF!,#REF!,#REF!,#REF!,#REF!,#REF!,#REF!,#REF!,#REF!,#REF!</definedName>
    <definedName name="_LIG2" localSheetId="5">#REF!,#REF!,#REF!,#REF!,#REF!,#REF!,#REF!,#REF!,#REF!,#REF!,#REF!,#REF!,#REF!</definedName>
    <definedName name="_LIG2">#REF!,#REF!,#REF!,#REF!,#REF!,#REF!,#REF!,#REF!,#REF!,#REF!,#REF!,#REF!,#REF!</definedName>
    <definedName name="_LIG3" localSheetId="4">#REF!,#REF!,#REF!,#REF!,#REF!,#REF!,#REF!,#REF!,#REF!,#REF!,#REF!,#REF!,#REF!,#REF!,#REF!</definedName>
    <definedName name="_LIG3" localSheetId="3">#REF!,#REF!,#REF!,#REF!,#REF!,#REF!,#REF!,#REF!,#REF!,#REF!,#REF!,#REF!,#REF!,#REF!,#REF!</definedName>
    <definedName name="_LIG3" localSheetId="5">#REF!,#REF!,#REF!,#REF!,#REF!,#REF!,#REF!,#REF!,#REF!,#REF!,#REF!,#REF!,#REF!,#REF!,#REF!</definedName>
    <definedName name="_LIG3">#REF!,#REF!,#REF!,#REF!,#REF!,#REF!,#REF!,#REF!,#REF!,#REF!,#REF!,#REF!,#REF!,#REF!,#REF!</definedName>
    <definedName name="_MKA18" localSheetId="4">#REF!</definedName>
    <definedName name="_MKA18" localSheetId="3">#REF!</definedName>
    <definedName name="_MKA18" localSheetId="5">#REF!</definedName>
    <definedName name="_MKA18">#REF!</definedName>
    <definedName name="_MUP3" localSheetId="4">#REF!</definedName>
    <definedName name="_MUP3" localSheetId="3">#REF!</definedName>
    <definedName name="_MUP3" localSheetId="5">#REF!</definedName>
    <definedName name="_MUP3">#REF!</definedName>
    <definedName name="_ngk1109" localSheetId="2" hidden="1">{#N/A,#N/A,FALSE,"估價單  (3)"}</definedName>
    <definedName name="_ngk1109" localSheetId="1" hidden="1">{#N/A,#N/A,FALSE,"估價單  (3)"}</definedName>
    <definedName name="_ngk1109" localSheetId="0" hidden="1">{#N/A,#N/A,FALSE,"估價單  (3)"}</definedName>
    <definedName name="_ngk1109" localSheetId="4" hidden="1">{#N/A,#N/A,FALSE,"估價單  (3)"}</definedName>
    <definedName name="_ngk1109" localSheetId="3" hidden="1">{#N/A,#N/A,FALSE,"估價單  (3)"}</definedName>
    <definedName name="_ngk1109" localSheetId="5" hidden="1">{#N/A,#N/A,FALSE,"估價單  (3)"}</definedName>
    <definedName name="_ngk1109" hidden="1">{#N/A,#N/A,FALSE,"估價單  (3)"}</definedName>
    <definedName name="_old2" localSheetId="5">#REF!</definedName>
    <definedName name="_old2">#REF!</definedName>
    <definedName name="_old3" localSheetId="2" hidden="1">{#N/A,#N/A,FALSE,"Summary";#N/A,#N/A,FALSE,"3TJ";#N/A,#N/A,FALSE,"3TN";#N/A,#N/A,FALSE,"3TP";#N/A,#N/A,FALSE,"3SJ";#N/A,#N/A,FALSE,"3CJ";#N/A,#N/A,FALSE,"3CN";#N/A,#N/A,FALSE,"3CP";#N/A,#N/A,FALSE,"3A"}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localSheetId="4" hidden="1">{#N/A,#N/A,FALSE,"Summary";#N/A,#N/A,FALSE,"3TJ";#N/A,#N/A,FALSE,"3TN";#N/A,#N/A,FALSE,"3TP";#N/A,#N/A,FALSE,"3SJ";#N/A,#N/A,FALSE,"3CJ";#N/A,#N/A,FALSE,"3CN";#N/A,#N/A,FALSE,"3CP";#N/A,#N/A,FALSE,"3A"}</definedName>
    <definedName name="_old3" localSheetId="3" hidden="1">{#N/A,#N/A,FALSE,"Summary";#N/A,#N/A,FALSE,"3TJ";#N/A,#N/A,FALSE,"3TN";#N/A,#N/A,FALSE,"3TP";#N/A,#N/A,FALSE,"3SJ";#N/A,#N/A,FALSE,"3CJ";#N/A,#N/A,FALSE,"3CN";#N/A,#N/A,FALSE,"3CP";#N/A,#N/A,FALSE,"3A"}</definedName>
    <definedName name="_old3" localSheetId="5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4" localSheetId="5">#REF!</definedName>
    <definedName name="_old4">#REF!</definedName>
    <definedName name="_old5" localSheetId="2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localSheetId="4" hidden="1">{#N/A,#N/A,FALSE,"Summary";#N/A,#N/A,FALSE,"3TJ";#N/A,#N/A,FALSE,"3TN";#N/A,#N/A,FALSE,"3TP";#N/A,#N/A,FALSE,"3SJ";#N/A,#N/A,FALSE,"3CJ";#N/A,#N/A,FALSE,"3CN";#N/A,#N/A,FALSE,"3CP";#N/A,#N/A,FALSE,"3A"}</definedName>
    <definedName name="_old5" localSheetId="3" hidden="1">{#N/A,#N/A,FALSE,"Summary";#N/A,#N/A,FALSE,"3TJ";#N/A,#N/A,FALSE,"3TN";#N/A,#N/A,FALSE,"3TP";#N/A,#N/A,FALSE,"3SJ";#N/A,#N/A,FALSE,"3CJ";#N/A,#N/A,FALSE,"3CN";#N/A,#N/A,FALSE,"3CP";#N/A,#N/A,FALSE,"3A"}</definedName>
    <definedName name="_old5" localSheetId="5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6" localSheetId="5">#REF!</definedName>
    <definedName name="_old6">#REF!</definedName>
    <definedName name="_old7" localSheetId="2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localSheetId="4" hidden="1">{#N/A,#N/A,FALSE,"Summary";#N/A,#N/A,FALSE,"3TJ";#N/A,#N/A,FALSE,"3TN";#N/A,#N/A,FALSE,"3TP";#N/A,#N/A,FALSE,"3SJ";#N/A,#N/A,FALSE,"3CJ";#N/A,#N/A,FALSE,"3CN";#N/A,#N/A,FALSE,"3CP";#N/A,#N/A,FALSE,"3A"}</definedName>
    <definedName name="_old7" localSheetId="3" hidden="1">{#N/A,#N/A,FALSE,"Summary";#N/A,#N/A,FALSE,"3TJ";#N/A,#N/A,FALSE,"3TN";#N/A,#N/A,FALSE,"3TP";#N/A,#N/A,FALSE,"3SJ";#N/A,#N/A,FALSE,"3CJ";#N/A,#N/A,FALSE,"3CN";#N/A,#N/A,FALSE,"3CP";#N/A,#N/A,FALSE,"3A"}</definedName>
    <definedName name="_old7" localSheetId="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200205" localSheetId="5">#REF!</definedName>
    <definedName name="_P200205">#REF!</definedName>
    <definedName name="_Parse_In" localSheetId="2" hidden="1">#REF!</definedName>
    <definedName name="_Parse_In" localSheetId="1" hidden="1">#REF!</definedName>
    <definedName name="_Parse_In" localSheetId="0" hidden="1">#REF!</definedName>
    <definedName name="_Parse_In" localSheetId="4" hidden="1">#REF!</definedName>
    <definedName name="_Parse_In" localSheetId="3" hidden="1">#REF!</definedName>
    <definedName name="_Parse_In" localSheetId="5" hidden="1">#REF!</definedName>
    <definedName name="_Parse_In" hidden="1">#REF!</definedName>
    <definedName name="_Parse_Out" localSheetId="2" hidden="1">#REF!</definedName>
    <definedName name="_Parse_Out" localSheetId="1" hidden="1">#REF!</definedName>
    <definedName name="_Parse_Out" localSheetId="0" hidden="1">#REF!</definedName>
    <definedName name="_Parse_Out" localSheetId="4" hidden="1">#REF!</definedName>
    <definedName name="_Parse_Out" localSheetId="3" hidden="1">#REF!</definedName>
    <definedName name="_Parse_Out" localSheetId="5" hidden="1">#REF!</definedName>
    <definedName name="_Parse_Out" hidden="1">#REF!</definedName>
    <definedName name="_pl4" localSheetId="2">#REF!</definedName>
    <definedName name="_pl4" localSheetId="1">#REF!</definedName>
    <definedName name="_pl4" localSheetId="0">#REF!</definedName>
    <definedName name="_pl4" localSheetId="4">#REF!</definedName>
    <definedName name="_pl4" localSheetId="3">#REF!</definedName>
    <definedName name="_pl4" localSheetId="5">#REF!</definedName>
    <definedName name="_pl4">#REF!</definedName>
    <definedName name="_pls4" localSheetId="2">#REF!</definedName>
    <definedName name="_pls4" localSheetId="1">#REF!</definedName>
    <definedName name="_pls4" localSheetId="0">#REF!</definedName>
    <definedName name="_pls4" localSheetId="4">#REF!</definedName>
    <definedName name="_pls4" localSheetId="3">#REF!</definedName>
    <definedName name="_pls4" localSheetId="5">#REF!</definedName>
    <definedName name="_pls4">#REF!</definedName>
    <definedName name="_ps4" localSheetId="2">#REF!</definedName>
    <definedName name="_ps4" localSheetId="1">#REF!</definedName>
    <definedName name="_ps4" localSheetId="0">#REF!</definedName>
    <definedName name="_ps4" localSheetId="4">#REF!</definedName>
    <definedName name="_ps4" localSheetId="3">#REF!</definedName>
    <definedName name="_ps4" localSheetId="5">#REF!</definedName>
    <definedName name="_ps4">#REF!</definedName>
    <definedName name="_PVC1" localSheetId="2">#REF!</definedName>
    <definedName name="_PVC1" localSheetId="1">#REF!</definedName>
    <definedName name="_PVC1" localSheetId="0">#REF!</definedName>
    <definedName name="_PVC1" localSheetId="4">#REF!</definedName>
    <definedName name="_PVC1" localSheetId="3">#REF!</definedName>
    <definedName name="_PVC1" localSheetId="5">#REF!</definedName>
    <definedName name="_PVC1">#REF!</definedName>
    <definedName name="_PVC2" localSheetId="2">#REF!</definedName>
    <definedName name="_PVC2" localSheetId="1">#REF!</definedName>
    <definedName name="_PVC2" localSheetId="0">#REF!</definedName>
    <definedName name="_PVC2" localSheetId="4">#REF!</definedName>
    <definedName name="_PVC2" localSheetId="3">#REF!</definedName>
    <definedName name="_PVC2" localSheetId="5">#REF!</definedName>
    <definedName name="_PVC2">#REF!</definedName>
    <definedName name="_QTY1">#N/A</definedName>
    <definedName name="_RBS1" localSheetId="2">#REF!</definedName>
    <definedName name="_RBS1" localSheetId="1">#REF!</definedName>
    <definedName name="_RBS1" localSheetId="0">#REF!</definedName>
    <definedName name="_RBS1" localSheetId="4">#REF!</definedName>
    <definedName name="_RBS1" localSheetId="3">#REF!</definedName>
    <definedName name="_RBS1" localSheetId="5">#REF!</definedName>
    <definedName name="_RBS1">#REF!</definedName>
    <definedName name="_RE100" localSheetId="2">#REF!</definedName>
    <definedName name="_RE100" localSheetId="1">#REF!</definedName>
    <definedName name="_RE100" localSheetId="0">#REF!</definedName>
    <definedName name="_RE100" localSheetId="4">#REF!</definedName>
    <definedName name="_RE100" localSheetId="3">#REF!</definedName>
    <definedName name="_RE100" localSheetId="5">#REF!</definedName>
    <definedName name="_RE100">#REF!</definedName>
    <definedName name="_RE104" localSheetId="2">#REF!</definedName>
    <definedName name="_RE104" localSheetId="1">#REF!</definedName>
    <definedName name="_RE104" localSheetId="0">#REF!</definedName>
    <definedName name="_RE104" localSheetId="4">#REF!</definedName>
    <definedName name="_RE104" localSheetId="3">#REF!</definedName>
    <definedName name="_RE104" localSheetId="5">#REF!</definedName>
    <definedName name="_RE104">#REF!</definedName>
    <definedName name="_RE112" localSheetId="2">#REF!</definedName>
    <definedName name="_RE112" localSheetId="1">#REF!</definedName>
    <definedName name="_RE112" localSheetId="0">#REF!</definedName>
    <definedName name="_RE112" localSheetId="4">#REF!</definedName>
    <definedName name="_RE112" localSheetId="3">#REF!</definedName>
    <definedName name="_RE112" localSheetId="5">#REF!</definedName>
    <definedName name="_RE112">#REF!</definedName>
    <definedName name="_RE26" localSheetId="2">#REF!</definedName>
    <definedName name="_RE26" localSheetId="1">#REF!</definedName>
    <definedName name="_RE26" localSheetId="0">#REF!</definedName>
    <definedName name="_RE26" localSheetId="4">#REF!</definedName>
    <definedName name="_RE26" localSheetId="3">#REF!</definedName>
    <definedName name="_RE26" localSheetId="5">#REF!</definedName>
    <definedName name="_RE26">#REF!</definedName>
    <definedName name="_RE28" localSheetId="2">#REF!</definedName>
    <definedName name="_RE28" localSheetId="1">#REF!</definedName>
    <definedName name="_RE28" localSheetId="0">#REF!</definedName>
    <definedName name="_RE28" localSheetId="4">#REF!</definedName>
    <definedName name="_RE28" localSheetId="3">#REF!</definedName>
    <definedName name="_RE28" localSheetId="5">#REF!</definedName>
    <definedName name="_RE28">#REF!</definedName>
    <definedName name="_RE30" localSheetId="2">#REF!</definedName>
    <definedName name="_RE30" localSheetId="1">#REF!</definedName>
    <definedName name="_RE30" localSheetId="0">#REF!</definedName>
    <definedName name="_RE30" localSheetId="4">#REF!</definedName>
    <definedName name="_RE30" localSheetId="3">#REF!</definedName>
    <definedName name="_RE30" localSheetId="5">#REF!</definedName>
    <definedName name="_RE30">#REF!</definedName>
    <definedName name="_RE32" localSheetId="2">#REF!</definedName>
    <definedName name="_RE32" localSheetId="1">#REF!</definedName>
    <definedName name="_RE32" localSheetId="0">#REF!</definedName>
    <definedName name="_RE32" localSheetId="4">#REF!</definedName>
    <definedName name="_RE32" localSheetId="3">#REF!</definedName>
    <definedName name="_RE32" localSheetId="5">#REF!</definedName>
    <definedName name="_RE32">#REF!</definedName>
    <definedName name="_RE34" localSheetId="2">#REF!</definedName>
    <definedName name="_RE34" localSheetId="1">#REF!</definedName>
    <definedName name="_RE34" localSheetId="0">#REF!</definedName>
    <definedName name="_RE34" localSheetId="4">#REF!</definedName>
    <definedName name="_RE34" localSheetId="3">#REF!</definedName>
    <definedName name="_RE34" localSheetId="5">#REF!</definedName>
    <definedName name="_RE34">#REF!</definedName>
    <definedName name="_RE36" localSheetId="2">#REF!</definedName>
    <definedName name="_RE36" localSheetId="1">#REF!</definedName>
    <definedName name="_RE36" localSheetId="0">#REF!</definedName>
    <definedName name="_RE36" localSheetId="4">#REF!</definedName>
    <definedName name="_RE36" localSheetId="3">#REF!</definedName>
    <definedName name="_RE36" localSheetId="5">#REF!</definedName>
    <definedName name="_RE36">#REF!</definedName>
    <definedName name="_RE38" localSheetId="2">#REF!</definedName>
    <definedName name="_RE38" localSheetId="1">#REF!</definedName>
    <definedName name="_RE38" localSheetId="0">#REF!</definedName>
    <definedName name="_RE38" localSheetId="4">#REF!</definedName>
    <definedName name="_RE38" localSheetId="3">#REF!</definedName>
    <definedName name="_RE38" localSheetId="5">#REF!</definedName>
    <definedName name="_RE38">#REF!</definedName>
    <definedName name="_RE40" localSheetId="2">#REF!</definedName>
    <definedName name="_RE40" localSheetId="1">#REF!</definedName>
    <definedName name="_RE40" localSheetId="0">#REF!</definedName>
    <definedName name="_RE40" localSheetId="4">#REF!</definedName>
    <definedName name="_RE40" localSheetId="3">#REF!</definedName>
    <definedName name="_RE40" localSheetId="5">#REF!</definedName>
    <definedName name="_RE40">#REF!</definedName>
    <definedName name="_RE42" localSheetId="2">#REF!</definedName>
    <definedName name="_RE42" localSheetId="1">#REF!</definedName>
    <definedName name="_RE42" localSheetId="0">#REF!</definedName>
    <definedName name="_RE42" localSheetId="4">#REF!</definedName>
    <definedName name="_RE42" localSheetId="3">#REF!</definedName>
    <definedName name="_RE42" localSheetId="5">#REF!</definedName>
    <definedName name="_RE42">#REF!</definedName>
    <definedName name="_RE44" localSheetId="2">#REF!</definedName>
    <definedName name="_RE44" localSheetId="1">#REF!</definedName>
    <definedName name="_RE44" localSheetId="0">#REF!</definedName>
    <definedName name="_RE44" localSheetId="4">#REF!</definedName>
    <definedName name="_RE44" localSheetId="3">#REF!</definedName>
    <definedName name="_RE44" localSheetId="5">#REF!</definedName>
    <definedName name="_RE44">#REF!</definedName>
    <definedName name="_RE48" localSheetId="2">#REF!</definedName>
    <definedName name="_RE48" localSheetId="1">#REF!</definedName>
    <definedName name="_RE48" localSheetId="0">#REF!</definedName>
    <definedName name="_RE48" localSheetId="4">#REF!</definedName>
    <definedName name="_RE48" localSheetId="3">#REF!</definedName>
    <definedName name="_RE48" localSheetId="5">#REF!</definedName>
    <definedName name="_RE48">#REF!</definedName>
    <definedName name="_RE52" localSheetId="2">#REF!</definedName>
    <definedName name="_RE52" localSheetId="1">#REF!</definedName>
    <definedName name="_RE52" localSheetId="0">#REF!</definedName>
    <definedName name="_RE52" localSheetId="4">#REF!</definedName>
    <definedName name="_RE52" localSheetId="3">#REF!</definedName>
    <definedName name="_RE52" localSheetId="5">#REF!</definedName>
    <definedName name="_RE52">#REF!</definedName>
    <definedName name="_RE56" localSheetId="2">#REF!</definedName>
    <definedName name="_RE56" localSheetId="1">#REF!</definedName>
    <definedName name="_RE56" localSheetId="0">#REF!</definedName>
    <definedName name="_RE56" localSheetId="4">#REF!</definedName>
    <definedName name="_RE56" localSheetId="3">#REF!</definedName>
    <definedName name="_RE56" localSheetId="5">#REF!</definedName>
    <definedName name="_RE56">#REF!</definedName>
    <definedName name="_RE60" localSheetId="2">#REF!</definedName>
    <definedName name="_RE60" localSheetId="1">#REF!</definedName>
    <definedName name="_RE60" localSheetId="0">#REF!</definedName>
    <definedName name="_RE60" localSheetId="4">#REF!</definedName>
    <definedName name="_RE60" localSheetId="3">#REF!</definedName>
    <definedName name="_RE60" localSheetId="5">#REF!</definedName>
    <definedName name="_RE60">#REF!</definedName>
    <definedName name="_RE64" localSheetId="2">#REF!</definedName>
    <definedName name="_RE64" localSheetId="1">#REF!</definedName>
    <definedName name="_RE64" localSheetId="0">#REF!</definedName>
    <definedName name="_RE64" localSheetId="4">#REF!</definedName>
    <definedName name="_RE64" localSheetId="3">#REF!</definedName>
    <definedName name="_RE64" localSheetId="5">#REF!</definedName>
    <definedName name="_RE64">#REF!</definedName>
    <definedName name="_RE68" localSheetId="2">#REF!</definedName>
    <definedName name="_RE68" localSheetId="1">#REF!</definedName>
    <definedName name="_RE68" localSheetId="0">#REF!</definedName>
    <definedName name="_RE68" localSheetId="4">#REF!</definedName>
    <definedName name="_RE68" localSheetId="3">#REF!</definedName>
    <definedName name="_RE68" localSheetId="5">#REF!</definedName>
    <definedName name="_RE68">#REF!</definedName>
    <definedName name="_RE72" localSheetId="2">#REF!</definedName>
    <definedName name="_RE72" localSheetId="1">#REF!</definedName>
    <definedName name="_RE72" localSheetId="0">#REF!</definedName>
    <definedName name="_RE72" localSheetId="4">#REF!</definedName>
    <definedName name="_RE72" localSheetId="3">#REF!</definedName>
    <definedName name="_RE72" localSheetId="5">#REF!</definedName>
    <definedName name="_RE72">#REF!</definedName>
    <definedName name="_RE76" localSheetId="2">#REF!</definedName>
    <definedName name="_RE76" localSheetId="1">#REF!</definedName>
    <definedName name="_RE76" localSheetId="0">#REF!</definedName>
    <definedName name="_RE76" localSheetId="4">#REF!</definedName>
    <definedName name="_RE76" localSheetId="3">#REF!</definedName>
    <definedName name="_RE76" localSheetId="5">#REF!</definedName>
    <definedName name="_RE76">#REF!</definedName>
    <definedName name="_RE80" localSheetId="2">#REF!</definedName>
    <definedName name="_RE80" localSheetId="1">#REF!</definedName>
    <definedName name="_RE80" localSheetId="0">#REF!</definedName>
    <definedName name="_RE80" localSheetId="4">#REF!</definedName>
    <definedName name="_RE80" localSheetId="3">#REF!</definedName>
    <definedName name="_RE80" localSheetId="5">#REF!</definedName>
    <definedName name="_RE80">#REF!</definedName>
    <definedName name="_RE88" localSheetId="2">#REF!</definedName>
    <definedName name="_RE88" localSheetId="1">#REF!</definedName>
    <definedName name="_RE88" localSheetId="0">#REF!</definedName>
    <definedName name="_RE88" localSheetId="4">#REF!</definedName>
    <definedName name="_RE88" localSheetId="3">#REF!</definedName>
    <definedName name="_RE88" localSheetId="5">#REF!</definedName>
    <definedName name="_RE88">#REF!</definedName>
    <definedName name="_RE92" localSheetId="2">#REF!</definedName>
    <definedName name="_RE92" localSheetId="1">#REF!</definedName>
    <definedName name="_RE92" localSheetId="0">#REF!</definedName>
    <definedName name="_RE92" localSheetId="4">#REF!</definedName>
    <definedName name="_RE92" localSheetId="3">#REF!</definedName>
    <definedName name="_RE92" localSheetId="5">#REF!</definedName>
    <definedName name="_RE92">#REF!</definedName>
    <definedName name="_RE96" localSheetId="2">#REF!</definedName>
    <definedName name="_RE96" localSheetId="1">#REF!</definedName>
    <definedName name="_RE96" localSheetId="0">#REF!</definedName>
    <definedName name="_RE96" localSheetId="4">#REF!</definedName>
    <definedName name="_RE96" localSheetId="3">#REF!</definedName>
    <definedName name="_RE96" localSheetId="5">#REF!</definedName>
    <definedName name="_RE96">#REF!</definedName>
    <definedName name="_Regression_Int" hidden="1">1</definedName>
    <definedName name="_SC1" localSheetId="2">IF(VLOOKUP(#REF!,'A10 Design + Subs fee'!TABLE,5)*VLOOKUP(#REF!,'A10 Design + Subs fee'!TABLE,9)*#REF!*#REF!=0,0,VLOOKUP(#REF!,'A10 Design + Subs fee'!TABLE,5)*VLOOKUP(#REF!,'A10 Design + Subs fee'!TABLE,9)*#REF!*#REF!)</definedName>
    <definedName name="_SC1" localSheetId="1">IF(VLOOKUP(#REF!,'A9 Design + Subs fee '!TABLE,5)*VLOOKUP(#REF!,'A9 Design + Subs fee '!TABLE,9)*#REF!*#REF!=0,0,VLOOKUP(#REF!,'A9 Design + Subs fee '!TABLE,5)*VLOOKUP(#REF!,'A9 Design + Subs fee '!TABLE,9)*#REF!*#REF!)</definedName>
    <definedName name="_SC1" localSheetId="0">IF(VLOOKUP(#REF!,'FEE RECON RAIHAN'!TABLE,5)*VLOOKUP(#REF!,'FEE RECON RAIHAN'!TABLE,9)*#REF!*#REF!=0,0,VLOOKUP(#REF!,'FEE RECON RAIHAN'!TABLE,5)*VLOOKUP(#REF!,'FEE RECON RAIHAN'!TABLE,9)*#REF!*#REF!)</definedName>
    <definedName name="_SC1" localSheetId="4">IF(VLOOKUP(#REF!,'Mastersheet-Projects'!TABLE,5)*VLOOKUP(#REF!,'Mastersheet-Projects'!TABLE,9)*#REF!*#REF!=0,0,VLOOKUP(#REF!,'Mastersheet-Projects'!TABLE,5)*VLOOKUP(#REF!,'Mastersheet-Projects'!TABLE,9)*#REF!*#REF!)</definedName>
    <definedName name="_SC1" localSheetId="3">IF(VLOOKUP(#REF!,'Mastersheet-Resources'!TABLE,5)*VLOOKUP(#REF!,'Mastersheet-Resources'!TABLE,9)*#REF!*#REF!=0,0,VLOOKUP(#REF!,'Mastersheet-Resources'!TABLE,5)*VLOOKUP(#REF!,'Mastersheet-Resources'!TABLE,9)*#REF!*#REF!)</definedName>
    <definedName name="_SC1" localSheetId="5">IF(VLOOKUP(#REF!,'Tender List'!TABLE,5)*VLOOKUP(#REF!,'Tender List'!TABLE,9)*#REF!*#REF!=0,0,VLOOKUP(#REF!,'Tender List'!TABLE,5)*VLOOKUP(#REF!,'Tender List'!TABLE,9)*#REF!*#REF!)</definedName>
    <definedName name="_SC1">IF(VLOOKUP(#REF!,#REF!,5)*VLOOKUP(#REF!,#REF!,9)*#REF!*#REF!=0,0,VLOOKUP(#REF!,#REF!,5)*VLOOKUP(#REF!,#REF!,9)*#REF!*#REF!)</definedName>
    <definedName name="_SCH10" localSheetId="2">#REF!</definedName>
    <definedName name="_SCH10" localSheetId="1">#REF!</definedName>
    <definedName name="_SCH10" localSheetId="0">#REF!</definedName>
    <definedName name="_SCH10" localSheetId="4">#REF!</definedName>
    <definedName name="_SCH10" localSheetId="3">#REF!</definedName>
    <definedName name="_SCH10" localSheetId="5">#REF!</definedName>
    <definedName name="_SCH10">#REF!</definedName>
    <definedName name="_SCH40" localSheetId="2">#REF!</definedName>
    <definedName name="_SCH40" localSheetId="1">#REF!</definedName>
    <definedName name="_SCH40" localSheetId="0">#REF!</definedName>
    <definedName name="_SCH40" localSheetId="4">#REF!</definedName>
    <definedName name="_SCH40" localSheetId="3">#REF!</definedName>
    <definedName name="_SCH40" localSheetId="5">#REF!</definedName>
    <definedName name="_SCH40">#REF!</definedName>
    <definedName name="_SEC15030" localSheetId="4">#REF!</definedName>
    <definedName name="_SEC15030" localSheetId="3">#REF!</definedName>
    <definedName name="_SEC15030" localSheetId="5">#REF!</definedName>
    <definedName name="_SEC15030">#REF!</definedName>
    <definedName name="_SEC15060" localSheetId="4">#REF!</definedName>
    <definedName name="_SEC15060" localSheetId="3">#REF!</definedName>
    <definedName name="_SEC15060" localSheetId="5">#REF!</definedName>
    <definedName name="_SEC15060">#REF!</definedName>
    <definedName name="_SEC15100" localSheetId="4">#REF!</definedName>
    <definedName name="_SEC15100" localSheetId="3">#REF!</definedName>
    <definedName name="_SEC15100" localSheetId="5">#REF!</definedName>
    <definedName name="_SEC15100">#REF!</definedName>
    <definedName name="_SEC15110" localSheetId="4">#REF!</definedName>
    <definedName name="_SEC15110" localSheetId="3">#REF!</definedName>
    <definedName name="_SEC15110" localSheetId="5">#REF!</definedName>
    <definedName name="_SEC15110">#REF!</definedName>
    <definedName name="_SEC15125" localSheetId="4">#REF!</definedName>
    <definedName name="_SEC15125" localSheetId="3">#REF!</definedName>
    <definedName name="_SEC15125" localSheetId="5">#REF!</definedName>
    <definedName name="_SEC15125">#REF!</definedName>
    <definedName name="_SEC15160" localSheetId="4">#REF!</definedName>
    <definedName name="_SEC15160" localSheetId="3">#REF!</definedName>
    <definedName name="_SEC15160" localSheetId="5">#REF!</definedName>
    <definedName name="_SEC15160">#REF!</definedName>
    <definedName name="_SEC15175" localSheetId="4">#REF!</definedName>
    <definedName name="_SEC15175" localSheetId="3">#REF!</definedName>
    <definedName name="_SEC15175" localSheetId="5">#REF!</definedName>
    <definedName name="_SEC15175">#REF!</definedName>
    <definedName name="_SEC1529" localSheetId="4">#REF!</definedName>
    <definedName name="_SEC1529" localSheetId="3">#REF!</definedName>
    <definedName name="_SEC1529" localSheetId="5">#REF!</definedName>
    <definedName name="_SEC1529">#REF!</definedName>
    <definedName name="_SEC15290" localSheetId="4">#REF!</definedName>
    <definedName name="_SEC15290" localSheetId="3">#REF!</definedName>
    <definedName name="_SEC15290" localSheetId="5">#REF!</definedName>
    <definedName name="_SEC15290">#REF!</definedName>
    <definedName name="_SEC1531" localSheetId="4">#REF!</definedName>
    <definedName name="_SEC1531" localSheetId="3">#REF!</definedName>
    <definedName name="_SEC1531" localSheetId="5">#REF!</definedName>
    <definedName name="_SEC1531">#REF!</definedName>
    <definedName name="_SEC15310" localSheetId="4">#REF!</definedName>
    <definedName name="_SEC15310" localSheetId="3">#REF!</definedName>
    <definedName name="_SEC15310" localSheetId="5">#REF!</definedName>
    <definedName name="_SEC15310">#REF!</definedName>
    <definedName name="_SEC15420" localSheetId="4">#REF!</definedName>
    <definedName name="_SEC15420" localSheetId="3">#REF!</definedName>
    <definedName name="_SEC15420" localSheetId="5">#REF!</definedName>
    <definedName name="_SEC15420">#REF!</definedName>
    <definedName name="_SEC15440" localSheetId="4">#REF!</definedName>
    <definedName name="_SEC15440" localSheetId="3">#REF!</definedName>
    <definedName name="_SEC15440" localSheetId="5">#REF!</definedName>
    <definedName name="_SEC15440">#REF!</definedName>
    <definedName name="_SEC15470" localSheetId="4">#REF!</definedName>
    <definedName name="_SEC15470" localSheetId="3">#REF!</definedName>
    <definedName name="_SEC15470" localSheetId="5">#REF!</definedName>
    <definedName name="_SEC15470">#REF!</definedName>
    <definedName name="_SEC15486" localSheetId="4">#REF!</definedName>
    <definedName name="_SEC15486" localSheetId="3">#REF!</definedName>
    <definedName name="_SEC15486" localSheetId="5">#REF!</definedName>
    <definedName name="_SEC15486">#REF!</definedName>
    <definedName name="_SEC15540" localSheetId="4">#REF!</definedName>
    <definedName name="_SEC15540" localSheetId="3">#REF!</definedName>
    <definedName name="_SEC15540" localSheetId="5">#REF!</definedName>
    <definedName name="_SEC15540">#REF!</definedName>
    <definedName name="_SEC15610" localSheetId="4">#REF!</definedName>
    <definedName name="_SEC15610" localSheetId="3">#REF!</definedName>
    <definedName name="_SEC15610" localSheetId="5">#REF!</definedName>
    <definedName name="_SEC15610">#REF!</definedName>
    <definedName name="_SEC15625" localSheetId="4">#REF!</definedName>
    <definedName name="_SEC15625" localSheetId="3">#REF!</definedName>
    <definedName name="_SEC15625" localSheetId="5">#REF!</definedName>
    <definedName name="_SEC15625">#REF!</definedName>
    <definedName name="_SEC15680" localSheetId="4">#REF!</definedName>
    <definedName name="_SEC15680" localSheetId="3">#REF!</definedName>
    <definedName name="_SEC15680" localSheetId="5">#REF!</definedName>
    <definedName name="_SEC15680">#REF!</definedName>
    <definedName name="_SEC15850" localSheetId="4">#REF!</definedName>
    <definedName name="_SEC15850" localSheetId="3">#REF!</definedName>
    <definedName name="_SEC15850" localSheetId="5">#REF!</definedName>
    <definedName name="_SEC15850">#REF!</definedName>
    <definedName name="_SEC15865" localSheetId="4">#REF!</definedName>
    <definedName name="_SEC15865" localSheetId="3">#REF!</definedName>
    <definedName name="_SEC15865" localSheetId="5">#REF!</definedName>
    <definedName name="_SEC15865">#REF!</definedName>
    <definedName name="_SEC15875" localSheetId="4">#REF!</definedName>
    <definedName name="_SEC15875" localSheetId="3">#REF!</definedName>
    <definedName name="_SEC15875" localSheetId="5">#REF!</definedName>
    <definedName name="_SEC15875">#REF!</definedName>
    <definedName name="_SEC15890" localSheetId="4">#REF!</definedName>
    <definedName name="_SEC15890" localSheetId="3">#REF!</definedName>
    <definedName name="_SEC15890" localSheetId="5">#REF!</definedName>
    <definedName name="_SEC15890">#REF!</definedName>
    <definedName name="_SEC15910" localSheetId="4">#REF!</definedName>
    <definedName name="_SEC15910" localSheetId="3">#REF!</definedName>
    <definedName name="_SEC15910" localSheetId="5">#REF!</definedName>
    <definedName name="_SEC15910">#REF!</definedName>
    <definedName name="_SEC15940" localSheetId="4">#REF!</definedName>
    <definedName name="_SEC15940" localSheetId="3">#REF!</definedName>
    <definedName name="_SEC15940" localSheetId="5">#REF!</definedName>
    <definedName name="_SEC15940">#REF!</definedName>
    <definedName name="_SEC15975" localSheetId="4">#REF!</definedName>
    <definedName name="_SEC15975" localSheetId="3">#REF!</definedName>
    <definedName name="_SEC15975" localSheetId="5">#REF!</definedName>
    <definedName name="_SEC15975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localSheetId="4" hidden="1">#REF!</definedName>
    <definedName name="_Sort" localSheetId="3" hidden="1">#REF!</definedName>
    <definedName name="_Sort" localSheetId="5" hidden="1">#REF!</definedName>
    <definedName name="_Sort" hidden="1">#REF!</definedName>
    <definedName name="_sw1" localSheetId="2">#REF!</definedName>
    <definedName name="_sw1" localSheetId="1">#REF!</definedName>
    <definedName name="_sw1" localSheetId="0">#REF!</definedName>
    <definedName name="_sw1" localSheetId="4">#REF!</definedName>
    <definedName name="_sw1" localSheetId="3">#REF!</definedName>
    <definedName name="_sw1" localSheetId="5">#REF!</definedName>
    <definedName name="_sw1">#REF!</definedName>
    <definedName name="_sw2" localSheetId="2">#REF!</definedName>
    <definedName name="_sw2" localSheetId="1">#REF!</definedName>
    <definedName name="_sw2" localSheetId="0">#REF!</definedName>
    <definedName name="_sw2" localSheetId="4">#REF!</definedName>
    <definedName name="_sw2" localSheetId="3">#REF!</definedName>
    <definedName name="_sw2" localSheetId="5">#REF!</definedName>
    <definedName name="_sw2">#REF!</definedName>
    <definedName name="_sw3" localSheetId="2">#REF!</definedName>
    <definedName name="_sw3" localSheetId="1">#REF!</definedName>
    <definedName name="_sw3" localSheetId="0">#REF!</definedName>
    <definedName name="_sw3" localSheetId="4">#REF!</definedName>
    <definedName name="_sw3" localSheetId="3">#REF!</definedName>
    <definedName name="_sw3" localSheetId="5">#REF!</definedName>
    <definedName name="_sw3">#REF!</definedName>
    <definedName name="_sw4" localSheetId="2">#REF!</definedName>
    <definedName name="_sw4" localSheetId="1">#REF!</definedName>
    <definedName name="_sw4" localSheetId="0">#REF!</definedName>
    <definedName name="_sw4" localSheetId="4">#REF!</definedName>
    <definedName name="_sw4" localSheetId="3">#REF!</definedName>
    <definedName name="_sw4" localSheetId="5">#REF!</definedName>
    <definedName name="_sw4">#REF!</definedName>
    <definedName name="_sw5" localSheetId="2">#REF!</definedName>
    <definedName name="_sw5" localSheetId="1">#REF!</definedName>
    <definedName name="_sw5" localSheetId="0">#REF!</definedName>
    <definedName name="_sw5" localSheetId="4">#REF!</definedName>
    <definedName name="_sw5" localSheetId="3">#REF!</definedName>
    <definedName name="_sw5" localSheetId="5">#REF!</definedName>
    <definedName name="_sw5">#REF!</definedName>
    <definedName name="_sw6" localSheetId="2">#REF!</definedName>
    <definedName name="_sw6" localSheetId="1">#REF!</definedName>
    <definedName name="_sw6" localSheetId="0">#REF!</definedName>
    <definedName name="_sw6" localSheetId="4">#REF!</definedName>
    <definedName name="_sw6" localSheetId="3">#REF!</definedName>
    <definedName name="_sw6" localSheetId="5">#REF!</definedName>
    <definedName name="_sw6">#REF!</definedName>
    <definedName name="_sw7" localSheetId="2">#REF!</definedName>
    <definedName name="_sw7" localSheetId="1">#REF!</definedName>
    <definedName name="_sw7" localSheetId="0">#REF!</definedName>
    <definedName name="_sw7" localSheetId="4">#REF!</definedName>
    <definedName name="_sw7" localSheetId="3">#REF!</definedName>
    <definedName name="_sw7" localSheetId="5">#REF!</definedName>
    <definedName name="_sw7">#REF!</definedName>
    <definedName name="_sw8" localSheetId="2">#REF!</definedName>
    <definedName name="_sw8" localSheetId="1">#REF!</definedName>
    <definedName name="_sw8" localSheetId="0">#REF!</definedName>
    <definedName name="_sw8" localSheetId="4">#REF!</definedName>
    <definedName name="_sw8" localSheetId="3">#REF!</definedName>
    <definedName name="_sw8" localSheetId="5">#REF!</definedName>
    <definedName name="_sw8">#REF!</definedName>
    <definedName name="_T1" localSheetId="2">#REF!</definedName>
    <definedName name="_T1" localSheetId="1">#REF!</definedName>
    <definedName name="_T1" localSheetId="0">#REF!</definedName>
    <definedName name="_T1" localSheetId="4">#REF!</definedName>
    <definedName name="_T1" localSheetId="3">#REF!</definedName>
    <definedName name="_T1" localSheetId="5">#REF!</definedName>
    <definedName name="_T1">#REF!</definedName>
    <definedName name="_tas2" localSheetId="2">#REF!</definedName>
    <definedName name="_tas2" localSheetId="1">#REF!</definedName>
    <definedName name="_tas2" localSheetId="0">#REF!</definedName>
    <definedName name="_tas2" localSheetId="4">#REF!</definedName>
    <definedName name="_tas2" localSheetId="3">#REF!</definedName>
    <definedName name="_tas2" localSheetId="5">#REF!</definedName>
    <definedName name="_tas2">#REF!</definedName>
    <definedName name="_tas3" localSheetId="2">#REF!</definedName>
    <definedName name="_tas3" localSheetId="1">#REF!</definedName>
    <definedName name="_tas3" localSheetId="0">#REF!</definedName>
    <definedName name="_tas3" localSheetId="4">#REF!</definedName>
    <definedName name="_tas3" localSheetId="3">#REF!</definedName>
    <definedName name="_tas3" localSheetId="5">#REF!</definedName>
    <definedName name="_tas3">#REF!</definedName>
    <definedName name="_WP1" localSheetId="2">#REF!</definedName>
    <definedName name="_WP1" localSheetId="1">#REF!</definedName>
    <definedName name="_WP1" localSheetId="0">#REF!</definedName>
    <definedName name="_WP1" localSheetId="4">#REF!</definedName>
    <definedName name="_WP1" localSheetId="3">#REF!</definedName>
    <definedName name="_WP1" localSheetId="5">#REF!</definedName>
    <definedName name="_WP1">#REF!</definedName>
    <definedName name="_xlcn.LinkedTable_Table11" localSheetId="4" hidden="1">#REF!</definedName>
    <definedName name="_xlcn.LinkedTable_Table11" localSheetId="3" hidden="1">#REF!</definedName>
    <definedName name="_xlcn.LinkedTable_Table11" localSheetId="5" hidden="1">#REF!</definedName>
    <definedName name="_xlcn.LinkedTable_Table11" hidden="1">#REF!</definedName>
    <definedName name="a" localSheetId="2" hidden="1">{#N/A,#N/A,TRUE,"Cover";#N/A,#N/A,TRUE,"Conts";#N/A,#N/A,TRUE,"VOS";#N/A,#N/A,TRUE,"Warrington";#N/A,#N/A,TRUE,"Widnes"}</definedName>
    <definedName name="a" localSheetId="1" hidden="1">{#N/A,#N/A,TRUE,"Cover";#N/A,#N/A,TRUE,"Conts";#N/A,#N/A,TRUE,"VOS";#N/A,#N/A,TRUE,"Warrington";#N/A,#N/A,TRUE,"Widnes"}</definedName>
    <definedName name="A" localSheetId="0">#REF!</definedName>
    <definedName name="A" localSheetId="4">#REF!</definedName>
    <definedName name="A" localSheetId="3">#REF!</definedName>
    <definedName name="A" localSheetId="5">#REF!</definedName>
    <definedName name="A">#REF!</definedName>
    <definedName name="a\sdasdf" localSheetId="2" hidden="1">{#N/A,#N/A,TRUE,"Cover";#N/A,#N/A,TRUE,"Conts";#N/A,#N/A,TRUE,"VOS";#N/A,#N/A,TRUE,"Warrington";#N/A,#N/A,TRUE,"Widnes"}</definedName>
    <definedName name="a\sdasdf" localSheetId="1" hidden="1">{#N/A,#N/A,TRUE,"Cover";#N/A,#N/A,TRUE,"Conts";#N/A,#N/A,TRUE,"VOS";#N/A,#N/A,TRUE,"Warrington";#N/A,#N/A,TRUE,"Widnes"}</definedName>
    <definedName name="a\sdasdf" localSheetId="0" hidden="1">{#N/A,#N/A,TRUE,"Cover";#N/A,#N/A,TRUE,"Conts";#N/A,#N/A,TRUE,"VOS";#N/A,#N/A,TRUE,"Warrington";#N/A,#N/A,TRUE,"Widnes"}</definedName>
    <definedName name="a\sdasdf" localSheetId="4" hidden="1">{#N/A,#N/A,TRUE,"Cover";#N/A,#N/A,TRUE,"Conts";#N/A,#N/A,TRUE,"VOS";#N/A,#N/A,TRUE,"Warrington";#N/A,#N/A,TRUE,"Widnes"}</definedName>
    <definedName name="a\sdasdf" localSheetId="3" hidden="1">{#N/A,#N/A,TRUE,"Cover";#N/A,#N/A,TRUE,"Conts";#N/A,#N/A,TRUE,"VOS";#N/A,#N/A,TRUE,"Warrington";#N/A,#N/A,TRUE,"Widnes"}</definedName>
    <definedName name="a\sdasdf" localSheetId="5" hidden="1">{#N/A,#N/A,TRUE,"Cover";#N/A,#N/A,TRUE,"Conts";#N/A,#N/A,TRUE,"VOS";#N/A,#N/A,TRUE,"Warrington";#N/A,#N/A,TRUE,"Widnes"}</definedName>
    <definedName name="a\sdasdf" hidden="1">{#N/A,#N/A,TRUE,"Cover";#N/A,#N/A,TRUE,"Conts";#N/A,#N/A,TRUE,"VOS";#N/A,#N/A,TRUE,"Warrington";#N/A,#N/A,TRUE,"Widnes"}</definedName>
    <definedName name="a_100" localSheetId="4">#REF!</definedName>
    <definedName name="a_100" localSheetId="3">#REF!</definedName>
    <definedName name="a_100" localSheetId="5">#REF!</definedName>
    <definedName name="a_100">#REF!</definedName>
    <definedName name="a_150" localSheetId="4">#REF!</definedName>
    <definedName name="a_150" localSheetId="3">#REF!</definedName>
    <definedName name="a_150" localSheetId="5">#REF!</definedName>
    <definedName name="a_150">#REF!</definedName>
    <definedName name="a_50" localSheetId="4">#REF!</definedName>
    <definedName name="a_50" localSheetId="3">#REF!</definedName>
    <definedName name="a_50" localSheetId="5">#REF!</definedName>
    <definedName name="a_50">#REF!</definedName>
    <definedName name="A_STATUS_DRGS" localSheetId="4">#REF!</definedName>
    <definedName name="A_STATUS_DRGS" localSheetId="3">#REF!</definedName>
    <definedName name="A_STATUS_DRGS" localSheetId="5">#REF!</definedName>
    <definedName name="A_STATUS_DRGS">#REF!</definedName>
    <definedName name="A_STATUS_NUMBER" localSheetId="4">#REF!</definedName>
    <definedName name="A_STATUS_NUMBER" localSheetId="3">#REF!</definedName>
    <definedName name="A_STATUS_NUMBER" localSheetId="5">#REF!</definedName>
    <definedName name="A_STATUS_NUMBER">#REF!</definedName>
    <definedName name="aa" localSheetId="2" hidden="1">#REF!</definedName>
    <definedName name="aa" localSheetId="1" hidden="1">#REF!</definedName>
    <definedName name="aa" localSheetId="0">#REF!</definedName>
    <definedName name="aa" localSheetId="4">#REF!</definedName>
    <definedName name="aa" localSheetId="3">#REF!</definedName>
    <definedName name="AA" localSheetId="5">#REF!</definedName>
    <definedName name="AA">#REF!</definedName>
    <definedName name="AAA" localSheetId="2">#REF!</definedName>
    <definedName name="AAA" localSheetId="1">#REF!</definedName>
    <definedName name="aaa" localSheetId="0">#REF!</definedName>
    <definedName name="aaa" localSheetId="4">#REF!</definedName>
    <definedName name="aaa" localSheetId="3">#REF!</definedName>
    <definedName name="aaa" localSheetId="5">#REF!</definedName>
    <definedName name="aaa">#REF!</definedName>
    <definedName name="aaaaa" localSheetId="2">#REF!</definedName>
    <definedName name="aaaaa" localSheetId="1">#REF!</definedName>
    <definedName name="aaaaa" localSheetId="0">#REF!</definedName>
    <definedName name="aaaaa" localSheetId="4">#REF!</definedName>
    <definedName name="aaaaa" localSheetId="3">#REF!</definedName>
    <definedName name="aaaaa" localSheetId="5">#REF!</definedName>
    <definedName name="aaaaa">#REF!</definedName>
    <definedName name="aaaaaa" localSheetId="2">#REF!</definedName>
    <definedName name="aaaaaa" localSheetId="1">#REF!</definedName>
    <definedName name="aaaaaa" localSheetId="0">#REF!</definedName>
    <definedName name="aaaaaa" localSheetId="4">#REF!</definedName>
    <definedName name="aaaaaa" localSheetId="3">#REF!</definedName>
    <definedName name="aaaaaa" localSheetId="5">#REF!</definedName>
    <definedName name="aaaaaa">#REF!</definedName>
    <definedName name="aaaaaaaa" localSheetId="2" hidden="1">{#N/A,#N/A,TRUE,"Cover";#N/A,#N/A,TRUE,"Conts";#N/A,#N/A,TRUE,"VOS";#N/A,#N/A,TRUE,"Warrington";#N/A,#N/A,TRUE,"Widnes"}</definedName>
    <definedName name="aaaaaaaa" localSheetId="1" hidden="1">{#N/A,#N/A,TRUE,"Cover";#N/A,#N/A,TRUE,"Conts";#N/A,#N/A,TRUE,"VOS";#N/A,#N/A,TRUE,"Warrington";#N/A,#N/A,TRUE,"Widnes"}</definedName>
    <definedName name="aaaaaaaa" localSheetId="0" hidden="1">{#N/A,#N/A,TRUE,"Cover";#N/A,#N/A,TRUE,"Conts";#N/A,#N/A,TRUE,"VOS";#N/A,#N/A,TRUE,"Warrington";#N/A,#N/A,TRUE,"Widnes"}</definedName>
    <definedName name="aaaaaaaa" localSheetId="4" hidden="1">{#N/A,#N/A,TRUE,"Cover";#N/A,#N/A,TRUE,"Conts";#N/A,#N/A,TRUE,"VOS";#N/A,#N/A,TRUE,"Warrington";#N/A,#N/A,TRUE,"Widnes"}</definedName>
    <definedName name="aaaaaaaa" localSheetId="3" hidden="1">{#N/A,#N/A,TRUE,"Cover";#N/A,#N/A,TRUE,"Conts";#N/A,#N/A,TRUE,"VOS";#N/A,#N/A,TRUE,"Warrington";#N/A,#N/A,TRUE,"Widnes"}</definedName>
    <definedName name="aaaaaaaa" localSheetId="5" hidden="1">{#N/A,#N/A,TRUE,"Cover";#N/A,#N/A,TRUE,"Conts";#N/A,#N/A,TRUE,"VOS";#N/A,#N/A,TRUE,"Warrington";#N/A,#N/A,TRUE,"Widnes"}</definedName>
    <definedName name="aaaaaaaa" hidden="1">{#N/A,#N/A,TRUE,"Cover";#N/A,#N/A,TRUE,"Conts";#N/A,#N/A,TRUE,"VOS";#N/A,#N/A,TRUE,"Warrington";#N/A,#N/A,TRUE,"Widnes"}</definedName>
    <definedName name="aaaaaaaaaaaaa" localSheetId="2">#REF!</definedName>
    <definedName name="aaaaaaaaaaaaa" localSheetId="1">#REF!</definedName>
    <definedName name="aaaaaaaaaaaaa" localSheetId="0">#REF!</definedName>
    <definedName name="aaaaaaaaaaaaa" localSheetId="4">#REF!</definedName>
    <definedName name="aaaaaaaaaaaaa" localSheetId="3">#REF!</definedName>
    <definedName name="aaaaaaaaaaaaa" localSheetId="5">#REF!</definedName>
    <definedName name="aaaaaaaaaaaaa">#REF!</definedName>
    <definedName name="AAAAAAAAAAAAAAAAA" localSheetId="2" hidden="1">#REF!</definedName>
    <definedName name="AAAAAAAAAAAAAAAAA" localSheetId="1" hidden="1">#REF!</definedName>
    <definedName name="AAAAAAAAAAAAAAAAA" localSheetId="0" hidden="1">#REF!</definedName>
    <definedName name="AAAAAAAAAAAAAAAAA" localSheetId="4" hidden="1">#REF!</definedName>
    <definedName name="AAAAAAAAAAAAAAAAA" localSheetId="3" hidden="1">#REF!</definedName>
    <definedName name="AAAAAAAAAAAAAAAAA" localSheetId="5" hidden="1">#REF!</definedName>
    <definedName name="AAAAAAAAAAAAAAAAA" hidden="1">#REF!</definedName>
    <definedName name="a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c" localSheetId="2">#REF!</definedName>
    <definedName name="abc" localSheetId="1">#REF!</definedName>
    <definedName name="abc" localSheetId="0">#REF!</definedName>
    <definedName name="abc" localSheetId="4">#REF!</definedName>
    <definedName name="abc" localSheetId="3">#REF!</definedName>
    <definedName name="abc" localSheetId="5">#REF!</definedName>
    <definedName name="abc">#REF!</definedName>
    <definedName name="ABCD" localSheetId="4" hidden="1">#REF!</definedName>
    <definedName name="ABCD" localSheetId="3" hidden="1">#REF!</definedName>
    <definedName name="ABCD" localSheetId="5" hidden="1">#REF!</definedName>
    <definedName name="ABCD" hidden="1">#REF!</definedName>
    <definedName name="Abcdefghijklmnopqrstuvwxyz" localSheetId="0">OFFSET(#REF!,1,0,COUNTA(#REF!),1)</definedName>
    <definedName name="Abcdefghijklmnopqrstuvwxyz" localSheetId="4">OFFSET(#REF!,1,0,COUNTA(#REF!),1)</definedName>
    <definedName name="Abcdefghijklmnopqrstuvwxyz" localSheetId="3">OFFSET(#REF!,1,0,COUNTA(#REF!),1)</definedName>
    <definedName name="Abcdefghijklmnopqrstuvwxyz" localSheetId="5">OFFSET(#REF!,1,0,COUNTA(#REF!),1)</definedName>
    <definedName name="Abcdefghijklmnopqrstuvwxyz">OFFSET(#REF!,1,0,COUNTA(#REF!),1)</definedName>
    <definedName name="a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" localSheetId="2" hidden="1">{#N/A,#N/A,TRUE,"Cover";#N/A,#N/A,TRUE,"Conts";#N/A,#N/A,TRUE,"VOS";#N/A,#N/A,TRUE,"Warrington";#N/A,#N/A,TRUE,"Widnes"}</definedName>
    <definedName name="ACC" localSheetId="1" hidden="1">{#N/A,#N/A,TRUE,"Cover";#N/A,#N/A,TRUE,"Conts";#N/A,#N/A,TRUE,"VOS";#N/A,#N/A,TRUE,"Warrington";#N/A,#N/A,TRUE,"Widnes"}</definedName>
    <definedName name="ACC" localSheetId="0" hidden="1">{#N/A,#N/A,TRUE,"Cover";#N/A,#N/A,TRUE,"Conts";#N/A,#N/A,TRUE,"VOS";#N/A,#N/A,TRUE,"Warrington";#N/A,#N/A,TRUE,"Widnes"}</definedName>
    <definedName name="ACC" localSheetId="4" hidden="1">{#N/A,#N/A,TRUE,"Cover";#N/A,#N/A,TRUE,"Conts";#N/A,#N/A,TRUE,"VOS";#N/A,#N/A,TRUE,"Warrington";#N/A,#N/A,TRUE,"Widnes"}</definedName>
    <definedName name="ACC" localSheetId="3" hidden="1">{#N/A,#N/A,TRUE,"Cover";#N/A,#N/A,TRUE,"Conts";#N/A,#N/A,TRUE,"VOS";#N/A,#N/A,TRUE,"Warrington";#N/A,#N/A,TRUE,"Widnes"}</definedName>
    <definedName name="ACC" localSheetId="5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pt" localSheetId="2">'A10 Design + Subs fee'!Accept</definedName>
    <definedName name="Accept" localSheetId="1">'A9 Design + Subs fee '!Accept</definedName>
    <definedName name="Accept" localSheetId="0">'FEE RECON RAIHAN'!Accept</definedName>
    <definedName name="Accept" localSheetId="4">'Mastersheet-Projects'!Accept</definedName>
    <definedName name="Accept" localSheetId="3">'Mastersheet-Resources'!Accept</definedName>
    <definedName name="Accept" localSheetId="5">'Tender List'!Accept</definedName>
    <definedName name="Accept">[0]!Accept</definedName>
    <definedName name="Access_controlsystem" localSheetId="4">#REF!</definedName>
    <definedName name="Access_controlsystem" localSheetId="3">#REF!</definedName>
    <definedName name="Access_controlsystem" localSheetId="5">#REF!</definedName>
    <definedName name="Access_controlsystem">#REF!</definedName>
    <definedName name="AccessDatabase" hidden="1">"C:\AA-MEDIUM PROJECTS\Khaleej Times - GO 14017\Submittals Status.mdb"</definedName>
    <definedName name="ACCESSORIES" localSheetId="2">#REF!</definedName>
    <definedName name="ACCESSORIES" localSheetId="1">#REF!</definedName>
    <definedName name="ACCESSORIES" localSheetId="0">#REF!</definedName>
    <definedName name="ACCESSORIES" localSheetId="4">#REF!</definedName>
    <definedName name="ACCESSORIES" localSheetId="3">#REF!</definedName>
    <definedName name="ACCESSORIES" localSheetId="5">#REF!</definedName>
    <definedName name="ACCESSORIES">#REF!</definedName>
    <definedName name="ACCNT_10" localSheetId="2">#REF!</definedName>
    <definedName name="ACCNT_10" localSheetId="1">#REF!</definedName>
    <definedName name="ACCNT_10" localSheetId="0">#REF!</definedName>
    <definedName name="ACCNT_10" localSheetId="4">#REF!</definedName>
    <definedName name="ACCNT_10" localSheetId="3">#REF!</definedName>
    <definedName name="ACCNT_10" localSheetId="5">#REF!</definedName>
    <definedName name="ACCNT_10">#REF!</definedName>
    <definedName name="ACCNT_10THRU95" localSheetId="2">#REF!</definedName>
    <definedName name="ACCNT_10THRU95" localSheetId="1">#REF!</definedName>
    <definedName name="ACCNT_10THRU95" localSheetId="0">#REF!</definedName>
    <definedName name="ACCNT_10THRU95" localSheetId="4">#REF!</definedName>
    <definedName name="ACCNT_10THRU95" localSheetId="3">#REF!</definedName>
    <definedName name="ACCNT_10THRU95" localSheetId="5">#REF!</definedName>
    <definedName name="ACCNT_10THRU95">#REF!</definedName>
    <definedName name="ACCNT_11" localSheetId="2">#REF!</definedName>
    <definedName name="ACCNT_11" localSheetId="1">#REF!</definedName>
    <definedName name="ACCNT_11" localSheetId="0">#REF!</definedName>
    <definedName name="ACCNT_11" localSheetId="4">#REF!</definedName>
    <definedName name="ACCNT_11" localSheetId="3">#REF!</definedName>
    <definedName name="ACCNT_11" localSheetId="5">#REF!</definedName>
    <definedName name="ACCNT_11">#REF!</definedName>
    <definedName name="ACCNT_12" localSheetId="2">#REF!</definedName>
    <definedName name="ACCNT_12" localSheetId="1">#REF!</definedName>
    <definedName name="ACCNT_12" localSheetId="0">#REF!</definedName>
    <definedName name="ACCNT_12" localSheetId="4">#REF!</definedName>
    <definedName name="ACCNT_12" localSheetId="3">#REF!</definedName>
    <definedName name="ACCNT_12" localSheetId="5">#REF!</definedName>
    <definedName name="ACCNT_12">#REF!</definedName>
    <definedName name="ACCNT_13" localSheetId="2">#REF!</definedName>
    <definedName name="ACCNT_13" localSheetId="1">#REF!</definedName>
    <definedName name="ACCNT_13" localSheetId="0">#REF!</definedName>
    <definedName name="ACCNT_13" localSheetId="4">#REF!</definedName>
    <definedName name="ACCNT_13" localSheetId="3">#REF!</definedName>
    <definedName name="ACCNT_13" localSheetId="5">#REF!</definedName>
    <definedName name="ACCNT_13">#REF!</definedName>
    <definedName name="ACCNT_14" localSheetId="2">#REF!</definedName>
    <definedName name="ACCNT_14" localSheetId="1">#REF!</definedName>
    <definedName name="ACCNT_14" localSheetId="0">#REF!</definedName>
    <definedName name="ACCNT_14" localSheetId="4">#REF!</definedName>
    <definedName name="ACCNT_14" localSheetId="3">#REF!</definedName>
    <definedName name="ACCNT_14" localSheetId="5">#REF!</definedName>
    <definedName name="ACCNT_14">#REF!</definedName>
    <definedName name="ACCNT_15" localSheetId="2">#REF!</definedName>
    <definedName name="ACCNT_15" localSheetId="1">#REF!</definedName>
    <definedName name="ACCNT_15" localSheetId="0">#REF!</definedName>
    <definedName name="ACCNT_15" localSheetId="4">#REF!</definedName>
    <definedName name="ACCNT_15" localSheetId="3">#REF!</definedName>
    <definedName name="ACCNT_15" localSheetId="5">#REF!</definedName>
    <definedName name="ACCNT_15">#REF!</definedName>
    <definedName name="ACCNT_15.11" localSheetId="2">#REF!</definedName>
    <definedName name="ACCNT_15.11" localSheetId="1">#REF!</definedName>
    <definedName name="ACCNT_15.11" localSheetId="0">#REF!</definedName>
    <definedName name="ACCNT_15.11" localSheetId="4">#REF!</definedName>
    <definedName name="ACCNT_15.11" localSheetId="3">#REF!</definedName>
    <definedName name="ACCNT_15.11" localSheetId="5">#REF!</definedName>
    <definedName name="ACCNT_15.11">#REF!</definedName>
    <definedName name="ACCNT_15.12" localSheetId="2">#REF!</definedName>
    <definedName name="ACCNT_15.12" localSheetId="1">#REF!</definedName>
    <definedName name="ACCNT_15.12" localSheetId="0">#REF!</definedName>
    <definedName name="ACCNT_15.12" localSheetId="4">#REF!</definedName>
    <definedName name="ACCNT_15.12" localSheetId="3">#REF!</definedName>
    <definedName name="ACCNT_15.12" localSheetId="5">#REF!</definedName>
    <definedName name="ACCNT_15.12">#REF!</definedName>
    <definedName name="ACCNT_15.14" localSheetId="2">#REF!</definedName>
    <definedName name="ACCNT_15.14" localSheetId="1">#REF!</definedName>
    <definedName name="ACCNT_15.14" localSheetId="0">#REF!</definedName>
    <definedName name="ACCNT_15.14" localSheetId="4">#REF!</definedName>
    <definedName name="ACCNT_15.14" localSheetId="3">#REF!</definedName>
    <definedName name="ACCNT_15.14" localSheetId="5">#REF!</definedName>
    <definedName name="ACCNT_15.14">#REF!</definedName>
    <definedName name="ACCNT_15.22" localSheetId="2">#REF!</definedName>
    <definedName name="ACCNT_15.22" localSheetId="1">#REF!</definedName>
    <definedName name="ACCNT_15.22" localSheetId="0">#REF!</definedName>
    <definedName name="ACCNT_15.22" localSheetId="4">#REF!</definedName>
    <definedName name="ACCNT_15.22" localSheetId="3">#REF!</definedName>
    <definedName name="ACCNT_15.22" localSheetId="5">#REF!</definedName>
    <definedName name="ACCNT_15.22">#REF!</definedName>
    <definedName name="ACCNT_16" localSheetId="2">#REF!</definedName>
    <definedName name="ACCNT_16" localSheetId="1">#REF!</definedName>
    <definedName name="ACCNT_16" localSheetId="0">#REF!</definedName>
    <definedName name="ACCNT_16" localSheetId="4">#REF!</definedName>
    <definedName name="ACCNT_16" localSheetId="3">#REF!</definedName>
    <definedName name="ACCNT_16" localSheetId="5">#REF!</definedName>
    <definedName name="ACCNT_16">#REF!</definedName>
    <definedName name="ACCNT_20" localSheetId="2">#REF!</definedName>
    <definedName name="ACCNT_20" localSheetId="1">#REF!</definedName>
    <definedName name="ACCNT_20" localSheetId="0">#REF!</definedName>
    <definedName name="ACCNT_20" localSheetId="4">#REF!</definedName>
    <definedName name="ACCNT_20" localSheetId="3">#REF!</definedName>
    <definedName name="ACCNT_20" localSheetId="5">#REF!</definedName>
    <definedName name="ACCNT_20">#REF!</definedName>
    <definedName name="ACCNT_21" localSheetId="2">#REF!</definedName>
    <definedName name="ACCNT_21" localSheetId="1">#REF!</definedName>
    <definedName name="ACCNT_21" localSheetId="0">#REF!</definedName>
    <definedName name="ACCNT_21" localSheetId="4">#REF!</definedName>
    <definedName name="ACCNT_21" localSheetId="3">#REF!</definedName>
    <definedName name="ACCNT_21" localSheetId="5">#REF!</definedName>
    <definedName name="ACCNT_21">#REF!</definedName>
    <definedName name="accnt_21.01" localSheetId="2">#REF!</definedName>
    <definedName name="accnt_21.01" localSheetId="1">#REF!</definedName>
    <definedName name="accnt_21.01" localSheetId="0">#REF!</definedName>
    <definedName name="accnt_21.01" localSheetId="4">#REF!</definedName>
    <definedName name="accnt_21.01" localSheetId="3">#REF!</definedName>
    <definedName name="accnt_21.01" localSheetId="5">#REF!</definedName>
    <definedName name="accnt_21.01">#REF!</definedName>
    <definedName name="accnt_21.02" localSheetId="2">#REF!</definedName>
    <definedName name="accnt_21.02" localSheetId="1">#REF!</definedName>
    <definedName name="accnt_21.02" localSheetId="0">#REF!</definedName>
    <definedName name="accnt_21.02" localSheetId="4">#REF!</definedName>
    <definedName name="accnt_21.02" localSheetId="3">#REF!</definedName>
    <definedName name="accnt_21.02" localSheetId="5">#REF!</definedName>
    <definedName name="accnt_21.02">#REF!</definedName>
    <definedName name="ACCNT_22" localSheetId="2">#REF!</definedName>
    <definedName name="ACCNT_22" localSheetId="1">#REF!</definedName>
    <definedName name="ACCNT_22" localSheetId="0">#REF!</definedName>
    <definedName name="ACCNT_22" localSheetId="4">#REF!</definedName>
    <definedName name="ACCNT_22" localSheetId="3">#REF!</definedName>
    <definedName name="ACCNT_22" localSheetId="5">#REF!</definedName>
    <definedName name="ACCNT_22">#REF!</definedName>
    <definedName name="ACCNT_22.9" localSheetId="2">#REF!</definedName>
    <definedName name="ACCNT_22.9" localSheetId="1">#REF!</definedName>
    <definedName name="ACCNT_22.9" localSheetId="0">#REF!</definedName>
    <definedName name="ACCNT_22.9" localSheetId="4">#REF!</definedName>
    <definedName name="ACCNT_22.9" localSheetId="3">#REF!</definedName>
    <definedName name="ACCNT_22.9" localSheetId="5">#REF!</definedName>
    <definedName name="ACCNT_22.9">#REF!</definedName>
    <definedName name="ACCNT_23" localSheetId="2">#REF!</definedName>
    <definedName name="ACCNT_23" localSheetId="1">#REF!</definedName>
    <definedName name="ACCNT_23" localSheetId="0">#REF!</definedName>
    <definedName name="ACCNT_23" localSheetId="4">#REF!</definedName>
    <definedName name="ACCNT_23" localSheetId="3">#REF!</definedName>
    <definedName name="ACCNT_23" localSheetId="5">#REF!</definedName>
    <definedName name="ACCNT_23">#REF!</definedName>
    <definedName name="ACCNT_25" localSheetId="2">#REF!</definedName>
    <definedName name="ACCNT_25" localSheetId="1">#REF!</definedName>
    <definedName name="ACCNT_25" localSheetId="0">#REF!</definedName>
    <definedName name="ACCNT_25" localSheetId="4">#REF!</definedName>
    <definedName name="ACCNT_25" localSheetId="3">#REF!</definedName>
    <definedName name="ACCNT_25" localSheetId="5">#REF!</definedName>
    <definedName name="ACCNT_25">#REF!</definedName>
    <definedName name="ACCNT_25.4" localSheetId="2">#REF!</definedName>
    <definedName name="ACCNT_25.4" localSheetId="1">#REF!</definedName>
    <definedName name="ACCNT_25.4" localSheetId="0">#REF!</definedName>
    <definedName name="ACCNT_25.4" localSheetId="4">#REF!</definedName>
    <definedName name="ACCNT_25.4" localSheetId="3">#REF!</definedName>
    <definedName name="ACCNT_25.4" localSheetId="5">#REF!</definedName>
    <definedName name="ACCNT_25.4">#REF!</definedName>
    <definedName name="ACCNT_25.6" localSheetId="2">#REF!</definedName>
    <definedName name="ACCNT_25.6" localSheetId="1">#REF!</definedName>
    <definedName name="ACCNT_25.6" localSheetId="0">#REF!</definedName>
    <definedName name="ACCNT_25.6" localSheetId="4">#REF!</definedName>
    <definedName name="ACCNT_25.6" localSheetId="3">#REF!</definedName>
    <definedName name="ACCNT_25.6" localSheetId="5">#REF!</definedName>
    <definedName name="ACCNT_25.6">#REF!</definedName>
    <definedName name="ACCNT_26" localSheetId="2">#REF!</definedName>
    <definedName name="ACCNT_26" localSheetId="1">#REF!</definedName>
    <definedName name="ACCNT_26" localSheetId="0">#REF!</definedName>
    <definedName name="ACCNT_26" localSheetId="4">#REF!</definedName>
    <definedName name="ACCNT_26" localSheetId="3">#REF!</definedName>
    <definedName name="ACCNT_26" localSheetId="5">#REF!</definedName>
    <definedName name="ACCNT_26">#REF!</definedName>
    <definedName name="ACCNT_26.2" localSheetId="2">#REF!</definedName>
    <definedName name="ACCNT_26.2" localSheetId="1">#REF!</definedName>
    <definedName name="ACCNT_26.2" localSheetId="0">#REF!</definedName>
    <definedName name="ACCNT_26.2" localSheetId="4">#REF!</definedName>
    <definedName name="ACCNT_26.2" localSheetId="3">#REF!</definedName>
    <definedName name="ACCNT_26.2" localSheetId="5">#REF!</definedName>
    <definedName name="ACCNT_26.2">#REF!</definedName>
    <definedName name="ACCNT_26.3" localSheetId="2">#REF!</definedName>
    <definedName name="ACCNT_26.3" localSheetId="1">#REF!</definedName>
    <definedName name="ACCNT_26.3" localSheetId="0">#REF!</definedName>
    <definedName name="ACCNT_26.3" localSheetId="4">#REF!</definedName>
    <definedName name="ACCNT_26.3" localSheetId="3">#REF!</definedName>
    <definedName name="ACCNT_26.3" localSheetId="5">#REF!</definedName>
    <definedName name="ACCNT_26.3">#REF!</definedName>
    <definedName name="ACCNT_27.1" localSheetId="2">#REF!</definedName>
    <definedName name="ACCNT_27.1" localSheetId="1">#REF!</definedName>
    <definedName name="ACCNT_27.1" localSheetId="0">#REF!</definedName>
    <definedName name="ACCNT_27.1" localSheetId="4">#REF!</definedName>
    <definedName name="ACCNT_27.1" localSheetId="3">#REF!</definedName>
    <definedName name="ACCNT_27.1" localSheetId="5">#REF!</definedName>
    <definedName name="ACCNT_27.1">#REF!</definedName>
    <definedName name="ACCNT_27.2" localSheetId="2">#REF!</definedName>
    <definedName name="ACCNT_27.2" localSheetId="1">#REF!</definedName>
    <definedName name="ACCNT_27.2" localSheetId="0">#REF!</definedName>
    <definedName name="ACCNT_27.2" localSheetId="4">#REF!</definedName>
    <definedName name="ACCNT_27.2" localSheetId="3">#REF!</definedName>
    <definedName name="ACCNT_27.2" localSheetId="5">#REF!</definedName>
    <definedName name="ACCNT_27.2">#REF!</definedName>
    <definedName name="ACCNT_28" localSheetId="2">#REF!</definedName>
    <definedName name="ACCNT_28" localSheetId="1">#REF!</definedName>
    <definedName name="ACCNT_28" localSheetId="0">#REF!</definedName>
    <definedName name="ACCNT_28" localSheetId="4">#REF!</definedName>
    <definedName name="ACCNT_28" localSheetId="3">#REF!</definedName>
    <definedName name="ACCNT_28" localSheetId="5">#REF!</definedName>
    <definedName name="ACCNT_28">#REF!</definedName>
    <definedName name="ACCNT_28.6" localSheetId="2">#REF!</definedName>
    <definedName name="ACCNT_28.6" localSheetId="1">#REF!</definedName>
    <definedName name="ACCNT_28.6" localSheetId="0">#REF!</definedName>
    <definedName name="ACCNT_28.6" localSheetId="4">#REF!</definedName>
    <definedName name="ACCNT_28.6" localSheetId="3">#REF!</definedName>
    <definedName name="ACCNT_28.6" localSheetId="5">#REF!</definedName>
    <definedName name="ACCNT_28.6">#REF!</definedName>
    <definedName name="ACCNT_29" localSheetId="2">#REF!</definedName>
    <definedName name="ACCNT_29" localSheetId="1">#REF!</definedName>
    <definedName name="ACCNT_29" localSheetId="0">#REF!</definedName>
    <definedName name="ACCNT_29" localSheetId="4">#REF!</definedName>
    <definedName name="ACCNT_29" localSheetId="3">#REF!</definedName>
    <definedName name="ACCNT_29" localSheetId="5">#REF!</definedName>
    <definedName name="ACCNT_29">#REF!</definedName>
    <definedName name="ACCNT_30" localSheetId="2">#REF!</definedName>
    <definedName name="ACCNT_30" localSheetId="1">#REF!</definedName>
    <definedName name="ACCNT_30" localSheetId="0">#REF!</definedName>
    <definedName name="ACCNT_30" localSheetId="4">#REF!</definedName>
    <definedName name="ACCNT_30" localSheetId="3">#REF!</definedName>
    <definedName name="ACCNT_30" localSheetId="5">#REF!</definedName>
    <definedName name="ACCNT_30">#REF!</definedName>
    <definedName name="ACCNT_40" localSheetId="2">#REF!</definedName>
    <definedName name="ACCNT_40" localSheetId="1">#REF!</definedName>
    <definedName name="ACCNT_40" localSheetId="0">#REF!</definedName>
    <definedName name="ACCNT_40" localSheetId="4">#REF!</definedName>
    <definedName name="ACCNT_40" localSheetId="3">#REF!</definedName>
    <definedName name="ACCNT_40" localSheetId="5">#REF!</definedName>
    <definedName name="ACCNT_40">#REF!</definedName>
    <definedName name="ACCNT_41" localSheetId="2">#REF!</definedName>
    <definedName name="ACCNT_41" localSheetId="1">#REF!</definedName>
    <definedName name="ACCNT_41" localSheetId="0">#REF!</definedName>
    <definedName name="ACCNT_41" localSheetId="4">#REF!</definedName>
    <definedName name="ACCNT_41" localSheetId="3">#REF!</definedName>
    <definedName name="ACCNT_41" localSheetId="5">#REF!</definedName>
    <definedName name="ACCNT_41">#REF!</definedName>
    <definedName name="ACCNT_41.1" localSheetId="2">#REF!</definedName>
    <definedName name="ACCNT_41.1" localSheetId="1">#REF!</definedName>
    <definedName name="ACCNT_41.1" localSheetId="0">#REF!</definedName>
    <definedName name="ACCNT_41.1" localSheetId="4">#REF!</definedName>
    <definedName name="ACCNT_41.1" localSheetId="3">#REF!</definedName>
    <definedName name="ACCNT_41.1" localSheetId="5">#REF!</definedName>
    <definedName name="ACCNT_41.1">#REF!</definedName>
    <definedName name="ACCNT_42" localSheetId="2">#REF!</definedName>
    <definedName name="ACCNT_42" localSheetId="1">#REF!</definedName>
    <definedName name="ACCNT_42" localSheetId="0">#REF!</definedName>
    <definedName name="ACCNT_42" localSheetId="4">#REF!</definedName>
    <definedName name="ACCNT_42" localSheetId="3">#REF!</definedName>
    <definedName name="ACCNT_42" localSheetId="5">#REF!</definedName>
    <definedName name="ACCNT_42">#REF!</definedName>
    <definedName name="ACCNT_43" localSheetId="2">#REF!</definedName>
    <definedName name="ACCNT_43" localSheetId="1">#REF!</definedName>
    <definedName name="ACCNT_43" localSheetId="0">#REF!</definedName>
    <definedName name="ACCNT_43" localSheetId="4">#REF!</definedName>
    <definedName name="ACCNT_43" localSheetId="3">#REF!</definedName>
    <definedName name="ACCNT_43" localSheetId="5">#REF!</definedName>
    <definedName name="ACCNT_43">#REF!</definedName>
    <definedName name="ACCNT_44" localSheetId="2">#REF!</definedName>
    <definedName name="ACCNT_44" localSheetId="1">#REF!</definedName>
    <definedName name="ACCNT_44" localSheetId="0">#REF!</definedName>
    <definedName name="ACCNT_44" localSheetId="4">#REF!</definedName>
    <definedName name="ACCNT_44" localSheetId="3">#REF!</definedName>
    <definedName name="ACCNT_44" localSheetId="5">#REF!</definedName>
    <definedName name="ACCNT_44">#REF!</definedName>
    <definedName name="ACCNT_45" localSheetId="2">#REF!</definedName>
    <definedName name="ACCNT_45" localSheetId="1">#REF!</definedName>
    <definedName name="ACCNT_45" localSheetId="0">#REF!</definedName>
    <definedName name="ACCNT_45" localSheetId="4">#REF!</definedName>
    <definedName name="ACCNT_45" localSheetId="3">#REF!</definedName>
    <definedName name="ACCNT_45" localSheetId="5">#REF!</definedName>
    <definedName name="ACCNT_45">#REF!</definedName>
    <definedName name="ACCNT_46" localSheetId="2">#REF!</definedName>
    <definedName name="ACCNT_46" localSheetId="1">#REF!</definedName>
    <definedName name="ACCNT_46" localSheetId="0">#REF!</definedName>
    <definedName name="ACCNT_46" localSheetId="4">#REF!</definedName>
    <definedName name="ACCNT_46" localSheetId="3">#REF!</definedName>
    <definedName name="ACCNT_46" localSheetId="5">#REF!</definedName>
    <definedName name="ACCNT_46">#REF!</definedName>
    <definedName name="ACCNT_47" localSheetId="2">#REF!</definedName>
    <definedName name="ACCNT_47" localSheetId="1">#REF!</definedName>
    <definedName name="ACCNT_47" localSheetId="0">#REF!</definedName>
    <definedName name="ACCNT_47" localSheetId="4">#REF!</definedName>
    <definedName name="ACCNT_47" localSheetId="3">#REF!</definedName>
    <definedName name="ACCNT_47" localSheetId="5">#REF!</definedName>
    <definedName name="ACCNT_47">#REF!</definedName>
    <definedName name="ACCNT_47.1" localSheetId="2">#REF!</definedName>
    <definedName name="ACCNT_47.1" localSheetId="1">#REF!</definedName>
    <definedName name="ACCNT_47.1" localSheetId="0">#REF!</definedName>
    <definedName name="ACCNT_47.1" localSheetId="4">#REF!</definedName>
    <definedName name="ACCNT_47.1" localSheetId="3">#REF!</definedName>
    <definedName name="ACCNT_47.1" localSheetId="5">#REF!</definedName>
    <definedName name="ACCNT_47.1">#REF!</definedName>
    <definedName name="ACCNT_47.3" localSheetId="2">#REF!</definedName>
    <definedName name="ACCNT_47.3" localSheetId="1">#REF!</definedName>
    <definedName name="ACCNT_47.3" localSheetId="0">#REF!</definedName>
    <definedName name="ACCNT_47.3" localSheetId="4">#REF!</definedName>
    <definedName name="ACCNT_47.3" localSheetId="3">#REF!</definedName>
    <definedName name="ACCNT_47.3" localSheetId="5">#REF!</definedName>
    <definedName name="ACCNT_47.3">#REF!</definedName>
    <definedName name="ACCNT_47.4" localSheetId="2">#REF!</definedName>
    <definedName name="ACCNT_47.4" localSheetId="1">#REF!</definedName>
    <definedName name="ACCNT_47.4" localSheetId="0">#REF!</definedName>
    <definedName name="ACCNT_47.4" localSheetId="4">#REF!</definedName>
    <definedName name="ACCNT_47.4" localSheetId="3">#REF!</definedName>
    <definedName name="ACCNT_47.4" localSheetId="5">#REF!</definedName>
    <definedName name="ACCNT_47.4">#REF!</definedName>
    <definedName name="ACCNT_47.8" localSheetId="2">#REF!</definedName>
    <definedName name="ACCNT_47.8" localSheetId="1">#REF!</definedName>
    <definedName name="ACCNT_47.8" localSheetId="0">#REF!</definedName>
    <definedName name="ACCNT_47.8" localSheetId="4">#REF!</definedName>
    <definedName name="ACCNT_47.8" localSheetId="3">#REF!</definedName>
    <definedName name="ACCNT_47.8" localSheetId="5">#REF!</definedName>
    <definedName name="ACCNT_47.8">#REF!</definedName>
    <definedName name="ACCNT_48" localSheetId="2">#REF!</definedName>
    <definedName name="ACCNT_48" localSheetId="1">#REF!</definedName>
    <definedName name="ACCNT_48" localSheetId="0">#REF!</definedName>
    <definedName name="ACCNT_48" localSheetId="4">#REF!</definedName>
    <definedName name="ACCNT_48" localSheetId="3">#REF!</definedName>
    <definedName name="ACCNT_48" localSheetId="5">#REF!</definedName>
    <definedName name="ACCNT_48">#REF!</definedName>
    <definedName name="ACCNT_48.5" localSheetId="2">#REF!</definedName>
    <definedName name="ACCNT_48.5" localSheetId="1">#REF!</definedName>
    <definedName name="ACCNT_48.5" localSheetId="0">#REF!</definedName>
    <definedName name="ACCNT_48.5" localSheetId="4">#REF!</definedName>
    <definedName name="ACCNT_48.5" localSheetId="3">#REF!</definedName>
    <definedName name="ACCNT_48.5" localSheetId="5">#REF!</definedName>
    <definedName name="ACCNT_48.5">#REF!</definedName>
    <definedName name="ACCNT_48.9" localSheetId="2">#REF!</definedName>
    <definedName name="ACCNT_48.9" localSheetId="1">#REF!</definedName>
    <definedName name="ACCNT_48.9" localSheetId="0">#REF!</definedName>
    <definedName name="ACCNT_48.9" localSheetId="4">#REF!</definedName>
    <definedName name="ACCNT_48.9" localSheetId="3">#REF!</definedName>
    <definedName name="ACCNT_48.9" localSheetId="5">#REF!</definedName>
    <definedName name="ACCNT_48.9">#REF!</definedName>
    <definedName name="ACCNT_49" localSheetId="2">#REF!</definedName>
    <definedName name="ACCNT_49" localSheetId="1">#REF!</definedName>
    <definedName name="ACCNT_49" localSheetId="0">#REF!</definedName>
    <definedName name="ACCNT_49" localSheetId="4">#REF!</definedName>
    <definedName name="ACCNT_49" localSheetId="3">#REF!</definedName>
    <definedName name="ACCNT_49" localSheetId="5">#REF!</definedName>
    <definedName name="ACCNT_49">#REF!</definedName>
    <definedName name="ACCNT_50" localSheetId="2">#REF!</definedName>
    <definedName name="ACCNT_50" localSheetId="1">#REF!</definedName>
    <definedName name="ACCNT_50" localSheetId="0">#REF!</definedName>
    <definedName name="ACCNT_50" localSheetId="4">#REF!</definedName>
    <definedName name="ACCNT_50" localSheetId="3">#REF!</definedName>
    <definedName name="ACCNT_50" localSheetId="5">#REF!</definedName>
    <definedName name="ACCNT_50">#REF!</definedName>
    <definedName name="ACCNT_50_54_AF_YARD" localSheetId="2">#REF!</definedName>
    <definedName name="ACCNT_50_54_AF_YARD" localSheetId="1">#REF!</definedName>
    <definedName name="ACCNT_50_54_AF_YARD" localSheetId="0">#REF!</definedName>
    <definedName name="ACCNT_50_54_AF_YARD" localSheetId="4">#REF!</definedName>
    <definedName name="ACCNT_50_54_AF_YARD" localSheetId="3">#REF!</definedName>
    <definedName name="ACCNT_50_54_AF_YARD" localSheetId="5">#REF!</definedName>
    <definedName name="ACCNT_50_54_AF_YARD">#REF!</definedName>
    <definedName name="ACCNT_50_54_AFPB" localSheetId="2">#REF!</definedName>
    <definedName name="ACCNT_50_54_AFPB" localSheetId="1">#REF!</definedName>
    <definedName name="ACCNT_50_54_AFPB" localSheetId="0">#REF!</definedName>
    <definedName name="ACCNT_50_54_AFPB" localSheetId="4">#REF!</definedName>
    <definedName name="ACCNT_50_54_AFPB" localSheetId="3">#REF!</definedName>
    <definedName name="ACCNT_50_54_AFPB" localSheetId="5">#REF!</definedName>
    <definedName name="ACCNT_50_54_AFPB">#REF!</definedName>
    <definedName name="ACCNT_50_54_C1PB" localSheetId="2">#REF!</definedName>
    <definedName name="ACCNT_50_54_C1PB" localSheetId="1">#REF!</definedName>
    <definedName name="ACCNT_50_54_C1PB" localSheetId="0">#REF!</definedName>
    <definedName name="ACCNT_50_54_C1PB" localSheetId="4">#REF!</definedName>
    <definedName name="ACCNT_50_54_C1PB" localSheetId="3">#REF!</definedName>
    <definedName name="ACCNT_50_54_C1PB" localSheetId="5">#REF!</definedName>
    <definedName name="ACCNT_50_54_C1PB">#REF!</definedName>
    <definedName name="ACCNT_50_54_C1YARD" localSheetId="2">#REF!</definedName>
    <definedName name="ACCNT_50_54_C1YARD" localSheetId="1">#REF!</definedName>
    <definedName name="ACCNT_50_54_C1YARD" localSheetId="0">#REF!</definedName>
    <definedName name="ACCNT_50_54_C1YARD" localSheetId="4">#REF!</definedName>
    <definedName name="ACCNT_50_54_C1YARD" localSheetId="3">#REF!</definedName>
    <definedName name="ACCNT_50_54_C1YARD" localSheetId="5">#REF!</definedName>
    <definedName name="ACCNT_50_54_C1YARD">#REF!</definedName>
    <definedName name="ACCNT_50_54_CPB" localSheetId="2">#REF!</definedName>
    <definedName name="ACCNT_50_54_CPB" localSheetId="1">#REF!</definedName>
    <definedName name="ACCNT_50_54_CPB" localSheetId="0">#REF!</definedName>
    <definedName name="ACCNT_50_54_CPB" localSheetId="4">#REF!</definedName>
    <definedName name="ACCNT_50_54_CPB" localSheetId="3">#REF!</definedName>
    <definedName name="ACCNT_50_54_CPB" localSheetId="5">#REF!</definedName>
    <definedName name="ACCNT_50_54_CPB">#REF!</definedName>
    <definedName name="ACCNT_50_54_CRPB" localSheetId="2">#REF!</definedName>
    <definedName name="ACCNT_50_54_CRPB" localSheetId="1">#REF!</definedName>
    <definedName name="ACCNT_50_54_CRPB" localSheetId="0">#REF!</definedName>
    <definedName name="ACCNT_50_54_CRPB" localSheetId="4">#REF!</definedName>
    <definedName name="ACCNT_50_54_CRPB" localSheetId="3">#REF!</definedName>
    <definedName name="ACCNT_50_54_CRPB" localSheetId="5">#REF!</definedName>
    <definedName name="ACCNT_50_54_CRPB">#REF!</definedName>
    <definedName name="ACCNT_50_54_CRPB_HG" localSheetId="2">#REF!</definedName>
    <definedName name="ACCNT_50_54_CRPB_HG" localSheetId="1">#REF!</definedName>
    <definedName name="ACCNT_50_54_CRPB_HG" localSheetId="0">#REF!</definedName>
    <definedName name="ACCNT_50_54_CRPB_HG" localSheetId="4">#REF!</definedName>
    <definedName name="ACCNT_50_54_CRPB_HG" localSheetId="3">#REF!</definedName>
    <definedName name="ACCNT_50_54_CRPB_HG" localSheetId="5">#REF!</definedName>
    <definedName name="ACCNT_50_54_CRPB_HG">#REF!</definedName>
    <definedName name="ACCNT_50_54_CRPBAG" localSheetId="2">#REF!</definedName>
    <definedName name="ACCNT_50_54_CRPBAG" localSheetId="1">#REF!</definedName>
    <definedName name="ACCNT_50_54_CRPBAG" localSheetId="0">#REF!</definedName>
    <definedName name="ACCNT_50_54_CRPBAG" localSheetId="4">#REF!</definedName>
    <definedName name="ACCNT_50_54_CRPBAG" localSheetId="3">#REF!</definedName>
    <definedName name="ACCNT_50_54_CRPBAG" localSheetId="5">#REF!</definedName>
    <definedName name="ACCNT_50_54_CRPBAG">#REF!</definedName>
    <definedName name="ACCNT_50_54_CRYARDAG" localSheetId="2">#REF!</definedName>
    <definedName name="ACCNT_50_54_CRYARDAG" localSheetId="1">#REF!</definedName>
    <definedName name="ACCNT_50_54_CRYARDAG" localSheetId="0">#REF!</definedName>
    <definedName name="ACCNT_50_54_CRYARDAG" localSheetId="4">#REF!</definedName>
    <definedName name="ACCNT_50_54_CRYARDAG" localSheetId="3">#REF!</definedName>
    <definedName name="ACCNT_50_54_CRYARDAG" localSheetId="5">#REF!</definedName>
    <definedName name="ACCNT_50_54_CRYARDAG">#REF!</definedName>
    <definedName name="ACCNT_50_54_CYARD" localSheetId="2">#REF!</definedName>
    <definedName name="ACCNT_50_54_CYARD" localSheetId="1">#REF!</definedName>
    <definedName name="ACCNT_50_54_CYARD" localSheetId="0">#REF!</definedName>
    <definedName name="ACCNT_50_54_CYARD" localSheetId="4">#REF!</definedName>
    <definedName name="ACCNT_50_54_CYARD" localSheetId="3">#REF!</definedName>
    <definedName name="ACCNT_50_54_CYARD" localSheetId="5">#REF!</definedName>
    <definedName name="ACCNT_50_54_CYARD">#REF!</definedName>
    <definedName name="ACCNT_50_54_HISTORY" localSheetId="2">#REF!</definedName>
    <definedName name="ACCNT_50_54_HISTORY" localSheetId="1">#REF!</definedName>
    <definedName name="ACCNT_50_54_HISTORY" localSheetId="0">#REF!</definedName>
    <definedName name="ACCNT_50_54_HISTORY" localSheetId="4">#REF!</definedName>
    <definedName name="ACCNT_50_54_HISTORY" localSheetId="3">#REF!</definedName>
    <definedName name="ACCNT_50_54_HISTORY" localSheetId="5">#REF!</definedName>
    <definedName name="ACCNT_50_54_HISTORY">#REF!</definedName>
    <definedName name="ACCNT_50_54_KPB" localSheetId="2">#REF!</definedName>
    <definedName name="ACCNT_50_54_KPB" localSheetId="1">#REF!</definedName>
    <definedName name="ACCNT_50_54_KPB" localSheetId="0">#REF!</definedName>
    <definedName name="ACCNT_50_54_KPB" localSheetId="4">#REF!</definedName>
    <definedName name="ACCNT_50_54_KPB" localSheetId="3">#REF!</definedName>
    <definedName name="ACCNT_50_54_KPB" localSheetId="5">#REF!</definedName>
    <definedName name="ACCNT_50_54_KPB">#REF!</definedName>
    <definedName name="ACCNT_50_54_KYARD" localSheetId="2">#REF!</definedName>
    <definedName name="ACCNT_50_54_KYARD" localSheetId="1">#REF!</definedName>
    <definedName name="ACCNT_50_54_KYARD" localSheetId="0">#REF!</definedName>
    <definedName name="ACCNT_50_54_KYARD" localSheetId="4">#REF!</definedName>
    <definedName name="ACCNT_50_54_KYARD" localSheetId="3">#REF!</definedName>
    <definedName name="ACCNT_50_54_KYARD" localSheetId="5">#REF!</definedName>
    <definedName name="ACCNT_50_54_KYARD">#REF!</definedName>
    <definedName name="ACCNT_50_54_LBAG" localSheetId="2">#REF!</definedName>
    <definedName name="ACCNT_50_54_LBAG" localSheetId="1">#REF!</definedName>
    <definedName name="ACCNT_50_54_LBAG" localSheetId="0">#REF!</definedName>
    <definedName name="ACCNT_50_54_LBAG" localSheetId="4">#REF!</definedName>
    <definedName name="ACCNT_50_54_LBAG" localSheetId="3">#REF!</definedName>
    <definedName name="ACCNT_50_54_LBAG" localSheetId="5">#REF!</definedName>
    <definedName name="ACCNT_50_54_LBAG">#REF!</definedName>
    <definedName name="ACCNT_50_54_OFFSITE" localSheetId="2">#REF!</definedName>
    <definedName name="ACCNT_50_54_OFFSITE" localSheetId="1">#REF!</definedName>
    <definedName name="ACCNT_50_54_OFFSITE" localSheetId="0">#REF!</definedName>
    <definedName name="ACCNT_50_54_OFFSITE" localSheetId="4">#REF!</definedName>
    <definedName name="ACCNT_50_54_OFFSITE" localSheetId="3">#REF!</definedName>
    <definedName name="ACCNT_50_54_OFFSITE" localSheetId="5">#REF!</definedName>
    <definedName name="ACCNT_50_54_OFFSITE">#REF!</definedName>
    <definedName name="ACCNT_50_54_PAINT" localSheetId="2">#REF!</definedName>
    <definedName name="ACCNT_50_54_PAINT" localSheetId="1">#REF!</definedName>
    <definedName name="ACCNT_50_54_PAINT" localSheetId="0">#REF!</definedName>
    <definedName name="ACCNT_50_54_PAINT" localSheetId="4">#REF!</definedName>
    <definedName name="ACCNT_50_54_PAINT" localSheetId="3">#REF!</definedName>
    <definedName name="ACCNT_50_54_PAINT" localSheetId="5">#REF!</definedName>
    <definedName name="ACCNT_50_54_PAINT">#REF!</definedName>
    <definedName name="ACCNT_50_54_PB" localSheetId="2">#REF!</definedName>
    <definedName name="ACCNT_50_54_PB" localSheetId="1">#REF!</definedName>
    <definedName name="ACCNT_50_54_PB" localSheetId="0">#REF!</definedName>
    <definedName name="ACCNT_50_54_PB" localSheetId="4">#REF!</definedName>
    <definedName name="ACCNT_50_54_PB" localSheetId="3">#REF!</definedName>
    <definedName name="ACCNT_50_54_PB" localSheetId="5">#REF!</definedName>
    <definedName name="ACCNT_50_54_PB">#REF!</definedName>
    <definedName name="ACCNT_50_54_PBAG" localSheetId="2">#REF!</definedName>
    <definedName name="ACCNT_50_54_PBAG" localSheetId="1">#REF!</definedName>
    <definedName name="ACCNT_50_54_PBAG" localSheetId="0">#REF!</definedName>
    <definedName name="ACCNT_50_54_PBAG" localSheetId="4">#REF!</definedName>
    <definedName name="ACCNT_50_54_PBAG" localSheetId="3">#REF!</definedName>
    <definedName name="ACCNT_50_54_PBAG" localSheetId="5">#REF!</definedName>
    <definedName name="ACCNT_50_54_PBAG">#REF!</definedName>
    <definedName name="ACCNT_50_54_SPB" localSheetId="2">#REF!</definedName>
    <definedName name="ACCNT_50_54_SPB" localSheetId="1">#REF!</definedName>
    <definedName name="ACCNT_50_54_SPB" localSheetId="0">#REF!</definedName>
    <definedName name="ACCNT_50_54_SPB" localSheetId="4">#REF!</definedName>
    <definedName name="ACCNT_50_54_SPB" localSheetId="3">#REF!</definedName>
    <definedName name="ACCNT_50_54_SPB" localSheetId="5">#REF!</definedName>
    <definedName name="ACCNT_50_54_SPB">#REF!</definedName>
    <definedName name="ACCNT_50_54_SPPB" localSheetId="2">#REF!</definedName>
    <definedName name="ACCNT_50_54_SPPB" localSheetId="1">#REF!</definedName>
    <definedName name="ACCNT_50_54_SPPB" localSheetId="0">#REF!</definedName>
    <definedName name="ACCNT_50_54_SPPB" localSheetId="4">#REF!</definedName>
    <definedName name="ACCNT_50_54_SPPB" localSheetId="3">#REF!</definedName>
    <definedName name="ACCNT_50_54_SPPB" localSheetId="5">#REF!</definedName>
    <definedName name="ACCNT_50_54_SPPB">#REF!</definedName>
    <definedName name="ACCNT_50_54_SPYARD" localSheetId="2">#REF!</definedName>
    <definedName name="ACCNT_50_54_SPYARD" localSheetId="1">#REF!</definedName>
    <definedName name="ACCNT_50_54_SPYARD" localSheetId="0">#REF!</definedName>
    <definedName name="ACCNT_50_54_SPYARD" localSheetId="4">#REF!</definedName>
    <definedName name="ACCNT_50_54_SPYARD" localSheetId="3">#REF!</definedName>
    <definedName name="ACCNT_50_54_SPYARD" localSheetId="5">#REF!</definedName>
    <definedName name="ACCNT_50_54_SPYARD">#REF!</definedName>
    <definedName name="ACCNT_50_54_SYARD" localSheetId="2">#REF!</definedName>
    <definedName name="ACCNT_50_54_SYARD" localSheetId="1">#REF!</definedName>
    <definedName name="ACCNT_50_54_SYARD" localSheetId="0">#REF!</definedName>
    <definedName name="ACCNT_50_54_SYARD" localSheetId="4">#REF!</definedName>
    <definedName name="ACCNT_50_54_SYARD" localSheetId="3">#REF!</definedName>
    <definedName name="ACCNT_50_54_SYARD" localSheetId="5">#REF!</definedName>
    <definedName name="ACCNT_50_54_SYARD">#REF!</definedName>
    <definedName name="ACCNT_50_54_YARD" localSheetId="2">#REF!</definedName>
    <definedName name="ACCNT_50_54_YARD" localSheetId="1">#REF!</definedName>
    <definedName name="ACCNT_50_54_YARD" localSheetId="0">#REF!</definedName>
    <definedName name="ACCNT_50_54_YARD" localSheetId="4">#REF!</definedName>
    <definedName name="ACCNT_50_54_YARD" localSheetId="3">#REF!</definedName>
    <definedName name="ACCNT_50_54_YARD" localSheetId="5">#REF!</definedName>
    <definedName name="ACCNT_50_54_YARD">#REF!</definedName>
    <definedName name="ACCNT_50_54_YARDAG" localSheetId="2">#REF!</definedName>
    <definedName name="ACCNT_50_54_YARDAG" localSheetId="1">#REF!</definedName>
    <definedName name="ACCNT_50_54_YARDAG" localSheetId="0">#REF!</definedName>
    <definedName name="ACCNT_50_54_YARDAG" localSheetId="4">#REF!</definedName>
    <definedName name="ACCNT_50_54_YARDAG" localSheetId="3">#REF!</definedName>
    <definedName name="ACCNT_50_54_YARDAG" localSheetId="5">#REF!</definedName>
    <definedName name="ACCNT_50_54_YARDAG">#REF!</definedName>
    <definedName name="ACCNT_51.6" localSheetId="2">#REF!</definedName>
    <definedName name="ACCNT_51.6" localSheetId="1">#REF!</definedName>
    <definedName name="ACCNT_51.6" localSheetId="0">#REF!</definedName>
    <definedName name="ACCNT_51.6" localSheetId="4">#REF!</definedName>
    <definedName name="ACCNT_51.6" localSheetId="3">#REF!</definedName>
    <definedName name="ACCNT_51.6" localSheetId="5">#REF!</definedName>
    <definedName name="ACCNT_51.6">#REF!</definedName>
    <definedName name="ACCNT_51.7" localSheetId="2">#REF!</definedName>
    <definedName name="ACCNT_51.7" localSheetId="1">#REF!</definedName>
    <definedName name="ACCNT_51.7" localSheetId="0">#REF!</definedName>
    <definedName name="ACCNT_51.7" localSheetId="4">#REF!</definedName>
    <definedName name="ACCNT_51.7" localSheetId="3">#REF!</definedName>
    <definedName name="ACCNT_51.7" localSheetId="5">#REF!</definedName>
    <definedName name="ACCNT_51.7">#REF!</definedName>
    <definedName name="ACCNT_51.8" localSheetId="2">#REF!</definedName>
    <definedName name="ACCNT_51.8" localSheetId="1">#REF!</definedName>
    <definedName name="ACCNT_51.8" localSheetId="0">#REF!</definedName>
    <definedName name="ACCNT_51.8" localSheetId="4">#REF!</definedName>
    <definedName name="ACCNT_51.8" localSheetId="3">#REF!</definedName>
    <definedName name="ACCNT_51.8" localSheetId="5">#REF!</definedName>
    <definedName name="ACCNT_51.8">#REF!</definedName>
    <definedName name="ACCNT_51BOP" localSheetId="2">#REF!</definedName>
    <definedName name="ACCNT_51BOP" localSheetId="1">#REF!</definedName>
    <definedName name="ACCNT_51BOP" localSheetId="0">#REF!</definedName>
    <definedName name="ACCNT_51BOP" localSheetId="4">#REF!</definedName>
    <definedName name="ACCNT_51BOP" localSheetId="3">#REF!</definedName>
    <definedName name="ACCNT_51BOP" localSheetId="5">#REF!</definedName>
    <definedName name="ACCNT_51BOP">#REF!</definedName>
    <definedName name="ACCNT_51HP" localSheetId="2">#REF!</definedName>
    <definedName name="ACCNT_51HP" localSheetId="1">#REF!</definedName>
    <definedName name="ACCNT_51HP" localSheetId="0">#REF!</definedName>
    <definedName name="ACCNT_51HP" localSheetId="4">#REF!</definedName>
    <definedName name="ACCNT_51HP" localSheetId="3">#REF!</definedName>
    <definedName name="ACCNT_51HP" localSheetId="5">#REF!</definedName>
    <definedName name="ACCNT_51HP">#REF!</definedName>
    <definedName name="ACCNT_51OFFSITE" localSheetId="2">#REF!</definedName>
    <definedName name="ACCNT_51OFFSITE" localSheetId="1">#REF!</definedName>
    <definedName name="ACCNT_51OFFSITE" localSheetId="0">#REF!</definedName>
    <definedName name="ACCNT_51OFFSITE" localSheetId="4">#REF!</definedName>
    <definedName name="ACCNT_51OFFSITE" localSheetId="3">#REF!</definedName>
    <definedName name="ACCNT_51OFFSITE" localSheetId="5">#REF!</definedName>
    <definedName name="ACCNT_51OFFSITE">#REF!</definedName>
    <definedName name="ACCNT_51YARD" localSheetId="2">#REF!</definedName>
    <definedName name="ACCNT_51YARD" localSheetId="1">#REF!</definedName>
    <definedName name="ACCNT_51YARD" localSheetId="0">#REF!</definedName>
    <definedName name="ACCNT_51YARD" localSheetId="4">#REF!</definedName>
    <definedName name="ACCNT_51YARD" localSheetId="3">#REF!</definedName>
    <definedName name="ACCNT_51YARD" localSheetId="5">#REF!</definedName>
    <definedName name="ACCNT_51YARD">#REF!</definedName>
    <definedName name="ACCNT_52BOP" localSheetId="2">#REF!</definedName>
    <definedName name="ACCNT_52BOP" localSheetId="1">#REF!</definedName>
    <definedName name="ACCNT_52BOP" localSheetId="0">#REF!</definedName>
    <definedName name="ACCNT_52BOP" localSheetId="4">#REF!</definedName>
    <definedName name="ACCNT_52BOP" localSheetId="3">#REF!</definedName>
    <definedName name="ACCNT_52BOP" localSheetId="5">#REF!</definedName>
    <definedName name="ACCNT_52BOP">#REF!</definedName>
    <definedName name="ACCNT_52HP" localSheetId="2">#REF!</definedName>
    <definedName name="ACCNT_52HP" localSheetId="1">#REF!</definedName>
    <definedName name="ACCNT_52HP" localSheetId="0">#REF!</definedName>
    <definedName name="ACCNT_52HP" localSheetId="4">#REF!</definedName>
    <definedName name="ACCNT_52HP" localSheetId="3">#REF!</definedName>
    <definedName name="ACCNT_52HP" localSheetId="5">#REF!</definedName>
    <definedName name="ACCNT_52HP">#REF!</definedName>
    <definedName name="ACCNT_52OFFSITE" localSheetId="2">#REF!</definedName>
    <definedName name="ACCNT_52OFFSITE" localSheetId="1">#REF!</definedName>
    <definedName name="ACCNT_52OFFSITE" localSheetId="0">#REF!</definedName>
    <definedName name="ACCNT_52OFFSITE" localSheetId="4">#REF!</definedName>
    <definedName name="ACCNT_52OFFSITE" localSheetId="3">#REF!</definedName>
    <definedName name="ACCNT_52OFFSITE" localSheetId="5">#REF!</definedName>
    <definedName name="ACCNT_52OFFSITE">#REF!</definedName>
    <definedName name="ACCNT_52YARD" localSheetId="2">#REF!</definedName>
    <definedName name="ACCNT_52YARD" localSheetId="1">#REF!</definedName>
    <definedName name="ACCNT_52YARD" localSheetId="0">#REF!</definedName>
    <definedName name="ACCNT_52YARD" localSheetId="4">#REF!</definedName>
    <definedName name="ACCNT_52YARD" localSheetId="3">#REF!</definedName>
    <definedName name="ACCNT_52YARD" localSheetId="5">#REF!</definedName>
    <definedName name="ACCNT_52YARD">#REF!</definedName>
    <definedName name="ACCNT_53" localSheetId="2">#REF!</definedName>
    <definedName name="ACCNT_53" localSheetId="1">#REF!</definedName>
    <definedName name="ACCNT_53" localSheetId="0">#REF!</definedName>
    <definedName name="ACCNT_53" localSheetId="4">#REF!</definedName>
    <definedName name="ACCNT_53" localSheetId="3">#REF!</definedName>
    <definedName name="ACCNT_53" localSheetId="5">#REF!</definedName>
    <definedName name="ACCNT_53">#REF!</definedName>
    <definedName name="ACCNT_54" localSheetId="2">#REF!</definedName>
    <definedName name="ACCNT_54" localSheetId="1">#REF!</definedName>
    <definedName name="ACCNT_54" localSheetId="0">#REF!</definedName>
    <definedName name="ACCNT_54" localSheetId="4">#REF!</definedName>
    <definedName name="ACCNT_54" localSheetId="3">#REF!</definedName>
    <definedName name="ACCNT_54" localSheetId="5">#REF!</definedName>
    <definedName name="ACCNT_54">#REF!</definedName>
    <definedName name="ACCNT_54.1" localSheetId="2">#REF!</definedName>
    <definedName name="ACCNT_54.1" localSheetId="1">#REF!</definedName>
    <definedName name="ACCNT_54.1" localSheetId="0">#REF!</definedName>
    <definedName name="ACCNT_54.1" localSheetId="4">#REF!</definedName>
    <definedName name="ACCNT_54.1" localSheetId="3">#REF!</definedName>
    <definedName name="ACCNT_54.1" localSheetId="5">#REF!</definedName>
    <definedName name="ACCNT_54.1">#REF!</definedName>
    <definedName name="ACCNT_54.11" localSheetId="2">#REF!</definedName>
    <definedName name="ACCNT_54.11" localSheetId="1">#REF!</definedName>
    <definedName name="ACCNT_54.11" localSheetId="0">#REF!</definedName>
    <definedName name="ACCNT_54.11" localSheetId="4">#REF!</definedName>
    <definedName name="ACCNT_54.11" localSheetId="3">#REF!</definedName>
    <definedName name="ACCNT_54.11" localSheetId="5">#REF!</definedName>
    <definedName name="ACCNT_54.11">#REF!</definedName>
    <definedName name="ACCNT_54.12" localSheetId="2">#REF!</definedName>
    <definedName name="ACCNT_54.12" localSheetId="1">#REF!</definedName>
    <definedName name="ACCNT_54.12" localSheetId="0">#REF!</definedName>
    <definedName name="ACCNT_54.12" localSheetId="4">#REF!</definedName>
    <definedName name="ACCNT_54.12" localSheetId="3">#REF!</definedName>
    <definedName name="ACCNT_54.12" localSheetId="5">#REF!</definedName>
    <definedName name="ACCNT_54.12">#REF!</definedName>
    <definedName name="ACCNT_54.13" localSheetId="2">#REF!</definedName>
    <definedName name="ACCNT_54.13" localSheetId="1">#REF!</definedName>
    <definedName name="ACCNT_54.13" localSheetId="0">#REF!</definedName>
    <definedName name="ACCNT_54.13" localSheetId="4">#REF!</definedName>
    <definedName name="ACCNT_54.13" localSheetId="3">#REF!</definedName>
    <definedName name="ACCNT_54.13" localSheetId="5">#REF!</definedName>
    <definedName name="ACCNT_54.13">#REF!</definedName>
    <definedName name="ACCNT_54.14" localSheetId="2">#REF!</definedName>
    <definedName name="ACCNT_54.14" localSheetId="1">#REF!</definedName>
    <definedName name="ACCNT_54.14" localSheetId="0">#REF!</definedName>
    <definedName name="ACCNT_54.14" localSheetId="4">#REF!</definedName>
    <definedName name="ACCNT_54.14" localSheetId="3">#REF!</definedName>
    <definedName name="ACCNT_54.14" localSheetId="5">#REF!</definedName>
    <definedName name="ACCNT_54.14">#REF!</definedName>
    <definedName name="ACCNT_54.15" localSheetId="2">#REF!</definedName>
    <definedName name="ACCNT_54.15" localSheetId="1">#REF!</definedName>
    <definedName name="ACCNT_54.15" localSheetId="0">#REF!</definedName>
    <definedName name="ACCNT_54.15" localSheetId="4">#REF!</definedName>
    <definedName name="ACCNT_54.15" localSheetId="3">#REF!</definedName>
    <definedName name="ACCNT_54.15" localSheetId="5">#REF!</definedName>
    <definedName name="ACCNT_54.15">#REF!</definedName>
    <definedName name="ACCNT_54.19" localSheetId="2">#REF!</definedName>
    <definedName name="ACCNT_54.19" localSheetId="1">#REF!</definedName>
    <definedName name="ACCNT_54.19" localSheetId="0">#REF!</definedName>
    <definedName name="ACCNT_54.19" localSheetId="4">#REF!</definedName>
    <definedName name="ACCNT_54.19" localSheetId="3">#REF!</definedName>
    <definedName name="ACCNT_54.19" localSheetId="5">#REF!</definedName>
    <definedName name="ACCNT_54.19">#REF!</definedName>
    <definedName name="ACCNT_54.9" localSheetId="2">#REF!</definedName>
    <definedName name="ACCNT_54.9" localSheetId="1">#REF!</definedName>
    <definedName name="ACCNT_54.9" localSheetId="0">#REF!</definedName>
    <definedName name="ACCNT_54.9" localSheetId="4">#REF!</definedName>
    <definedName name="ACCNT_54.9" localSheetId="3">#REF!</definedName>
    <definedName name="ACCNT_54.9" localSheetId="5">#REF!</definedName>
    <definedName name="ACCNT_54.9">#REF!</definedName>
    <definedName name="ACCNT_55" localSheetId="2">#REF!</definedName>
    <definedName name="ACCNT_55" localSheetId="1">#REF!</definedName>
    <definedName name="ACCNT_55" localSheetId="0">#REF!</definedName>
    <definedName name="ACCNT_55" localSheetId="4">#REF!</definedName>
    <definedName name="ACCNT_55" localSheetId="3">#REF!</definedName>
    <definedName name="ACCNT_55" localSheetId="5">#REF!</definedName>
    <definedName name="ACCNT_55">#REF!</definedName>
    <definedName name="ACCNT_55.1" localSheetId="2">#REF!</definedName>
    <definedName name="ACCNT_55.1" localSheetId="1">#REF!</definedName>
    <definedName name="ACCNT_55.1" localSheetId="0">#REF!</definedName>
    <definedName name="ACCNT_55.1" localSheetId="4">#REF!</definedName>
    <definedName name="ACCNT_55.1" localSheetId="3">#REF!</definedName>
    <definedName name="ACCNT_55.1" localSheetId="5">#REF!</definedName>
    <definedName name="ACCNT_55.1">#REF!</definedName>
    <definedName name="ACCNT_55.2" localSheetId="2">#REF!</definedName>
    <definedName name="ACCNT_55.2" localSheetId="1">#REF!</definedName>
    <definedName name="ACCNT_55.2" localSheetId="0">#REF!</definedName>
    <definedName name="ACCNT_55.2" localSheetId="4">#REF!</definedName>
    <definedName name="ACCNT_55.2" localSheetId="3">#REF!</definedName>
    <definedName name="ACCNT_55.2" localSheetId="5">#REF!</definedName>
    <definedName name="ACCNT_55.2">#REF!</definedName>
    <definedName name="ACCNT_55.3" localSheetId="2">#REF!</definedName>
    <definedName name="ACCNT_55.3" localSheetId="1">#REF!</definedName>
    <definedName name="ACCNT_55.3" localSheetId="0">#REF!</definedName>
    <definedName name="ACCNT_55.3" localSheetId="4">#REF!</definedName>
    <definedName name="ACCNT_55.3" localSheetId="3">#REF!</definedName>
    <definedName name="ACCNT_55.3" localSheetId="5">#REF!</definedName>
    <definedName name="ACCNT_55.3">#REF!</definedName>
    <definedName name="ACCNT_55.4" localSheetId="2">#REF!</definedName>
    <definedName name="ACCNT_55.4" localSheetId="1">#REF!</definedName>
    <definedName name="ACCNT_55.4" localSheetId="0">#REF!</definedName>
    <definedName name="ACCNT_55.4" localSheetId="4">#REF!</definedName>
    <definedName name="ACCNT_55.4" localSheetId="3">#REF!</definedName>
    <definedName name="ACCNT_55.4" localSheetId="5">#REF!</definedName>
    <definedName name="ACCNT_55.4">#REF!</definedName>
    <definedName name="ACCNT_55.5" localSheetId="2">#REF!</definedName>
    <definedName name="ACCNT_55.5" localSheetId="1">#REF!</definedName>
    <definedName name="ACCNT_55.5" localSheetId="0">#REF!</definedName>
    <definedName name="ACCNT_55.5" localSheetId="4">#REF!</definedName>
    <definedName name="ACCNT_55.5" localSheetId="3">#REF!</definedName>
    <definedName name="ACCNT_55.5" localSheetId="5">#REF!</definedName>
    <definedName name="ACCNT_55.5">#REF!</definedName>
    <definedName name="ACCNT_55.9" localSheetId="2">#REF!</definedName>
    <definedName name="ACCNT_55.9" localSheetId="1">#REF!</definedName>
    <definedName name="ACCNT_55.9" localSheetId="0">#REF!</definedName>
    <definedName name="ACCNT_55.9" localSheetId="4">#REF!</definedName>
    <definedName name="ACCNT_55.9" localSheetId="3">#REF!</definedName>
    <definedName name="ACCNT_55.9" localSheetId="5">#REF!</definedName>
    <definedName name="ACCNT_55.9">#REF!</definedName>
    <definedName name="ACCNT_55_DISCOUNT" localSheetId="2">#REF!</definedName>
    <definedName name="ACCNT_55_DISCOUNT" localSheetId="1">#REF!</definedName>
    <definedName name="ACCNT_55_DISCOUNT" localSheetId="0">#REF!</definedName>
    <definedName name="ACCNT_55_DISCOUNT" localSheetId="4">#REF!</definedName>
    <definedName name="ACCNT_55_DISCOUNT" localSheetId="3">#REF!</definedName>
    <definedName name="ACCNT_55_DISCOUNT" localSheetId="5">#REF!</definedName>
    <definedName name="ACCNT_55_DISCOUNT">#REF!</definedName>
    <definedName name="ACCNT_55_HANGER" localSheetId="2">#REF!</definedName>
    <definedName name="ACCNT_55_HANGER" localSheetId="1">#REF!</definedName>
    <definedName name="ACCNT_55_HANGER" localSheetId="0">#REF!</definedName>
    <definedName name="ACCNT_55_HANGER" localSheetId="4">#REF!</definedName>
    <definedName name="ACCNT_55_HANGER" localSheetId="3">#REF!</definedName>
    <definedName name="ACCNT_55_HANGER" localSheetId="5">#REF!</definedName>
    <definedName name="ACCNT_55_HANGER">#REF!</definedName>
    <definedName name="ACCNT_55_HISTCHK" localSheetId="2">#REF!</definedName>
    <definedName name="ACCNT_55_HISTCHK" localSheetId="1">#REF!</definedName>
    <definedName name="ACCNT_55_HISTCHK" localSheetId="0">#REF!</definedName>
    <definedName name="ACCNT_55_HISTCHK" localSheetId="4">#REF!</definedName>
    <definedName name="ACCNT_55_HISTCHK" localSheetId="3">#REF!</definedName>
    <definedName name="ACCNT_55_HISTCHK" localSheetId="5">#REF!</definedName>
    <definedName name="ACCNT_55_HISTCHK">#REF!</definedName>
    <definedName name="ACCNT_55_PAINT" localSheetId="2">#REF!</definedName>
    <definedName name="ACCNT_55_PAINT" localSheetId="1">#REF!</definedName>
    <definedName name="ACCNT_55_PAINT" localSheetId="0">#REF!</definedName>
    <definedName name="ACCNT_55_PAINT" localSheetId="4">#REF!</definedName>
    <definedName name="ACCNT_55_PAINT" localSheetId="3">#REF!</definedName>
    <definedName name="ACCNT_55_PAINT" localSheetId="5">#REF!</definedName>
    <definedName name="ACCNT_55_PAINT">#REF!</definedName>
    <definedName name="ACCNT_55_VALVES" localSheetId="2">#REF!</definedName>
    <definedName name="ACCNT_55_VALVES" localSheetId="1">#REF!</definedName>
    <definedName name="ACCNT_55_VALVES" localSheetId="0">#REF!</definedName>
    <definedName name="ACCNT_55_VALVES" localSheetId="4">#REF!</definedName>
    <definedName name="ACCNT_55_VALVES" localSheetId="3">#REF!</definedName>
    <definedName name="ACCNT_55_VALVES" localSheetId="5">#REF!</definedName>
    <definedName name="ACCNT_55_VALVES">#REF!</definedName>
    <definedName name="ACCNT_57" localSheetId="2">#REF!</definedName>
    <definedName name="ACCNT_57" localSheetId="1">#REF!</definedName>
    <definedName name="ACCNT_57" localSheetId="0">#REF!</definedName>
    <definedName name="ACCNT_57" localSheetId="4">#REF!</definedName>
    <definedName name="ACCNT_57" localSheetId="3">#REF!</definedName>
    <definedName name="ACCNT_57" localSheetId="5">#REF!</definedName>
    <definedName name="ACCNT_57">#REF!</definedName>
    <definedName name="ACCNT_57_AG" localSheetId="2">#REF!</definedName>
    <definedName name="ACCNT_57_AG" localSheetId="1">#REF!</definedName>
    <definedName name="ACCNT_57_AG" localSheetId="0">#REF!</definedName>
    <definedName name="ACCNT_57_AG" localSheetId="4">#REF!</definedName>
    <definedName name="ACCNT_57_AG" localSheetId="3">#REF!</definedName>
    <definedName name="ACCNT_57_AG" localSheetId="5">#REF!</definedName>
    <definedName name="ACCNT_57_AG">#REF!</definedName>
    <definedName name="ACCNT_58" localSheetId="2">#REF!</definedName>
    <definedName name="ACCNT_58" localSheetId="1">#REF!</definedName>
    <definedName name="ACCNT_58" localSheetId="0">#REF!</definedName>
    <definedName name="ACCNT_58" localSheetId="4">#REF!</definedName>
    <definedName name="ACCNT_58" localSheetId="3">#REF!</definedName>
    <definedName name="ACCNT_58" localSheetId="5">#REF!</definedName>
    <definedName name="ACCNT_58">#REF!</definedName>
    <definedName name="ACCNT_58.1" localSheetId="2">#REF!</definedName>
    <definedName name="ACCNT_58.1" localSheetId="1">#REF!</definedName>
    <definedName name="ACCNT_58.1" localSheetId="0">#REF!</definedName>
    <definedName name="ACCNT_58.1" localSheetId="4">#REF!</definedName>
    <definedName name="ACCNT_58.1" localSheetId="3">#REF!</definedName>
    <definedName name="ACCNT_58.1" localSheetId="5">#REF!</definedName>
    <definedName name="ACCNT_58.1">#REF!</definedName>
    <definedName name="ACCNT_58.7" localSheetId="2">#REF!</definedName>
    <definedName name="ACCNT_58.7" localSheetId="1">#REF!</definedName>
    <definedName name="ACCNT_58.7" localSheetId="0">#REF!</definedName>
    <definedName name="ACCNT_58.7" localSheetId="4">#REF!</definedName>
    <definedName name="ACCNT_58.7" localSheetId="3">#REF!</definedName>
    <definedName name="ACCNT_58.7" localSheetId="5">#REF!</definedName>
    <definedName name="ACCNT_58.7">#REF!</definedName>
    <definedName name="ACCNT_59" localSheetId="2">#REF!</definedName>
    <definedName name="ACCNT_59" localSheetId="1">#REF!</definedName>
    <definedName name="ACCNT_59" localSheetId="0">#REF!</definedName>
    <definedName name="ACCNT_59" localSheetId="4">#REF!</definedName>
    <definedName name="ACCNT_59" localSheetId="3">#REF!</definedName>
    <definedName name="ACCNT_59" localSheetId="5">#REF!</definedName>
    <definedName name="ACCNT_59">#REF!</definedName>
    <definedName name="ACCNT_59.1" localSheetId="2">#REF!</definedName>
    <definedName name="ACCNT_59.1" localSheetId="1">#REF!</definedName>
    <definedName name="ACCNT_59.1" localSheetId="0">#REF!</definedName>
    <definedName name="ACCNT_59.1" localSheetId="4">#REF!</definedName>
    <definedName name="ACCNT_59.1" localSheetId="3">#REF!</definedName>
    <definedName name="ACCNT_59.1" localSheetId="5">#REF!</definedName>
    <definedName name="ACCNT_59.1">#REF!</definedName>
    <definedName name="ACCNT_59_NDE" localSheetId="2">#REF!</definedName>
    <definedName name="ACCNT_59_NDE" localSheetId="1">#REF!</definedName>
    <definedName name="ACCNT_59_NDE" localSheetId="0">#REF!</definedName>
    <definedName name="ACCNT_59_NDE" localSheetId="4">#REF!</definedName>
    <definedName name="ACCNT_59_NDE" localSheetId="3">#REF!</definedName>
    <definedName name="ACCNT_59_NDE" localSheetId="5">#REF!</definedName>
    <definedName name="ACCNT_59_NDE">#REF!</definedName>
    <definedName name="ACCNT_59_STRESS" localSheetId="2">#REF!</definedName>
    <definedName name="ACCNT_59_STRESS" localSheetId="1">#REF!</definedName>
    <definedName name="ACCNT_59_STRESS" localSheetId="0">#REF!</definedName>
    <definedName name="ACCNT_59_STRESS" localSheetId="4">#REF!</definedName>
    <definedName name="ACCNT_59_STRESS" localSheetId="3">#REF!</definedName>
    <definedName name="ACCNT_59_STRESS" localSheetId="5">#REF!</definedName>
    <definedName name="ACCNT_59_STRESS">#REF!</definedName>
    <definedName name="ACCNT_60" localSheetId="2">#REF!</definedName>
    <definedName name="ACCNT_60" localSheetId="1">#REF!</definedName>
    <definedName name="ACCNT_60" localSheetId="0">#REF!</definedName>
    <definedName name="ACCNT_60" localSheetId="4">#REF!</definedName>
    <definedName name="ACCNT_60" localSheetId="3">#REF!</definedName>
    <definedName name="ACCNT_60" localSheetId="5">#REF!</definedName>
    <definedName name="ACCNT_60">#REF!</definedName>
    <definedName name="ACCNT_61" localSheetId="2">#REF!</definedName>
    <definedName name="ACCNT_61" localSheetId="1">#REF!</definedName>
    <definedName name="ACCNT_61" localSheetId="0">#REF!</definedName>
    <definedName name="ACCNT_61" localSheetId="4">#REF!</definedName>
    <definedName name="ACCNT_61" localSheetId="3">#REF!</definedName>
    <definedName name="ACCNT_61" localSheetId="5">#REF!</definedName>
    <definedName name="ACCNT_61">#REF!</definedName>
    <definedName name="ACCNT_62" localSheetId="2">#REF!</definedName>
    <definedName name="ACCNT_62" localSheetId="1">#REF!</definedName>
    <definedName name="ACCNT_62" localSheetId="0">#REF!</definedName>
    <definedName name="ACCNT_62" localSheetId="4">#REF!</definedName>
    <definedName name="ACCNT_62" localSheetId="3">#REF!</definedName>
    <definedName name="ACCNT_62" localSheetId="5">#REF!</definedName>
    <definedName name="ACCNT_62">#REF!</definedName>
    <definedName name="ACCNT_62.2" localSheetId="2">#REF!</definedName>
    <definedName name="ACCNT_62.2" localSheetId="1">#REF!</definedName>
    <definedName name="ACCNT_62.2" localSheetId="0">#REF!</definedName>
    <definedName name="ACCNT_62.2" localSheetId="4">#REF!</definedName>
    <definedName name="ACCNT_62.2" localSheetId="3">#REF!</definedName>
    <definedName name="ACCNT_62.2" localSheetId="5">#REF!</definedName>
    <definedName name="ACCNT_62.2">#REF!</definedName>
    <definedName name="ACCNT_62.5" localSheetId="2">#REF!</definedName>
    <definedName name="ACCNT_62.5" localSheetId="1">#REF!</definedName>
    <definedName name="ACCNT_62.5" localSheetId="0">#REF!</definedName>
    <definedName name="ACCNT_62.5" localSheetId="4">#REF!</definedName>
    <definedName name="ACCNT_62.5" localSheetId="3">#REF!</definedName>
    <definedName name="ACCNT_62.5" localSheetId="5">#REF!</definedName>
    <definedName name="ACCNT_62.5">#REF!</definedName>
    <definedName name="ACCNT_63" localSheetId="2">#REF!</definedName>
    <definedName name="ACCNT_63" localSheetId="1">#REF!</definedName>
    <definedName name="ACCNT_63" localSheetId="0">#REF!</definedName>
    <definedName name="ACCNT_63" localSheetId="4">#REF!</definedName>
    <definedName name="ACCNT_63" localSheetId="3">#REF!</definedName>
    <definedName name="ACCNT_63" localSheetId="5">#REF!</definedName>
    <definedName name="ACCNT_63">#REF!</definedName>
    <definedName name="ACCNT_70" localSheetId="2">#REF!</definedName>
    <definedName name="ACCNT_70" localSheetId="1">#REF!</definedName>
    <definedName name="ACCNT_70" localSheetId="0">#REF!</definedName>
    <definedName name="ACCNT_70" localSheetId="4">#REF!</definedName>
    <definedName name="ACCNT_70" localSheetId="3">#REF!</definedName>
    <definedName name="ACCNT_70" localSheetId="5">#REF!</definedName>
    <definedName name="ACCNT_70">#REF!</definedName>
    <definedName name="ACCNT_71" localSheetId="2">#REF!</definedName>
    <definedName name="ACCNT_71" localSheetId="1">#REF!</definedName>
    <definedName name="ACCNT_71" localSheetId="0">#REF!</definedName>
    <definedName name="ACCNT_71" localSheetId="4">#REF!</definedName>
    <definedName name="ACCNT_71" localSheetId="3">#REF!</definedName>
    <definedName name="ACCNT_71" localSheetId="5">#REF!</definedName>
    <definedName name="ACCNT_71">#REF!</definedName>
    <definedName name="accnt_71.9" localSheetId="2">#REF!</definedName>
    <definedName name="accnt_71.9" localSheetId="1">#REF!</definedName>
    <definedName name="accnt_71.9" localSheetId="0">#REF!</definedName>
    <definedName name="accnt_71.9" localSheetId="4">#REF!</definedName>
    <definedName name="accnt_71.9" localSheetId="3">#REF!</definedName>
    <definedName name="accnt_71.9" localSheetId="5">#REF!</definedName>
    <definedName name="accnt_71.9">#REF!</definedName>
    <definedName name="ACCNT_72" localSheetId="2">#REF!</definedName>
    <definedName name="ACCNT_72" localSheetId="1">#REF!</definedName>
    <definedName name="ACCNT_72" localSheetId="0">#REF!</definedName>
    <definedName name="ACCNT_72" localSheetId="4">#REF!</definedName>
    <definedName name="ACCNT_72" localSheetId="3">#REF!</definedName>
    <definedName name="ACCNT_72" localSheetId="5">#REF!</definedName>
    <definedName name="ACCNT_72">#REF!</definedName>
    <definedName name="ACCNT_72.1" localSheetId="2">#REF!</definedName>
    <definedName name="ACCNT_72.1" localSheetId="1">#REF!</definedName>
    <definedName name="ACCNT_72.1" localSheetId="0">#REF!</definedName>
    <definedName name="ACCNT_72.1" localSheetId="4">#REF!</definedName>
    <definedName name="ACCNT_72.1" localSheetId="3">#REF!</definedName>
    <definedName name="ACCNT_72.1" localSheetId="5">#REF!</definedName>
    <definedName name="ACCNT_72.1">#REF!</definedName>
    <definedName name="ACCNT_72.2" localSheetId="2">#REF!</definedName>
    <definedName name="ACCNT_72.2" localSheetId="1">#REF!</definedName>
    <definedName name="ACCNT_72.2" localSheetId="0">#REF!</definedName>
    <definedName name="ACCNT_72.2" localSheetId="4">#REF!</definedName>
    <definedName name="ACCNT_72.2" localSheetId="3">#REF!</definedName>
    <definedName name="ACCNT_72.2" localSheetId="5">#REF!</definedName>
    <definedName name="ACCNT_72.2">#REF!</definedName>
    <definedName name="ACCNT_72.3" localSheetId="2">#REF!</definedName>
    <definedName name="ACCNT_72.3" localSheetId="1">#REF!</definedName>
    <definedName name="ACCNT_72.3" localSheetId="0">#REF!</definedName>
    <definedName name="ACCNT_72.3" localSheetId="4">#REF!</definedName>
    <definedName name="ACCNT_72.3" localSheetId="3">#REF!</definedName>
    <definedName name="ACCNT_72.3" localSheetId="5">#REF!</definedName>
    <definedName name="ACCNT_72.3">#REF!</definedName>
    <definedName name="ACCNT_72.33" localSheetId="2">#REF!</definedName>
    <definedName name="ACCNT_72.33" localSheetId="1">#REF!</definedName>
    <definedName name="ACCNT_72.33" localSheetId="0">#REF!</definedName>
    <definedName name="ACCNT_72.33" localSheetId="4">#REF!</definedName>
    <definedName name="ACCNT_72.33" localSheetId="3">#REF!</definedName>
    <definedName name="ACCNT_72.33" localSheetId="5">#REF!</definedName>
    <definedName name="ACCNT_72.33">#REF!</definedName>
    <definedName name="ACCNT_72.4" localSheetId="2">#REF!</definedName>
    <definedName name="ACCNT_72.4" localSheetId="1">#REF!</definedName>
    <definedName name="ACCNT_72.4" localSheetId="0">#REF!</definedName>
    <definedName name="ACCNT_72.4" localSheetId="4">#REF!</definedName>
    <definedName name="ACCNT_72.4" localSheetId="3">#REF!</definedName>
    <definedName name="ACCNT_72.4" localSheetId="5">#REF!</definedName>
    <definedName name="ACCNT_72.4">#REF!</definedName>
    <definedName name="ACCNT_73" localSheetId="2">#REF!</definedName>
    <definedName name="ACCNT_73" localSheetId="1">#REF!</definedName>
    <definedName name="ACCNT_73" localSheetId="0">#REF!</definedName>
    <definedName name="ACCNT_73" localSheetId="4">#REF!</definedName>
    <definedName name="ACCNT_73" localSheetId="3">#REF!</definedName>
    <definedName name="ACCNT_73" localSheetId="5">#REF!</definedName>
    <definedName name="ACCNT_73">#REF!</definedName>
    <definedName name="ACCNT_74" localSheetId="2">#REF!</definedName>
    <definedName name="ACCNT_74" localSheetId="1">#REF!</definedName>
    <definedName name="ACCNT_74" localSheetId="0">#REF!</definedName>
    <definedName name="ACCNT_74" localSheetId="4">#REF!</definedName>
    <definedName name="ACCNT_74" localSheetId="3">#REF!</definedName>
    <definedName name="ACCNT_74" localSheetId="5">#REF!</definedName>
    <definedName name="ACCNT_74">#REF!</definedName>
    <definedName name="ACCNT_74.3" localSheetId="2">#REF!</definedName>
    <definedName name="ACCNT_74.3" localSheetId="1">#REF!</definedName>
    <definedName name="ACCNT_74.3" localSheetId="0">#REF!</definedName>
    <definedName name="ACCNT_74.3" localSheetId="4">#REF!</definedName>
    <definedName name="ACCNT_74.3" localSheetId="3">#REF!</definedName>
    <definedName name="ACCNT_74.3" localSheetId="5">#REF!</definedName>
    <definedName name="ACCNT_74.3">#REF!</definedName>
    <definedName name="ACCNT_75" localSheetId="2">#REF!</definedName>
    <definedName name="ACCNT_75" localSheetId="1">#REF!</definedName>
    <definedName name="ACCNT_75" localSheetId="0">#REF!</definedName>
    <definedName name="ACCNT_75" localSheetId="4">#REF!</definedName>
    <definedName name="ACCNT_75" localSheetId="3">#REF!</definedName>
    <definedName name="ACCNT_75" localSheetId="5">#REF!</definedName>
    <definedName name="ACCNT_75">#REF!</definedName>
    <definedName name="ACCNT_75.1" localSheetId="2">#REF!</definedName>
    <definedName name="ACCNT_75.1" localSheetId="1">#REF!</definedName>
    <definedName name="ACCNT_75.1" localSheetId="0">#REF!</definedName>
    <definedName name="ACCNT_75.1" localSheetId="4">#REF!</definedName>
    <definedName name="ACCNT_75.1" localSheetId="3">#REF!</definedName>
    <definedName name="ACCNT_75.1" localSheetId="5">#REF!</definedName>
    <definedName name="ACCNT_75.1">#REF!</definedName>
    <definedName name="ACCNT_75.11" localSheetId="2">#REF!</definedName>
    <definedName name="ACCNT_75.11" localSheetId="1">#REF!</definedName>
    <definedName name="ACCNT_75.11" localSheetId="0">#REF!</definedName>
    <definedName name="ACCNT_75.11" localSheetId="4">#REF!</definedName>
    <definedName name="ACCNT_75.11" localSheetId="3">#REF!</definedName>
    <definedName name="ACCNT_75.11" localSheetId="5">#REF!</definedName>
    <definedName name="ACCNT_75.11">#REF!</definedName>
    <definedName name="ACCNT_76" localSheetId="2">#REF!</definedName>
    <definedName name="ACCNT_76" localSheetId="1">#REF!</definedName>
    <definedName name="ACCNT_76" localSheetId="0">#REF!</definedName>
    <definedName name="ACCNT_76" localSheetId="4">#REF!</definedName>
    <definedName name="ACCNT_76" localSheetId="3">#REF!</definedName>
    <definedName name="ACCNT_76" localSheetId="5">#REF!</definedName>
    <definedName name="ACCNT_76">#REF!</definedName>
    <definedName name="ACCNT_76.5" localSheetId="2">#REF!</definedName>
    <definedName name="ACCNT_76.5" localSheetId="1">#REF!</definedName>
    <definedName name="ACCNT_76.5" localSheetId="0">#REF!</definedName>
    <definedName name="ACCNT_76.5" localSheetId="4">#REF!</definedName>
    <definedName name="ACCNT_76.5" localSheetId="3">#REF!</definedName>
    <definedName name="ACCNT_76.5" localSheetId="5">#REF!</definedName>
    <definedName name="ACCNT_76.5">#REF!</definedName>
    <definedName name="ACCNT_76.70_ANODE" localSheetId="2">#REF!</definedName>
    <definedName name="ACCNT_76.70_ANODE" localSheetId="1">#REF!</definedName>
    <definedName name="ACCNT_76.70_ANODE" localSheetId="0">#REF!</definedName>
    <definedName name="ACCNT_76.70_ANODE" localSheetId="4">#REF!</definedName>
    <definedName name="ACCNT_76.70_ANODE" localSheetId="3">#REF!</definedName>
    <definedName name="ACCNT_76.70_ANODE" localSheetId="5">#REF!</definedName>
    <definedName name="ACCNT_76.70_ANODE">#REF!</definedName>
    <definedName name="ACCNT_76.70_JB" localSheetId="2">#REF!</definedName>
    <definedName name="ACCNT_76.70_JB" localSheetId="1">#REF!</definedName>
    <definedName name="ACCNT_76.70_JB" localSheetId="0">#REF!</definedName>
    <definedName name="ACCNT_76.70_JB" localSheetId="4">#REF!</definedName>
    <definedName name="ACCNT_76.70_JB" localSheetId="3">#REF!</definedName>
    <definedName name="ACCNT_76.70_JB" localSheetId="5">#REF!</definedName>
    <definedName name="ACCNT_76.70_JB">#REF!</definedName>
    <definedName name="ACCNT_77" localSheetId="2">#REF!</definedName>
    <definedName name="ACCNT_77" localSheetId="1">#REF!</definedName>
    <definedName name="ACCNT_77" localSheetId="0">#REF!</definedName>
    <definedName name="ACCNT_77" localSheetId="4">#REF!</definedName>
    <definedName name="ACCNT_77" localSheetId="3">#REF!</definedName>
    <definedName name="ACCNT_77" localSheetId="5">#REF!</definedName>
    <definedName name="ACCNT_77">#REF!</definedName>
    <definedName name="ACCNT_78" localSheetId="2">#REF!</definedName>
    <definedName name="ACCNT_78" localSheetId="1">#REF!</definedName>
    <definedName name="ACCNT_78" localSheetId="0">#REF!</definedName>
    <definedName name="ACCNT_78" localSheetId="4">#REF!</definedName>
    <definedName name="ACCNT_78" localSheetId="3">#REF!</definedName>
    <definedName name="ACCNT_78" localSheetId="5">#REF!</definedName>
    <definedName name="ACCNT_78">#REF!</definedName>
    <definedName name="ACCNT_78.761" localSheetId="2">#REF!</definedName>
    <definedName name="ACCNT_78.761" localSheetId="1">#REF!</definedName>
    <definedName name="ACCNT_78.761" localSheetId="0">#REF!</definedName>
    <definedName name="ACCNT_78.761" localSheetId="4">#REF!</definedName>
    <definedName name="ACCNT_78.761" localSheetId="3">#REF!</definedName>
    <definedName name="ACCNT_78.761" localSheetId="5">#REF!</definedName>
    <definedName name="ACCNT_78.761">#REF!</definedName>
    <definedName name="ACCNT_78.762" localSheetId="2">#REF!</definedName>
    <definedName name="ACCNT_78.762" localSheetId="1">#REF!</definedName>
    <definedName name="ACCNT_78.762" localSheetId="0">#REF!</definedName>
    <definedName name="ACCNT_78.762" localSheetId="4">#REF!</definedName>
    <definedName name="ACCNT_78.762" localSheetId="3">#REF!</definedName>
    <definedName name="ACCNT_78.762" localSheetId="5">#REF!</definedName>
    <definedName name="ACCNT_78.762">#REF!</definedName>
    <definedName name="ACCNT_78.81" localSheetId="2">#REF!</definedName>
    <definedName name="ACCNT_78.81" localSheetId="1">#REF!</definedName>
    <definedName name="ACCNT_78.81" localSheetId="0">#REF!</definedName>
    <definedName name="ACCNT_78.81" localSheetId="4">#REF!</definedName>
    <definedName name="ACCNT_78.81" localSheetId="3">#REF!</definedName>
    <definedName name="ACCNT_78.81" localSheetId="5">#REF!</definedName>
    <definedName name="ACCNT_78.81">#REF!</definedName>
    <definedName name="ACCNT_78.821" localSheetId="2">#REF!</definedName>
    <definedName name="ACCNT_78.821" localSheetId="1">#REF!</definedName>
    <definedName name="ACCNT_78.821" localSheetId="0">#REF!</definedName>
    <definedName name="ACCNT_78.821" localSheetId="4">#REF!</definedName>
    <definedName name="ACCNT_78.821" localSheetId="3">#REF!</definedName>
    <definedName name="ACCNT_78.821" localSheetId="5">#REF!</definedName>
    <definedName name="ACCNT_78.821">#REF!</definedName>
    <definedName name="ACCNT_78.827" localSheetId="2">#REF!</definedName>
    <definedName name="ACCNT_78.827" localSheetId="1">#REF!</definedName>
    <definedName name="ACCNT_78.827" localSheetId="0">#REF!</definedName>
    <definedName name="ACCNT_78.827" localSheetId="4">#REF!</definedName>
    <definedName name="ACCNT_78.827" localSheetId="3">#REF!</definedName>
    <definedName name="ACCNT_78.827" localSheetId="5">#REF!</definedName>
    <definedName name="ACCNT_78.827">#REF!</definedName>
    <definedName name="ACCNT_78.8275" localSheetId="2">#REF!</definedName>
    <definedName name="ACCNT_78.8275" localSheetId="1">#REF!</definedName>
    <definedName name="ACCNT_78.8275" localSheetId="0">#REF!</definedName>
    <definedName name="ACCNT_78.8275" localSheetId="4">#REF!</definedName>
    <definedName name="ACCNT_78.8275" localSheetId="3">#REF!</definedName>
    <definedName name="ACCNT_78.8275" localSheetId="5">#REF!</definedName>
    <definedName name="ACCNT_78.8275">#REF!</definedName>
    <definedName name="ACCNT_78.828" localSheetId="2">#REF!</definedName>
    <definedName name="ACCNT_78.828" localSheetId="1">#REF!</definedName>
    <definedName name="ACCNT_78.828" localSheetId="0">#REF!</definedName>
    <definedName name="ACCNT_78.828" localSheetId="4">#REF!</definedName>
    <definedName name="ACCNT_78.828" localSheetId="3">#REF!</definedName>
    <definedName name="ACCNT_78.828" localSheetId="5">#REF!</definedName>
    <definedName name="ACCNT_78.828">#REF!</definedName>
    <definedName name="ACCNT_78.83" localSheetId="2">#REF!</definedName>
    <definedName name="ACCNT_78.83" localSheetId="1">#REF!</definedName>
    <definedName name="ACCNT_78.83" localSheetId="0">#REF!</definedName>
    <definedName name="ACCNT_78.83" localSheetId="4">#REF!</definedName>
    <definedName name="ACCNT_78.83" localSheetId="3">#REF!</definedName>
    <definedName name="ACCNT_78.83" localSheetId="5">#REF!</definedName>
    <definedName name="ACCNT_78.83">#REF!</definedName>
    <definedName name="ACCNT_78.84" localSheetId="2">#REF!</definedName>
    <definedName name="ACCNT_78.84" localSheetId="1">#REF!</definedName>
    <definedName name="ACCNT_78.84" localSheetId="0">#REF!</definedName>
    <definedName name="ACCNT_78.84" localSheetId="4">#REF!</definedName>
    <definedName name="ACCNT_78.84" localSheetId="3">#REF!</definedName>
    <definedName name="ACCNT_78.84" localSheetId="5">#REF!</definedName>
    <definedName name="ACCNT_78.84">#REF!</definedName>
    <definedName name="ACCNT_78.85" localSheetId="2">#REF!</definedName>
    <definedName name="ACCNT_78.85" localSheetId="1">#REF!</definedName>
    <definedName name="ACCNT_78.85" localSheetId="0">#REF!</definedName>
    <definedName name="ACCNT_78.85" localSheetId="4">#REF!</definedName>
    <definedName name="ACCNT_78.85" localSheetId="3">#REF!</definedName>
    <definedName name="ACCNT_78.85" localSheetId="5">#REF!</definedName>
    <definedName name="ACCNT_78.85">#REF!</definedName>
    <definedName name="ACCNT_78.861" localSheetId="2">#REF!</definedName>
    <definedName name="ACCNT_78.861" localSheetId="1">#REF!</definedName>
    <definedName name="ACCNT_78.861" localSheetId="0">#REF!</definedName>
    <definedName name="ACCNT_78.861" localSheetId="4">#REF!</definedName>
    <definedName name="ACCNT_78.861" localSheetId="3">#REF!</definedName>
    <definedName name="ACCNT_78.861" localSheetId="5">#REF!</definedName>
    <definedName name="ACCNT_78.861">#REF!</definedName>
    <definedName name="ACCNT_78.862" localSheetId="2">#REF!</definedName>
    <definedName name="ACCNT_78.862" localSheetId="1">#REF!</definedName>
    <definedName name="ACCNT_78.862" localSheetId="0">#REF!</definedName>
    <definedName name="ACCNT_78.862" localSheetId="4">#REF!</definedName>
    <definedName name="ACCNT_78.862" localSheetId="3">#REF!</definedName>
    <definedName name="ACCNT_78.862" localSheetId="5">#REF!</definedName>
    <definedName name="ACCNT_78.862">#REF!</definedName>
    <definedName name="ACCNT_79" localSheetId="2">#REF!</definedName>
    <definedName name="ACCNT_79" localSheetId="1">#REF!</definedName>
    <definedName name="ACCNT_79" localSheetId="0">#REF!</definedName>
    <definedName name="ACCNT_79" localSheetId="4">#REF!</definedName>
    <definedName name="ACCNT_79" localSheetId="3">#REF!</definedName>
    <definedName name="ACCNT_79" localSheetId="5">#REF!</definedName>
    <definedName name="ACCNT_79">#REF!</definedName>
    <definedName name="ACCNT_80" localSheetId="2">#REF!</definedName>
    <definedName name="ACCNT_80" localSheetId="1">#REF!</definedName>
    <definedName name="ACCNT_80" localSheetId="0">#REF!</definedName>
    <definedName name="ACCNT_80" localSheetId="4">#REF!</definedName>
    <definedName name="ACCNT_80" localSheetId="3">#REF!</definedName>
    <definedName name="ACCNT_80" localSheetId="5">#REF!</definedName>
    <definedName name="ACCNT_80">#REF!</definedName>
    <definedName name="ACCNT_81" localSheetId="2">#REF!</definedName>
    <definedName name="ACCNT_81" localSheetId="1">#REF!</definedName>
    <definedName name="ACCNT_81" localSheetId="0">#REF!</definedName>
    <definedName name="ACCNT_81" localSheetId="4">#REF!</definedName>
    <definedName name="ACCNT_81" localSheetId="3">#REF!</definedName>
    <definedName name="ACCNT_81" localSheetId="5">#REF!</definedName>
    <definedName name="ACCNT_81">#REF!</definedName>
    <definedName name="ACCNT_82" localSheetId="2">#REF!</definedName>
    <definedName name="ACCNT_82" localSheetId="1">#REF!</definedName>
    <definedName name="ACCNT_82" localSheetId="0">#REF!</definedName>
    <definedName name="ACCNT_82" localSheetId="4">#REF!</definedName>
    <definedName name="ACCNT_82" localSheetId="3">#REF!</definedName>
    <definedName name="ACCNT_82" localSheetId="5">#REF!</definedName>
    <definedName name="ACCNT_82">#REF!</definedName>
    <definedName name="ACCNT_82.2" localSheetId="2">#REF!</definedName>
    <definedName name="ACCNT_82.2" localSheetId="1">#REF!</definedName>
    <definedName name="ACCNT_82.2" localSheetId="0">#REF!</definedName>
    <definedName name="ACCNT_82.2" localSheetId="4">#REF!</definedName>
    <definedName name="ACCNT_82.2" localSheetId="3">#REF!</definedName>
    <definedName name="ACCNT_82.2" localSheetId="5">#REF!</definedName>
    <definedName name="ACCNT_82.2">#REF!</definedName>
    <definedName name="ACCNT_82.7" localSheetId="2">#REF!</definedName>
    <definedName name="ACCNT_82.7" localSheetId="1">#REF!</definedName>
    <definedName name="ACCNT_82.7" localSheetId="0">#REF!</definedName>
    <definedName name="ACCNT_82.7" localSheetId="4">#REF!</definedName>
    <definedName name="ACCNT_82.7" localSheetId="3">#REF!</definedName>
    <definedName name="ACCNT_82.7" localSheetId="5">#REF!</definedName>
    <definedName name="ACCNT_82.7">#REF!</definedName>
    <definedName name="ACCNT_82.72" localSheetId="2">#REF!</definedName>
    <definedName name="ACCNT_82.72" localSheetId="1">#REF!</definedName>
    <definedName name="ACCNT_82.72" localSheetId="0">#REF!</definedName>
    <definedName name="ACCNT_82.72" localSheetId="4">#REF!</definedName>
    <definedName name="ACCNT_82.72" localSheetId="3">#REF!</definedName>
    <definedName name="ACCNT_82.72" localSheetId="5">#REF!</definedName>
    <definedName name="ACCNT_82.72">#REF!</definedName>
    <definedName name="ACCNT_82.80" localSheetId="2">#REF!</definedName>
    <definedName name="ACCNT_82.80" localSheetId="1">#REF!</definedName>
    <definedName name="ACCNT_82.80" localSheetId="0">#REF!</definedName>
    <definedName name="ACCNT_82.80" localSheetId="4">#REF!</definedName>
    <definedName name="ACCNT_82.80" localSheetId="3">#REF!</definedName>
    <definedName name="ACCNT_82.80" localSheetId="5">#REF!</definedName>
    <definedName name="ACCNT_82.80">#REF!</definedName>
    <definedName name="ACCNT_83" localSheetId="2">#REF!</definedName>
    <definedName name="ACCNT_83" localSheetId="1">#REF!</definedName>
    <definedName name="ACCNT_83" localSheetId="0">#REF!</definedName>
    <definedName name="ACCNT_83" localSheetId="4">#REF!</definedName>
    <definedName name="ACCNT_83" localSheetId="3">#REF!</definedName>
    <definedName name="ACCNT_83" localSheetId="5">#REF!</definedName>
    <definedName name="ACCNT_83">#REF!</definedName>
    <definedName name="ACCNT_83.1" localSheetId="2">#REF!</definedName>
    <definedName name="ACCNT_83.1" localSheetId="1">#REF!</definedName>
    <definedName name="ACCNT_83.1" localSheetId="0">#REF!</definedName>
    <definedName name="ACCNT_83.1" localSheetId="4">#REF!</definedName>
    <definedName name="ACCNT_83.1" localSheetId="3">#REF!</definedName>
    <definedName name="ACCNT_83.1" localSheetId="5">#REF!</definedName>
    <definedName name="ACCNT_83.1">#REF!</definedName>
    <definedName name="ACCNT_84" localSheetId="2">#REF!</definedName>
    <definedName name="ACCNT_84" localSheetId="1">#REF!</definedName>
    <definedName name="ACCNT_84" localSheetId="0">#REF!</definedName>
    <definedName name="ACCNT_84" localSheetId="4">#REF!</definedName>
    <definedName name="ACCNT_84" localSheetId="3">#REF!</definedName>
    <definedName name="ACCNT_84" localSheetId="5">#REF!</definedName>
    <definedName name="ACCNT_84">#REF!</definedName>
    <definedName name="ACCNT_84.1" localSheetId="2">#REF!</definedName>
    <definedName name="ACCNT_84.1" localSheetId="1">#REF!</definedName>
    <definedName name="ACCNT_84.1" localSheetId="0">#REF!</definedName>
    <definedName name="ACCNT_84.1" localSheetId="4">#REF!</definedName>
    <definedName name="ACCNT_84.1" localSheetId="3">#REF!</definedName>
    <definedName name="ACCNT_84.1" localSheetId="5">#REF!</definedName>
    <definedName name="ACCNT_84.1">#REF!</definedName>
    <definedName name="ACCNT_84.3" localSheetId="2">#REF!</definedName>
    <definedName name="ACCNT_84.3" localSheetId="1">#REF!</definedName>
    <definedName name="ACCNT_84.3" localSheetId="0">#REF!</definedName>
    <definedName name="ACCNT_84.3" localSheetId="4">#REF!</definedName>
    <definedName name="ACCNT_84.3" localSheetId="3">#REF!</definedName>
    <definedName name="ACCNT_84.3" localSheetId="5">#REF!</definedName>
    <definedName name="ACCNT_84.3">#REF!</definedName>
    <definedName name="ACCNT_84.4" localSheetId="2">#REF!</definedName>
    <definedName name="ACCNT_84.4" localSheetId="1">#REF!</definedName>
    <definedName name="ACCNT_84.4" localSheetId="0">#REF!</definedName>
    <definedName name="ACCNT_84.4" localSheetId="4">#REF!</definedName>
    <definedName name="ACCNT_84.4" localSheetId="3">#REF!</definedName>
    <definedName name="ACCNT_84.4" localSheetId="5">#REF!</definedName>
    <definedName name="ACCNT_84.4">#REF!</definedName>
    <definedName name="ACCNT_84.6" localSheetId="2">#REF!</definedName>
    <definedName name="ACCNT_84.6" localSheetId="1">#REF!</definedName>
    <definedName name="ACCNT_84.6" localSheetId="0">#REF!</definedName>
    <definedName name="ACCNT_84.6" localSheetId="4">#REF!</definedName>
    <definedName name="ACCNT_84.6" localSheetId="3">#REF!</definedName>
    <definedName name="ACCNT_84.6" localSheetId="5">#REF!</definedName>
    <definedName name="ACCNT_84.6">#REF!</definedName>
    <definedName name="ACCNT_85" localSheetId="2">#REF!</definedName>
    <definedName name="ACCNT_85" localSheetId="1">#REF!</definedName>
    <definedName name="ACCNT_85" localSheetId="0">#REF!</definedName>
    <definedName name="ACCNT_85" localSheetId="4">#REF!</definedName>
    <definedName name="ACCNT_85" localSheetId="3">#REF!</definedName>
    <definedName name="ACCNT_85" localSheetId="5">#REF!</definedName>
    <definedName name="ACCNT_85">#REF!</definedName>
    <definedName name="ACCNT_86" localSheetId="2">#REF!</definedName>
    <definedName name="ACCNT_86" localSheetId="1">#REF!</definedName>
    <definedName name="ACCNT_86" localSheetId="0">#REF!</definedName>
    <definedName name="ACCNT_86" localSheetId="4">#REF!</definedName>
    <definedName name="ACCNT_86" localSheetId="3">#REF!</definedName>
    <definedName name="ACCNT_86" localSheetId="5">#REF!</definedName>
    <definedName name="ACCNT_86">#REF!</definedName>
    <definedName name="ACCNT_87" localSheetId="2">#REF!</definedName>
    <definedName name="ACCNT_87" localSheetId="1">#REF!</definedName>
    <definedName name="ACCNT_87" localSheetId="0">#REF!</definedName>
    <definedName name="ACCNT_87" localSheetId="4">#REF!</definedName>
    <definedName name="ACCNT_87" localSheetId="3">#REF!</definedName>
    <definedName name="ACCNT_87" localSheetId="5">#REF!</definedName>
    <definedName name="ACCNT_87">#REF!</definedName>
    <definedName name="ACCNT_90" localSheetId="2">#REF!</definedName>
    <definedName name="ACCNT_90" localSheetId="1">#REF!</definedName>
    <definedName name="ACCNT_90" localSheetId="0">#REF!</definedName>
    <definedName name="ACCNT_90" localSheetId="4">#REF!</definedName>
    <definedName name="ACCNT_90" localSheetId="3">#REF!</definedName>
    <definedName name="ACCNT_90" localSheetId="5">#REF!</definedName>
    <definedName name="ACCNT_90">#REF!</definedName>
    <definedName name="ACCNT_91" localSheetId="2">#REF!</definedName>
    <definedName name="ACCNT_91" localSheetId="1">#REF!</definedName>
    <definedName name="ACCNT_91" localSheetId="0">#REF!</definedName>
    <definedName name="ACCNT_91" localSheetId="4">#REF!</definedName>
    <definedName name="ACCNT_91" localSheetId="3">#REF!</definedName>
    <definedName name="ACCNT_91" localSheetId="5">#REF!</definedName>
    <definedName name="ACCNT_91">#REF!</definedName>
    <definedName name="ACCNT_91.1" localSheetId="2">#REF!</definedName>
    <definedName name="ACCNT_91.1" localSheetId="1">#REF!</definedName>
    <definedName name="ACCNT_91.1" localSheetId="0">#REF!</definedName>
    <definedName name="ACCNT_91.1" localSheetId="4">#REF!</definedName>
    <definedName name="ACCNT_91.1" localSheetId="3">#REF!</definedName>
    <definedName name="ACCNT_91.1" localSheetId="5">#REF!</definedName>
    <definedName name="ACCNT_91.1">#REF!</definedName>
    <definedName name="ACCNT_91.2" localSheetId="2">#REF!</definedName>
    <definedName name="ACCNT_91.2" localSheetId="1">#REF!</definedName>
    <definedName name="ACCNT_91.2" localSheetId="0">#REF!</definedName>
    <definedName name="ACCNT_91.2" localSheetId="4">#REF!</definedName>
    <definedName name="ACCNT_91.2" localSheetId="3">#REF!</definedName>
    <definedName name="ACCNT_91.2" localSheetId="5">#REF!</definedName>
    <definedName name="ACCNT_91.2">#REF!</definedName>
    <definedName name="ACCNT_91.3" localSheetId="2">#REF!</definedName>
    <definedName name="ACCNT_91.3" localSheetId="1">#REF!</definedName>
    <definedName name="ACCNT_91.3" localSheetId="0">#REF!</definedName>
    <definedName name="ACCNT_91.3" localSheetId="4">#REF!</definedName>
    <definedName name="ACCNT_91.3" localSheetId="3">#REF!</definedName>
    <definedName name="ACCNT_91.3" localSheetId="5">#REF!</definedName>
    <definedName name="ACCNT_91.3">#REF!</definedName>
    <definedName name="ACCNT_91.5" localSheetId="2">#REF!</definedName>
    <definedName name="ACCNT_91.5" localSheetId="1">#REF!</definedName>
    <definedName name="ACCNT_91.5" localSheetId="0">#REF!</definedName>
    <definedName name="ACCNT_91.5" localSheetId="4">#REF!</definedName>
    <definedName name="ACCNT_91.5" localSheetId="3">#REF!</definedName>
    <definedName name="ACCNT_91.5" localSheetId="5">#REF!</definedName>
    <definedName name="ACCNT_91.5">#REF!</definedName>
    <definedName name="ACCNT_91.55" localSheetId="2">#REF!</definedName>
    <definedName name="ACCNT_91.55" localSheetId="1">#REF!</definedName>
    <definedName name="ACCNT_91.55" localSheetId="0">#REF!</definedName>
    <definedName name="ACCNT_91.55" localSheetId="4">#REF!</definedName>
    <definedName name="ACCNT_91.55" localSheetId="3">#REF!</definedName>
    <definedName name="ACCNT_91.55" localSheetId="5">#REF!</definedName>
    <definedName name="ACCNT_91.55">#REF!</definedName>
    <definedName name="ACCNT_91.6" localSheetId="2">#REF!</definedName>
    <definedName name="ACCNT_91.6" localSheetId="1">#REF!</definedName>
    <definedName name="ACCNT_91.6" localSheetId="0">#REF!</definedName>
    <definedName name="ACCNT_91.6" localSheetId="4">#REF!</definedName>
    <definedName name="ACCNT_91.6" localSheetId="3">#REF!</definedName>
    <definedName name="ACCNT_91.6" localSheetId="5">#REF!</definedName>
    <definedName name="ACCNT_91.6">#REF!</definedName>
    <definedName name="ACCNT_91.7" localSheetId="2">#REF!</definedName>
    <definedName name="ACCNT_91.7" localSheetId="1">#REF!</definedName>
    <definedName name="ACCNT_91.7" localSheetId="0">#REF!</definedName>
    <definedName name="ACCNT_91.7" localSheetId="4">#REF!</definedName>
    <definedName name="ACCNT_91.7" localSheetId="3">#REF!</definedName>
    <definedName name="ACCNT_91.7" localSheetId="5">#REF!</definedName>
    <definedName name="ACCNT_91.7">#REF!</definedName>
    <definedName name="ACCNT_91THRU93" localSheetId="2">#REF!</definedName>
    <definedName name="ACCNT_91THRU93" localSheetId="1">#REF!</definedName>
    <definedName name="ACCNT_91THRU93" localSheetId="0">#REF!</definedName>
    <definedName name="ACCNT_91THRU93" localSheetId="4">#REF!</definedName>
    <definedName name="ACCNT_91THRU93" localSheetId="3">#REF!</definedName>
    <definedName name="ACCNT_91THRU93" localSheetId="5">#REF!</definedName>
    <definedName name="ACCNT_91THRU93">#REF!</definedName>
    <definedName name="ACCNT_91THRU95" localSheetId="2">#REF!</definedName>
    <definedName name="ACCNT_91THRU95" localSheetId="1">#REF!</definedName>
    <definedName name="ACCNT_91THRU95" localSheetId="0">#REF!</definedName>
    <definedName name="ACCNT_91THRU95" localSheetId="4">#REF!</definedName>
    <definedName name="ACCNT_91THRU95" localSheetId="3">#REF!</definedName>
    <definedName name="ACCNT_91THRU95" localSheetId="5">#REF!</definedName>
    <definedName name="ACCNT_91THRU95">#REF!</definedName>
    <definedName name="ACCNT_92" localSheetId="2">#REF!</definedName>
    <definedName name="ACCNT_92" localSheetId="1">#REF!</definedName>
    <definedName name="ACCNT_92" localSheetId="0">#REF!</definedName>
    <definedName name="ACCNT_92" localSheetId="4">#REF!</definedName>
    <definedName name="ACCNT_92" localSheetId="3">#REF!</definedName>
    <definedName name="ACCNT_92" localSheetId="5">#REF!</definedName>
    <definedName name="ACCNT_92">#REF!</definedName>
    <definedName name="ACCNT_92.1" localSheetId="2">#REF!</definedName>
    <definedName name="ACCNT_92.1" localSheetId="1">#REF!</definedName>
    <definedName name="ACCNT_92.1" localSheetId="0">#REF!</definedName>
    <definedName name="ACCNT_92.1" localSheetId="4">#REF!</definedName>
    <definedName name="ACCNT_92.1" localSheetId="3">#REF!</definedName>
    <definedName name="ACCNT_92.1" localSheetId="5">#REF!</definedName>
    <definedName name="ACCNT_92.1">#REF!</definedName>
    <definedName name="ACCNT_92.2" localSheetId="2">#REF!</definedName>
    <definedName name="ACCNT_92.2" localSheetId="1">#REF!</definedName>
    <definedName name="ACCNT_92.2" localSheetId="0">#REF!</definedName>
    <definedName name="ACCNT_92.2" localSheetId="4">#REF!</definedName>
    <definedName name="ACCNT_92.2" localSheetId="3">#REF!</definedName>
    <definedName name="ACCNT_92.2" localSheetId="5">#REF!</definedName>
    <definedName name="ACCNT_92.2">#REF!</definedName>
    <definedName name="ACCNT_92.3" localSheetId="2">#REF!</definedName>
    <definedName name="ACCNT_92.3" localSheetId="1">#REF!</definedName>
    <definedName name="ACCNT_92.3" localSheetId="0">#REF!</definedName>
    <definedName name="ACCNT_92.3" localSheetId="4">#REF!</definedName>
    <definedName name="ACCNT_92.3" localSheetId="3">#REF!</definedName>
    <definedName name="ACCNT_92.3" localSheetId="5">#REF!</definedName>
    <definedName name="ACCNT_92.3">#REF!</definedName>
    <definedName name="ACCNT_92.5" localSheetId="2">#REF!</definedName>
    <definedName name="ACCNT_92.5" localSheetId="1">#REF!</definedName>
    <definedName name="ACCNT_92.5" localSheetId="0">#REF!</definedName>
    <definedName name="ACCNT_92.5" localSheetId="4">#REF!</definedName>
    <definedName name="ACCNT_92.5" localSheetId="3">#REF!</definedName>
    <definedName name="ACCNT_92.5" localSheetId="5">#REF!</definedName>
    <definedName name="ACCNT_92.5">#REF!</definedName>
    <definedName name="ACCNT_92.6" localSheetId="2">#REF!</definedName>
    <definedName name="ACCNT_92.6" localSheetId="1">#REF!</definedName>
    <definedName name="ACCNT_92.6" localSheetId="0">#REF!</definedName>
    <definedName name="ACCNT_92.6" localSheetId="4">#REF!</definedName>
    <definedName name="ACCNT_92.6" localSheetId="3">#REF!</definedName>
    <definedName name="ACCNT_92.6" localSheetId="5">#REF!</definedName>
    <definedName name="ACCNT_92.6">#REF!</definedName>
    <definedName name="ACCNT_92.7" localSheetId="2">#REF!</definedName>
    <definedName name="ACCNT_92.7" localSheetId="1">#REF!</definedName>
    <definedName name="ACCNT_92.7" localSheetId="0">#REF!</definedName>
    <definedName name="ACCNT_92.7" localSheetId="4">#REF!</definedName>
    <definedName name="ACCNT_92.7" localSheetId="3">#REF!</definedName>
    <definedName name="ACCNT_92.7" localSheetId="5">#REF!</definedName>
    <definedName name="ACCNT_92.7">#REF!</definedName>
    <definedName name="ACCNT_92.8" localSheetId="2">#REF!</definedName>
    <definedName name="ACCNT_92.8" localSheetId="1">#REF!</definedName>
    <definedName name="ACCNT_92.8" localSheetId="0">#REF!</definedName>
    <definedName name="ACCNT_92.8" localSheetId="4">#REF!</definedName>
    <definedName name="ACCNT_92.8" localSheetId="3">#REF!</definedName>
    <definedName name="ACCNT_92.8" localSheetId="5">#REF!</definedName>
    <definedName name="ACCNT_92.8">#REF!</definedName>
    <definedName name="ACCNT_92.81" localSheetId="2">#REF!</definedName>
    <definedName name="ACCNT_92.81" localSheetId="1">#REF!</definedName>
    <definedName name="ACCNT_92.81" localSheetId="0">#REF!</definedName>
    <definedName name="ACCNT_92.81" localSheetId="4">#REF!</definedName>
    <definedName name="ACCNT_92.81" localSheetId="3">#REF!</definedName>
    <definedName name="ACCNT_92.81" localSheetId="5">#REF!</definedName>
    <definedName name="ACCNT_92.81">#REF!</definedName>
    <definedName name="ACCNT_92.82" localSheetId="2">#REF!</definedName>
    <definedName name="ACCNT_92.82" localSheetId="1">#REF!</definedName>
    <definedName name="ACCNT_92.82" localSheetId="0">#REF!</definedName>
    <definedName name="ACCNT_92.82" localSheetId="4">#REF!</definedName>
    <definedName name="ACCNT_92.82" localSheetId="3">#REF!</definedName>
    <definedName name="ACCNT_92.82" localSheetId="5">#REF!</definedName>
    <definedName name="ACCNT_92.82">#REF!</definedName>
    <definedName name="ACCNT_92.83" localSheetId="2">#REF!</definedName>
    <definedName name="ACCNT_92.83" localSheetId="1">#REF!</definedName>
    <definedName name="ACCNT_92.83" localSheetId="0">#REF!</definedName>
    <definedName name="ACCNT_92.83" localSheetId="4">#REF!</definedName>
    <definedName name="ACCNT_92.83" localSheetId="3">#REF!</definedName>
    <definedName name="ACCNT_92.83" localSheetId="5">#REF!</definedName>
    <definedName name="ACCNT_92.83">#REF!</definedName>
    <definedName name="ACCNT_92.84" localSheetId="2">#REF!</definedName>
    <definedName name="ACCNT_92.84" localSheetId="1">#REF!</definedName>
    <definedName name="ACCNT_92.84" localSheetId="0">#REF!</definedName>
    <definedName name="ACCNT_92.84" localSheetId="4">#REF!</definedName>
    <definedName name="ACCNT_92.84" localSheetId="3">#REF!</definedName>
    <definedName name="ACCNT_92.84" localSheetId="5">#REF!</definedName>
    <definedName name="ACCNT_92.84">#REF!</definedName>
    <definedName name="ACCNT_93" localSheetId="2">#REF!</definedName>
    <definedName name="ACCNT_93" localSheetId="1">#REF!</definedName>
    <definedName name="ACCNT_93" localSheetId="0">#REF!</definedName>
    <definedName name="ACCNT_93" localSheetId="4">#REF!</definedName>
    <definedName name="ACCNT_93" localSheetId="3">#REF!</definedName>
    <definedName name="ACCNT_93" localSheetId="5">#REF!</definedName>
    <definedName name="ACCNT_93">#REF!</definedName>
    <definedName name="ACCNT_94" localSheetId="2">#REF!</definedName>
    <definedName name="ACCNT_94" localSheetId="1">#REF!</definedName>
    <definedName name="ACCNT_94" localSheetId="0">#REF!</definedName>
    <definedName name="ACCNT_94" localSheetId="4">#REF!</definedName>
    <definedName name="ACCNT_94" localSheetId="3">#REF!</definedName>
    <definedName name="ACCNT_94" localSheetId="5">#REF!</definedName>
    <definedName name="ACCNT_94">#REF!</definedName>
    <definedName name="ACCNT_94.01" localSheetId="2">#REF!</definedName>
    <definedName name="ACCNT_94.01" localSheetId="1">#REF!</definedName>
    <definedName name="ACCNT_94.01" localSheetId="0">#REF!</definedName>
    <definedName name="ACCNT_94.01" localSheetId="4">#REF!</definedName>
    <definedName name="ACCNT_94.01" localSheetId="3">#REF!</definedName>
    <definedName name="ACCNT_94.01" localSheetId="5">#REF!</definedName>
    <definedName name="ACCNT_94.01">#REF!</definedName>
    <definedName name="ACCNT_94.02" localSheetId="2">#REF!</definedName>
    <definedName name="ACCNT_94.02" localSheetId="1">#REF!</definedName>
    <definedName name="ACCNT_94.02" localSheetId="0">#REF!</definedName>
    <definedName name="ACCNT_94.02" localSheetId="4">#REF!</definedName>
    <definedName name="ACCNT_94.02" localSheetId="3">#REF!</definedName>
    <definedName name="ACCNT_94.02" localSheetId="5">#REF!</definedName>
    <definedName name="ACCNT_94.02">#REF!</definedName>
    <definedName name="ACCNT_94.03" localSheetId="2">#REF!</definedName>
    <definedName name="ACCNT_94.03" localSheetId="1">#REF!</definedName>
    <definedName name="ACCNT_94.03" localSheetId="0">#REF!</definedName>
    <definedName name="ACCNT_94.03" localSheetId="4">#REF!</definedName>
    <definedName name="ACCNT_94.03" localSheetId="3">#REF!</definedName>
    <definedName name="ACCNT_94.03" localSheetId="5">#REF!</definedName>
    <definedName name="ACCNT_94.03">#REF!</definedName>
    <definedName name="ACCNT_94.04" localSheetId="2">#REF!</definedName>
    <definedName name="ACCNT_94.04" localSheetId="1">#REF!</definedName>
    <definedName name="ACCNT_94.04" localSheetId="0">#REF!</definedName>
    <definedName name="ACCNT_94.04" localSheetId="4">#REF!</definedName>
    <definedName name="ACCNT_94.04" localSheetId="3">#REF!</definedName>
    <definedName name="ACCNT_94.04" localSheetId="5">#REF!</definedName>
    <definedName name="ACCNT_94.04">#REF!</definedName>
    <definedName name="ACCNT_94.05" localSheetId="2">#REF!</definedName>
    <definedName name="ACCNT_94.05" localSheetId="1">#REF!</definedName>
    <definedName name="ACCNT_94.05" localSheetId="0">#REF!</definedName>
    <definedName name="ACCNT_94.05" localSheetId="4">#REF!</definedName>
    <definedName name="ACCNT_94.05" localSheetId="3">#REF!</definedName>
    <definedName name="ACCNT_94.05" localSheetId="5">#REF!</definedName>
    <definedName name="ACCNT_94.05">#REF!</definedName>
    <definedName name="ACCNT_94.09" localSheetId="2">#REF!</definedName>
    <definedName name="ACCNT_94.09" localSheetId="1">#REF!</definedName>
    <definedName name="ACCNT_94.09" localSheetId="0">#REF!</definedName>
    <definedName name="ACCNT_94.09" localSheetId="4">#REF!</definedName>
    <definedName name="ACCNT_94.09" localSheetId="3">#REF!</definedName>
    <definedName name="ACCNT_94.09" localSheetId="5">#REF!</definedName>
    <definedName name="ACCNT_94.09">#REF!</definedName>
    <definedName name="ACCNT_94.11" localSheetId="2">#REF!</definedName>
    <definedName name="ACCNT_94.11" localSheetId="1">#REF!</definedName>
    <definedName name="ACCNT_94.11" localSheetId="0">#REF!</definedName>
    <definedName name="ACCNT_94.11" localSheetId="4">#REF!</definedName>
    <definedName name="ACCNT_94.11" localSheetId="3">#REF!</definedName>
    <definedName name="ACCNT_94.11" localSheetId="5">#REF!</definedName>
    <definedName name="ACCNT_94.11">#REF!</definedName>
    <definedName name="ACCNT_94.12" localSheetId="2">#REF!</definedName>
    <definedName name="ACCNT_94.12" localSheetId="1">#REF!</definedName>
    <definedName name="ACCNT_94.12" localSheetId="0">#REF!</definedName>
    <definedName name="ACCNT_94.12" localSheetId="4">#REF!</definedName>
    <definedName name="ACCNT_94.12" localSheetId="3">#REF!</definedName>
    <definedName name="ACCNT_94.12" localSheetId="5">#REF!</definedName>
    <definedName name="ACCNT_94.12">#REF!</definedName>
    <definedName name="ACCNT_94.13" localSheetId="2">#REF!</definedName>
    <definedName name="ACCNT_94.13" localSheetId="1">#REF!</definedName>
    <definedName name="ACCNT_94.13" localSheetId="0">#REF!</definedName>
    <definedName name="ACCNT_94.13" localSheetId="4">#REF!</definedName>
    <definedName name="ACCNT_94.13" localSheetId="3">#REF!</definedName>
    <definedName name="ACCNT_94.13" localSheetId="5">#REF!</definedName>
    <definedName name="ACCNT_94.13">#REF!</definedName>
    <definedName name="ACCNT_94.14" localSheetId="2">#REF!</definedName>
    <definedName name="ACCNT_94.14" localSheetId="1">#REF!</definedName>
    <definedName name="ACCNT_94.14" localSheetId="0">#REF!</definedName>
    <definedName name="ACCNT_94.14" localSheetId="4">#REF!</definedName>
    <definedName name="ACCNT_94.14" localSheetId="3">#REF!</definedName>
    <definedName name="ACCNT_94.14" localSheetId="5">#REF!</definedName>
    <definedName name="ACCNT_94.14">#REF!</definedName>
    <definedName name="ACCNT_94.15" localSheetId="2">#REF!</definedName>
    <definedName name="ACCNT_94.15" localSheetId="1">#REF!</definedName>
    <definedName name="ACCNT_94.15" localSheetId="0">#REF!</definedName>
    <definedName name="ACCNT_94.15" localSheetId="4">#REF!</definedName>
    <definedName name="ACCNT_94.15" localSheetId="3">#REF!</definedName>
    <definedName name="ACCNT_94.15" localSheetId="5">#REF!</definedName>
    <definedName name="ACCNT_94.15">#REF!</definedName>
    <definedName name="ACCNT_94.16" localSheetId="2">#REF!</definedName>
    <definedName name="ACCNT_94.16" localSheetId="1">#REF!</definedName>
    <definedName name="ACCNT_94.16" localSheetId="0">#REF!</definedName>
    <definedName name="ACCNT_94.16" localSheetId="4">#REF!</definedName>
    <definedName name="ACCNT_94.16" localSheetId="3">#REF!</definedName>
    <definedName name="ACCNT_94.16" localSheetId="5">#REF!</definedName>
    <definedName name="ACCNT_94.16">#REF!</definedName>
    <definedName name="ACCNT_94.17" localSheetId="2">#REF!</definedName>
    <definedName name="ACCNT_94.17" localSheetId="1">#REF!</definedName>
    <definedName name="ACCNT_94.17" localSheetId="0">#REF!</definedName>
    <definedName name="ACCNT_94.17" localSheetId="4">#REF!</definedName>
    <definedName name="ACCNT_94.17" localSheetId="3">#REF!</definedName>
    <definedName name="ACCNT_94.17" localSheetId="5">#REF!</definedName>
    <definedName name="ACCNT_94.17">#REF!</definedName>
    <definedName name="ACCNT_94.18" localSheetId="2">#REF!</definedName>
    <definedName name="ACCNT_94.18" localSheetId="1">#REF!</definedName>
    <definedName name="ACCNT_94.18" localSheetId="0">#REF!</definedName>
    <definedName name="ACCNT_94.18" localSheetId="4">#REF!</definedName>
    <definedName name="ACCNT_94.18" localSheetId="3">#REF!</definedName>
    <definedName name="ACCNT_94.18" localSheetId="5">#REF!</definedName>
    <definedName name="ACCNT_94.18">#REF!</definedName>
    <definedName name="ACCNT_94.19" localSheetId="2">#REF!</definedName>
    <definedName name="ACCNT_94.19" localSheetId="1">#REF!</definedName>
    <definedName name="ACCNT_94.19" localSheetId="0">#REF!</definedName>
    <definedName name="ACCNT_94.19" localSheetId="4">#REF!</definedName>
    <definedName name="ACCNT_94.19" localSheetId="3">#REF!</definedName>
    <definedName name="ACCNT_94.19" localSheetId="5">#REF!</definedName>
    <definedName name="ACCNT_94.19">#REF!</definedName>
    <definedName name="ACCNT_94FCN" localSheetId="2">#REF!</definedName>
    <definedName name="ACCNT_94FCN" localSheetId="1">#REF!</definedName>
    <definedName name="ACCNT_94FCN" localSheetId="0">#REF!</definedName>
    <definedName name="ACCNT_94FCN" localSheetId="4">#REF!</definedName>
    <definedName name="ACCNT_94FCN" localSheetId="3">#REF!</definedName>
    <definedName name="ACCNT_94FCN" localSheetId="5">#REF!</definedName>
    <definedName name="ACCNT_94FCN">#REF!</definedName>
    <definedName name="ACCNT_94IS" localSheetId="2">#REF!</definedName>
    <definedName name="ACCNT_94IS" localSheetId="1">#REF!</definedName>
    <definedName name="ACCNT_94IS" localSheetId="0">#REF!</definedName>
    <definedName name="ACCNT_94IS" localSheetId="4">#REF!</definedName>
    <definedName name="ACCNT_94IS" localSheetId="3">#REF!</definedName>
    <definedName name="ACCNT_94IS" localSheetId="5">#REF!</definedName>
    <definedName name="ACCNT_94IS">#REF!</definedName>
    <definedName name="ACCNT_94LOCAL" localSheetId="2">#REF!</definedName>
    <definedName name="ACCNT_94LOCAL" localSheetId="1">#REF!</definedName>
    <definedName name="ACCNT_94LOCAL" localSheetId="0">#REF!</definedName>
    <definedName name="ACCNT_94LOCAL" localSheetId="4">#REF!</definedName>
    <definedName name="ACCNT_94LOCAL" localSheetId="3">#REF!</definedName>
    <definedName name="ACCNT_94LOCAL" localSheetId="5">#REF!</definedName>
    <definedName name="ACCNT_94LOCAL">#REF!</definedName>
    <definedName name="ACCNT_94US" localSheetId="2">#REF!</definedName>
    <definedName name="ACCNT_94US" localSheetId="1">#REF!</definedName>
    <definedName name="ACCNT_94US" localSheetId="0">#REF!</definedName>
    <definedName name="ACCNT_94US" localSheetId="4">#REF!</definedName>
    <definedName name="ACCNT_94US" localSheetId="3">#REF!</definedName>
    <definedName name="ACCNT_94US" localSheetId="5">#REF!</definedName>
    <definedName name="ACCNT_94US">#REF!</definedName>
    <definedName name="ACCNT_95" localSheetId="2">#REF!</definedName>
    <definedName name="ACCNT_95" localSheetId="1">#REF!</definedName>
    <definedName name="ACCNT_95" localSheetId="0">#REF!</definedName>
    <definedName name="ACCNT_95" localSheetId="4">#REF!</definedName>
    <definedName name="ACCNT_95" localSheetId="3">#REF!</definedName>
    <definedName name="ACCNT_95" localSheetId="5">#REF!</definedName>
    <definedName name="ACCNT_95">#REF!</definedName>
    <definedName name="ACCNT_95.1" localSheetId="2">#REF!</definedName>
    <definedName name="ACCNT_95.1" localSheetId="1">#REF!</definedName>
    <definedName name="ACCNT_95.1" localSheetId="0">#REF!</definedName>
    <definedName name="ACCNT_95.1" localSheetId="4">#REF!</definedName>
    <definedName name="ACCNT_95.1" localSheetId="3">#REF!</definedName>
    <definedName name="ACCNT_95.1" localSheetId="5">#REF!</definedName>
    <definedName name="ACCNT_95.1">#REF!</definedName>
    <definedName name="ACCNT_95.1FCN" localSheetId="2">#REF!</definedName>
    <definedName name="ACCNT_95.1FCN" localSheetId="1">#REF!</definedName>
    <definedName name="ACCNT_95.1FCN" localSheetId="0">#REF!</definedName>
    <definedName name="ACCNT_95.1FCN" localSheetId="4">#REF!</definedName>
    <definedName name="ACCNT_95.1FCN" localSheetId="3">#REF!</definedName>
    <definedName name="ACCNT_95.1FCN" localSheetId="5">#REF!</definedName>
    <definedName name="ACCNT_95.1FCN">#REF!</definedName>
    <definedName name="ACCNT_95.1IS" localSheetId="2">#REF!</definedName>
    <definedName name="ACCNT_95.1IS" localSheetId="1">#REF!</definedName>
    <definedName name="ACCNT_95.1IS" localSheetId="0">#REF!</definedName>
    <definedName name="ACCNT_95.1IS" localSheetId="4">#REF!</definedName>
    <definedName name="ACCNT_95.1IS" localSheetId="3">#REF!</definedName>
    <definedName name="ACCNT_95.1IS" localSheetId="5">#REF!</definedName>
    <definedName name="ACCNT_95.1IS">#REF!</definedName>
    <definedName name="ACCNT_95.1LOCAL" localSheetId="2">#REF!</definedName>
    <definedName name="ACCNT_95.1LOCAL" localSheetId="1">#REF!</definedName>
    <definedName name="ACCNT_95.1LOCAL" localSheetId="0">#REF!</definedName>
    <definedName name="ACCNT_95.1LOCAL" localSheetId="4">#REF!</definedName>
    <definedName name="ACCNT_95.1LOCAL" localSheetId="3">#REF!</definedName>
    <definedName name="ACCNT_95.1LOCAL" localSheetId="5">#REF!</definedName>
    <definedName name="ACCNT_95.1LOCAL">#REF!</definedName>
    <definedName name="ACCNT_95.1US" localSheetId="2">#REF!</definedName>
    <definedName name="ACCNT_95.1US" localSheetId="1">#REF!</definedName>
    <definedName name="ACCNT_95.1US" localSheetId="0">#REF!</definedName>
    <definedName name="ACCNT_95.1US" localSheetId="4">#REF!</definedName>
    <definedName name="ACCNT_95.1US" localSheetId="3">#REF!</definedName>
    <definedName name="ACCNT_95.1US" localSheetId="5">#REF!</definedName>
    <definedName name="ACCNT_95.1US">#REF!</definedName>
    <definedName name="ACCNT_95.3" localSheetId="2">#REF!</definedName>
    <definedName name="ACCNT_95.3" localSheetId="1">#REF!</definedName>
    <definedName name="ACCNT_95.3" localSheetId="0">#REF!</definedName>
    <definedName name="ACCNT_95.3" localSheetId="4">#REF!</definedName>
    <definedName name="ACCNT_95.3" localSheetId="3">#REF!</definedName>
    <definedName name="ACCNT_95.3" localSheetId="5">#REF!</definedName>
    <definedName name="ACCNT_95.3">#REF!</definedName>
    <definedName name="ACCNT_96" localSheetId="2">#REF!</definedName>
    <definedName name="ACCNT_96" localSheetId="1">#REF!</definedName>
    <definedName name="ACCNT_96" localSheetId="0">#REF!</definedName>
    <definedName name="ACCNT_96" localSheetId="4">#REF!</definedName>
    <definedName name="ACCNT_96" localSheetId="3">#REF!</definedName>
    <definedName name="ACCNT_96" localSheetId="5">#REF!</definedName>
    <definedName name="ACCNT_96">#REF!</definedName>
    <definedName name="ACCNT_97" localSheetId="2">#REF!</definedName>
    <definedName name="ACCNT_97" localSheetId="1">#REF!</definedName>
    <definedName name="ACCNT_97" localSheetId="0">#REF!</definedName>
    <definedName name="ACCNT_97" localSheetId="4">#REF!</definedName>
    <definedName name="ACCNT_97" localSheetId="3">#REF!</definedName>
    <definedName name="ACCNT_97" localSheetId="5">#REF!</definedName>
    <definedName name="ACCNT_97">#REF!</definedName>
    <definedName name="ACCNT_98" localSheetId="2">#REF!</definedName>
    <definedName name="ACCNT_98" localSheetId="1">#REF!</definedName>
    <definedName name="ACCNT_98" localSheetId="0">#REF!</definedName>
    <definedName name="ACCNT_98" localSheetId="4">#REF!</definedName>
    <definedName name="ACCNT_98" localSheetId="3">#REF!</definedName>
    <definedName name="ACCNT_98" localSheetId="5">#REF!</definedName>
    <definedName name="ACCNT_98">#REF!</definedName>
    <definedName name="ACCNT_98.1" localSheetId="2">#REF!</definedName>
    <definedName name="ACCNT_98.1" localSheetId="1">#REF!</definedName>
    <definedName name="ACCNT_98.1" localSheetId="0">#REF!</definedName>
    <definedName name="ACCNT_98.1" localSheetId="4">#REF!</definedName>
    <definedName name="ACCNT_98.1" localSheetId="3">#REF!</definedName>
    <definedName name="ACCNT_98.1" localSheetId="5">#REF!</definedName>
    <definedName name="ACCNT_98.1">#REF!</definedName>
    <definedName name="ACCNT_98.10THRU30" localSheetId="2">#REF!</definedName>
    <definedName name="ACCNT_98.10THRU30" localSheetId="1">#REF!</definedName>
    <definedName name="ACCNT_98.10THRU30" localSheetId="0">#REF!</definedName>
    <definedName name="ACCNT_98.10THRU30" localSheetId="4">#REF!</definedName>
    <definedName name="ACCNT_98.10THRU30" localSheetId="3">#REF!</definedName>
    <definedName name="ACCNT_98.10THRU30" localSheetId="5">#REF!</definedName>
    <definedName name="ACCNT_98.10THRU30">#REF!</definedName>
    <definedName name="ACCNT_98.11" localSheetId="2">#REF!</definedName>
    <definedName name="ACCNT_98.11" localSheetId="1">#REF!</definedName>
    <definedName name="ACCNT_98.11" localSheetId="0">#REF!</definedName>
    <definedName name="ACCNT_98.11" localSheetId="4">#REF!</definedName>
    <definedName name="ACCNT_98.11" localSheetId="3">#REF!</definedName>
    <definedName name="ACCNT_98.11" localSheetId="5">#REF!</definedName>
    <definedName name="ACCNT_98.11">#REF!</definedName>
    <definedName name="ACCNT_98.12" localSheetId="2">#REF!</definedName>
    <definedName name="ACCNT_98.12" localSheetId="1">#REF!</definedName>
    <definedName name="ACCNT_98.12" localSheetId="0">#REF!</definedName>
    <definedName name="ACCNT_98.12" localSheetId="4">#REF!</definedName>
    <definedName name="ACCNT_98.12" localSheetId="3">#REF!</definedName>
    <definedName name="ACCNT_98.12" localSheetId="5">#REF!</definedName>
    <definedName name="ACCNT_98.12">#REF!</definedName>
    <definedName name="ACCNT_98.13" localSheetId="2">#REF!</definedName>
    <definedName name="ACCNT_98.13" localSheetId="1">#REF!</definedName>
    <definedName name="ACCNT_98.13" localSheetId="0">#REF!</definedName>
    <definedName name="ACCNT_98.13" localSheetId="4">#REF!</definedName>
    <definedName name="ACCNT_98.13" localSheetId="3">#REF!</definedName>
    <definedName name="ACCNT_98.13" localSheetId="5">#REF!</definedName>
    <definedName name="ACCNT_98.13">#REF!</definedName>
    <definedName name="ACCNT_98.131" localSheetId="2">#REF!</definedName>
    <definedName name="ACCNT_98.131" localSheetId="1">#REF!</definedName>
    <definedName name="ACCNT_98.131" localSheetId="0">#REF!</definedName>
    <definedName name="ACCNT_98.131" localSheetId="4">#REF!</definedName>
    <definedName name="ACCNT_98.131" localSheetId="3">#REF!</definedName>
    <definedName name="ACCNT_98.131" localSheetId="5">#REF!</definedName>
    <definedName name="ACCNT_98.131">#REF!</definedName>
    <definedName name="ACCNT_98.14" localSheetId="2">#REF!</definedName>
    <definedName name="ACCNT_98.14" localSheetId="1">#REF!</definedName>
    <definedName name="ACCNT_98.14" localSheetId="0">#REF!</definedName>
    <definedName name="ACCNT_98.14" localSheetId="4">#REF!</definedName>
    <definedName name="ACCNT_98.14" localSheetId="3">#REF!</definedName>
    <definedName name="ACCNT_98.14" localSheetId="5">#REF!</definedName>
    <definedName name="ACCNT_98.14">#REF!</definedName>
    <definedName name="ACCNT_98.15" localSheetId="2">#REF!</definedName>
    <definedName name="ACCNT_98.15" localSheetId="1">#REF!</definedName>
    <definedName name="ACCNT_98.15" localSheetId="0">#REF!</definedName>
    <definedName name="ACCNT_98.15" localSheetId="4">#REF!</definedName>
    <definedName name="ACCNT_98.15" localSheetId="3">#REF!</definedName>
    <definedName name="ACCNT_98.15" localSheetId="5">#REF!</definedName>
    <definedName name="ACCNT_98.15">#REF!</definedName>
    <definedName name="ACCNT_98.16" localSheetId="2">#REF!</definedName>
    <definedName name="ACCNT_98.16" localSheetId="1">#REF!</definedName>
    <definedName name="ACCNT_98.16" localSheetId="0">#REF!</definedName>
    <definedName name="ACCNT_98.16" localSheetId="4">#REF!</definedName>
    <definedName name="ACCNT_98.16" localSheetId="3">#REF!</definedName>
    <definedName name="ACCNT_98.16" localSheetId="5">#REF!</definedName>
    <definedName name="ACCNT_98.16">#REF!</definedName>
    <definedName name="ACCNT_98.17" localSheetId="2">#REF!</definedName>
    <definedName name="ACCNT_98.17" localSheetId="1">#REF!</definedName>
    <definedName name="ACCNT_98.17" localSheetId="0">#REF!</definedName>
    <definedName name="ACCNT_98.17" localSheetId="4">#REF!</definedName>
    <definedName name="ACCNT_98.17" localSheetId="3">#REF!</definedName>
    <definedName name="ACCNT_98.17" localSheetId="5">#REF!</definedName>
    <definedName name="ACCNT_98.17">#REF!</definedName>
    <definedName name="ACCNT_98.18" localSheetId="2">#REF!</definedName>
    <definedName name="ACCNT_98.18" localSheetId="1">#REF!</definedName>
    <definedName name="ACCNT_98.18" localSheetId="0">#REF!</definedName>
    <definedName name="ACCNT_98.18" localSheetId="4">#REF!</definedName>
    <definedName name="ACCNT_98.18" localSheetId="3">#REF!</definedName>
    <definedName name="ACCNT_98.18" localSheetId="5">#REF!</definedName>
    <definedName name="ACCNT_98.18">#REF!</definedName>
    <definedName name="ACCNT_98.19" localSheetId="2">#REF!</definedName>
    <definedName name="ACCNT_98.19" localSheetId="1">#REF!</definedName>
    <definedName name="ACCNT_98.19" localSheetId="0">#REF!</definedName>
    <definedName name="ACCNT_98.19" localSheetId="4">#REF!</definedName>
    <definedName name="ACCNT_98.19" localSheetId="3">#REF!</definedName>
    <definedName name="ACCNT_98.19" localSheetId="5">#REF!</definedName>
    <definedName name="ACCNT_98.19">#REF!</definedName>
    <definedName name="ACCNT_98.191" localSheetId="2">#REF!</definedName>
    <definedName name="ACCNT_98.191" localSheetId="1">#REF!</definedName>
    <definedName name="ACCNT_98.191" localSheetId="0">#REF!</definedName>
    <definedName name="ACCNT_98.191" localSheetId="4">#REF!</definedName>
    <definedName name="ACCNT_98.191" localSheetId="3">#REF!</definedName>
    <definedName name="ACCNT_98.191" localSheetId="5">#REF!</definedName>
    <definedName name="ACCNT_98.191">#REF!</definedName>
    <definedName name="ACCNT_98.192" localSheetId="2">#REF!</definedName>
    <definedName name="ACCNT_98.192" localSheetId="1">#REF!</definedName>
    <definedName name="ACCNT_98.192" localSheetId="0">#REF!</definedName>
    <definedName name="ACCNT_98.192" localSheetId="4">#REF!</definedName>
    <definedName name="ACCNT_98.192" localSheetId="3">#REF!</definedName>
    <definedName name="ACCNT_98.192" localSheetId="5">#REF!</definedName>
    <definedName name="ACCNT_98.192">#REF!</definedName>
    <definedName name="ACCNT_98.2" localSheetId="2">#REF!</definedName>
    <definedName name="ACCNT_98.2" localSheetId="1">#REF!</definedName>
    <definedName name="ACCNT_98.2" localSheetId="0">#REF!</definedName>
    <definedName name="ACCNT_98.2" localSheetId="4">#REF!</definedName>
    <definedName name="ACCNT_98.2" localSheetId="3">#REF!</definedName>
    <definedName name="ACCNT_98.2" localSheetId="5">#REF!</definedName>
    <definedName name="ACCNT_98.2">#REF!</definedName>
    <definedName name="ACCNT_98.21" localSheetId="2">#REF!</definedName>
    <definedName name="ACCNT_98.21" localSheetId="1">#REF!</definedName>
    <definedName name="ACCNT_98.21" localSheetId="0">#REF!</definedName>
    <definedName name="ACCNT_98.21" localSheetId="4">#REF!</definedName>
    <definedName name="ACCNT_98.21" localSheetId="3">#REF!</definedName>
    <definedName name="ACCNT_98.21" localSheetId="5">#REF!</definedName>
    <definedName name="ACCNT_98.21">#REF!</definedName>
    <definedName name="ACCNT_98.22" localSheetId="2">#REF!</definedName>
    <definedName name="ACCNT_98.22" localSheetId="1">#REF!</definedName>
    <definedName name="ACCNT_98.22" localSheetId="0">#REF!</definedName>
    <definedName name="ACCNT_98.22" localSheetId="4">#REF!</definedName>
    <definedName name="ACCNT_98.22" localSheetId="3">#REF!</definedName>
    <definedName name="ACCNT_98.22" localSheetId="5">#REF!</definedName>
    <definedName name="ACCNT_98.22">#REF!</definedName>
    <definedName name="ACCNT_98.23" localSheetId="2">#REF!</definedName>
    <definedName name="ACCNT_98.23" localSheetId="1">#REF!</definedName>
    <definedName name="ACCNT_98.23" localSheetId="0">#REF!</definedName>
    <definedName name="ACCNT_98.23" localSheetId="4">#REF!</definedName>
    <definedName name="ACCNT_98.23" localSheetId="3">#REF!</definedName>
    <definedName name="ACCNT_98.23" localSheetId="5">#REF!</definedName>
    <definedName name="ACCNT_98.23">#REF!</definedName>
    <definedName name="ACCNT_98.24" localSheetId="2">#REF!</definedName>
    <definedName name="ACCNT_98.24" localSheetId="1">#REF!</definedName>
    <definedName name="ACCNT_98.24" localSheetId="0">#REF!</definedName>
    <definedName name="ACCNT_98.24" localSheetId="4">#REF!</definedName>
    <definedName name="ACCNT_98.24" localSheetId="3">#REF!</definedName>
    <definedName name="ACCNT_98.24" localSheetId="5">#REF!</definedName>
    <definedName name="ACCNT_98.24">#REF!</definedName>
    <definedName name="ACCNT_98.26" localSheetId="2">#REF!</definedName>
    <definedName name="ACCNT_98.26" localSheetId="1">#REF!</definedName>
    <definedName name="ACCNT_98.26" localSheetId="0">#REF!</definedName>
    <definedName name="ACCNT_98.26" localSheetId="4">#REF!</definedName>
    <definedName name="ACCNT_98.26" localSheetId="3">#REF!</definedName>
    <definedName name="ACCNT_98.26" localSheetId="5">#REF!</definedName>
    <definedName name="ACCNT_98.26">#REF!</definedName>
    <definedName name="ACCNT_98.3" localSheetId="2">#REF!</definedName>
    <definedName name="ACCNT_98.3" localSheetId="1">#REF!</definedName>
    <definedName name="ACCNT_98.3" localSheetId="0">#REF!</definedName>
    <definedName name="ACCNT_98.3" localSheetId="4">#REF!</definedName>
    <definedName name="ACCNT_98.3" localSheetId="3">#REF!</definedName>
    <definedName name="ACCNT_98.3" localSheetId="5">#REF!</definedName>
    <definedName name="ACCNT_98.3">#REF!</definedName>
    <definedName name="ACCNT_98.4" localSheetId="2">#REF!</definedName>
    <definedName name="ACCNT_98.4" localSheetId="1">#REF!</definedName>
    <definedName name="ACCNT_98.4" localSheetId="0">#REF!</definedName>
    <definedName name="ACCNT_98.4" localSheetId="4">#REF!</definedName>
    <definedName name="ACCNT_98.4" localSheetId="3">#REF!</definedName>
    <definedName name="ACCNT_98.4" localSheetId="5">#REF!</definedName>
    <definedName name="ACCNT_98.4">#REF!</definedName>
    <definedName name="ACCNT_98.40THRU90" localSheetId="2">#REF!</definedName>
    <definedName name="ACCNT_98.40THRU90" localSheetId="1">#REF!</definedName>
    <definedName name="ACCNT_98.40THRU90" localSheetId="0">#REF!</definedName>
    <definedName name="ACCNT_98.40THRU90" localSheetId="4">#REF!</definedName>
    <definedName name="ACCNT_98.40THRU90" localSheetId="3">#REF!</definedName>
    <definedName name="ACCNT_98.40THRU90" localSheetId="5">#REF!</definedName>
    <definedName name="ACCNT_98.40THRU90">#REF!</definedName>
    <definedName name="ACCNT_98.5" localSheetId="2">#REF!</definedName>
    <definedName name="ACCNT_98.5" localSheetId="1">#REF!</definedName>
    <definedName name="ACCNT_98.5" localSheetId="0">#REF!</definedName>
    <definedName name="ACCNT_98.5" localSheetId="4">#REF!</definedName>
    <definedName name="ACCNT_98.5" localSheetId="3">#REF!</definedName>
    <definedName name="ACCNT_98.5" localSheetId="5">#REF!</definedName>
    <definedName name="ACCNT_98.5">#REF!</definedName>
    <definedName name="ACCNT_98.51" localSheetId="2">#REF!</definedName>
    <definedName name="ACCNT_98.51" localSheetId="1">#REF!</definedName>
    <definedName name="ACCNT_98.51" localSheetId="0">#REF!</definedName>
    <definedName name="ACCNT_98.51" localSheetId="4">#REF!</definedName>
    <definedName name="ACCNT_98.51" localSheetId="3">#REF!</definedName>
    <definedName name="ACCNT_98.51" localSheetId="5">#REF!</definedName>
    <definedName name="ACCNT_98.51">#REF!</definedName>
    <definedName name="ACCNT_98.52" localSheetId="2">#REF!</definedName>
    <definedName name="ACCNT_98.52" localSheetId="1">#REF!</definedName>
    <definedName name="ACCNT_98.52" localSheetId="0">#REF!</definedName>
    <definedName name="ACCNT_98.52" localSheetId="4">#REF!</definedName>
    <definedName name="ACCNT_98.52" localSheetId="3">#REF!</definedName>
    <definedName name="ACCNT_98.52" localSheetId="5">#REF!</definedName>
    <definedName name="ACCNT_98.52">#REF!</definedName>
    <definedName name="ACCNT_98.6" localSheetId="2">#REF!</definedName>
    <definedName name="ACCNT_98.6" localSheetId="1">#REF!</definedName>
    <definedName name="ACCNT_98.6" localSheetId="0">#REF!</definedName>
    <definedName name="ACCNT_98.6" localSheetId="4">#REF!</definedName>
    <definedName name="ACCNT_98.6" localSheetId="3">#REF!</definedName>
    <definedName name="ACCNT_98.6" localSheetId="5">#REF!</definedName>
    <definedName name="ACCNT_98.6">#REF!</definedName>
    <definedName name="ACCNT_98.7" localSheetId="2">#REF!</definedName>
    <definedName name="ACCNT_98.7" localSheetId="1">#REF!</definedName>
    <definedName name="ACCNT_98.7" localSheetId="0">#REF!</definedName>
    <definedName name="ACCNT_98.7" localSheetId="4">#REF!</definedName>
    <definedName name="ACCNT_98.7" localSheetId="3">#REF!</definedName>
    <definedName name="ACCNT_98.7" localSheetId="5">#REF!</definedName>
    <definedName name="ACCNT_98.7">#REF!</definedName>
    <definedName name="ACCNT_98.8" localSheetId="2">#REF!</definedName>
    <definedName name="ACCNT_98.8" localSheetId="1">#REF!</definedName>
    <definedName name="ACCNT_98.8" localSheetId="0">#REF!</definedName>
    <definedName name="ACCNT_98.8" localSheetId="4">#REF!</definedName>
    <definedName name="ACCNT_98.8" localSheetId="3">#REF!</definedName>
    <definedName name="ACCNT_98.8" localSheetId="5">#REF!</definedName>
    <definedName name="ACCNT_98.8">#REF!</definedName>
    <definedName name="ACCNT_98.9" localSheetId="2">#REF!</definedName>
    <definedName name="ACCNT_98.9" localSheetId="1">#REF!</definedName>
    <definedName name="ACCNT_98.9" localSheetId="0">#REF!</definedName>
    <definedName name="ACCNT_98.9" localSheetId="4">#REF!</definedName>
    <definedName name="ACCNT_98.9" localSheetId="3">#REF!</definedName>
    <definedName name="ACCNT_98.9" localSheetId="5">#REF!</definedName>
    <definedName name="ACCNT_98.9">#REF!</definedName>
    <definedName name="ACCNT_98.91" localSheetId="2">#REF!</definedName>
    <definedName name="ACCNT_98.91" localSheetId="1">#REF!</definedName>
    <definedName name="ACCNT_98.91" localSheetId="0">#REF!</definedName>
    <definedName name="ACCNT_98.91" localSheetId="4">#REF!</definedName>
    <definedName name="ACCNT_98.91" localSheetId="3">#REF!</definedName>
    <definedName name="ACCNT_98.91" localSheetId="5">#REF!</definedName>
    <definedName name="ACCNT_98.91">#REF!</definedName>
    <definedName name="ACCNT_98.92" localSheetId="2">#REF!</definedName>
    <definedName name="ACCNT_98.92" localSheetId="1">#REF!</definedName>
    <definedName name="ACCNT_98.92" localSheetId="0">#REF!</definedName>
    <definedName name="ACCNT_98.92" localSheetId="4">#REF!</definedName>
    <definedName name="ACCNT_98.92" localSheetId="3">#REF!</definedName>
    <definedName name="ACCNT_98.92" localSheetId="5">#REF!</definedName>
    <definedName name="ACCNT_98.92">#REF!</definedName>
    <definedName name="ACCNT_98.93" localSheetId="2">#REF!</definedName>
    <definedName name="ACCNT_98.93" localSheetId="1">#REF!</definedName>
    <definedName name="ACCNT_98.93" localSheetId="0">#REF!</definedName>
    <definedName name="ACCNT_98.93" localSheetId="4">#REF!</definedName>
    <definedName name="ACCNT_98.93" localSheetId="3">#REF!</definedName>
    <definedName name="ACCNT_98.93" localSheetId="5">#REF!</definedName>
    <definedName name="ACCNT_98.93">#REF!</definedName>
    <definedName name="ACCNT_98.94" localSheetId="2">#REF!</definedName>
    <definedName name="ACCNT_98.94" localSheetId="1">#REF!</definedName>
    <definedName name="ACCNT_98.94" localSheetId="0">#REF!</definedName>
    <definedName name="ACCNT_98.94" localSheetId="4">#REF!</definedName>
    <definedName name="ACCNT_98.94" localSheetId="3">#REF!</definedName>
    <definedName name="ACCNT_98.94" localSheetId="5">#REF!</definedName>
    <definedName name="ACCNT_98.94">#REF!</definedName>
    <definedName name="ACCNT_99" localSheetId="2">#REF!</definedName>
    <definedName name="ACCNT_99" localSheetId="1">#REF!</definedName>
    <definedName name="ACCNT_99" localSheetId="0">#REF!</definedName>
    <definedName name="ACCNT_99" localSheetId="4">#REF!</definedName>
    <definedName name="ACCNT_99" localSheetId="3">#REF!</definedName>
    <definedName name="ACCNT_99" localSheetId="5">#REF!</definedName>
    <definedName name="ACCNT_99">#REF!</definedName>
    <definedName name="ACCNT_TOT" localSheetId="2">#REF!</definedName>
    <definedName name="ACCNT_TOT" localSheetId="1">#REF!</definedName>
    <definedName name="ACCNT_TOT" localSheetId="0">#REF!</definedName>
    <definedName name="ACCNT_TOT" localSheetId="4">#REF!</definedName>
    <definedName name="ACCNT_TOT" localSheetId="3">#REF!</definedName>
    <definedName name="ACCNT_TOT" localSheetId="5">#REF!</definedName>
    <definedName name="ACCNT_TOT">#REF!</definedName>
    <definedName name="account" localSheetId="4">#REF!</definedName>
    <definedName name="account" localSheetId="3">#REF!</definedName>
    <definedName name="account" localSheetId="5">#REF!</definedName>
    <definedName name="account">#REF!</definedName>
    <definedName name="ACT" localSheetId="4">#REF!</definedName>
    <definedName name="ACT" localSheetId="3">#REF!</definedName>
    <definedName name="ACT" localSheetId="5">#REF!</definedName>
    <definedName name="ACT">#REF!</definedName>
    <definedName name="ACTION" localSheetId="4">#REF!</definedName>
    <definedName name="ACTION" localSheetId="3">#REF!</definedName>
    <definedName name="ACTION" localSheetId="5">#REF!</definedName>
    <definedName name="ACTION">#REF!</definedName>
    <definedName name="ACTIVITY_5" localSheetId="2">#REF!</definedName>
    <definedName name="ACTIVITY_5" localSheetId="1">#REF!</definedName>
    <definedName name="ACTIVITY_5" localSheetId="0">#REF!</definedName>
    <definedName name="ACTIVITY_5" localSheetId="4">#REF!</definedName>
    <definedName name="ACTIVITY_5" localSheetId="3">#REF!</definedName>
    <definedName name="ACTIVITY_5" localSheetId="5">#REF!</definedName>
    <definedName name="ACTIVITY_5">#REF!</definedName>
    <definedName name="ACTIVITY_6" localSheetId="2">#REF!</definedName>
    <definedName name="ACTIVITY_6" localSheetId="1">#REF!</definedName>
    <definedName name="ACTIVITY_6" localSheetId="0">#REF!</definedName>
    <definedName name="ACTIVITY_6" localSheetId="4">#REF!</definedName>
    <definedName name="ACTIVITY_6" localSheetId="3">#REF!</definedName>
    <definedName name="ACTIVITY_6" localSheetId="5">#REF!</definedName>
    <definedName name="ACTIVITY_6">#REF!</definedName>
    <definedName name="Actual_1" localSheetId="2">#REF!</definedName>
    <definedName name="Actual_1" localSheetId="1">#REF!</definedName>
    <definedName name="Actual_1" localSheetId="0">#REF!</definedName>
    <definedName name="Actual_1" localSheetId="4">#REF!</definedName>
    <definedName name="Actual_1" localSheetId="3">#REF!</definedName>
    <definedName name="Actual_1" localSheetId="5">#REF!</definedName>
    <definedName name="Actual_1">#REF!</definedName>
    <definedName name="Actual_10" localSheetId="2">#REF!</definedName>
    <definedName name="Actual_10" localSheetId="1">#REF!</definedName>
    <definedName name="Actual_10" localSheetId="0">#REF!</definedName>
    <definedName name="Actual_10" localSheetId="4">#REF!</definedName>
    <definedName name="Actual_10" localSheetId="3">#REF!</definedName>
    <definedName name="Actual_10" localSheetId="5">#REF!</definedName>
    <definedName name="Actual_10">#REF!</definedName>
    <definedName name="Actual_11" localSheetId="2">#REF!</definedName>
    <definedName name="Actual_11" localSheetId="1">#REF!</definedName>
    <definedName name="Actual_11" localSheetId="0">#REF!</definedName>
    <definedName name="Actual_11" localSheetId="4">#REF!</definedName>
    <definedName name="Actual_11" localSheetId="3">#REF!</definedName>
    <definedName name="Actual_11" localSheetId="5">#REF!</definedName>
    <definedName name="Actual_11">#REF!</definedName>
    <definedName name="Actual_12" localSheetId="2">#REF!</definedName>
    <definedName name="Actual_12" localSheetId="1">#REF!</definedName>
    <definedName name="Actual_12" localSheetId="0">#REF!</definedName>
    <definedName name="Actual_12" localSheetId="4">#REF!</definedName>
    <definedName name="Actual_12" localSheetId="3">#REF!</definedName>
    <definedName name="Actual_12" localSheetId="5">#REF!</definedName>
    <definedName name="Actual_12">#REF!</definedName>
    <definedName name="Actual_13" localSheetId="2">#REF!</definedName>
    <definedName name="Actual_13" localSheetId="1">#REF!</definedName>
    <definedName name="Actual_13" localSheetId="0">#REF!</definedName>
    <definedName name="Actual_13" localSheetId="4">#REF!</definedName>
    <definedName name="Actual_13" localSheetId="3">#REF!</definedName>
    <definedName name="Actual_13" localSheetId="5">#REF!</definedName>
    <definedName name="Actual_13">#REF!</definedName>
    <definedName name="Actual_2" localSheetId="2">#REF!</definedName>
    <definedName name="Actual_2" localSheetId="1">#REF!</definedName>
    <definedName name="Actual_2" localSheetId="0">#REF!</definedName>
    <definedName name="Actual_2" localSheetId="4">#REF!</definedName>
    <definedName name="Actual_2" localSheetId="3">#REF!</definedName>
    <definedName name="Actual_2" localSheetId="5">#REF!</definedName>
    <definedName name="Actual_2">#REF!</definedName>
    <definedName name="Actual_3" localSheetId="2">#REF!</definedName>
    <definedName name="Actual_3" localSheetId="1">#REF!</definedName>
    <definedName name="Actual_3" localSheetId="0">#REF!</definedName>
    <definedName name="Actual_3" localSheetId="4">#REF!</definedName>
    <definedName name="Actual_3" localSheetId="3">#REF!</definedName>
    <definedName name="Actual_3" localSheetId="5">#REF!</definedName>
    <definedName name="Actual_3">#REF!</definedName>
    <definedName name="Actual_4" localSheetId="2">#REF!</definedName>
    <definedName name="Actual_4" localSheetId="1">#REF!</definedName>
    <definedName name="Actual_4" localSheetId="0">#REF!</definedName>
    <definedName name="Actual_4" localSheetId="4">#REF!</definedName>
    <definedName name="Actual_4" localSheetId="3">#REF!</definedName>
    <definedName name="Actual_4" localSheetId="5">#REF!</definedName>
    <definedName name="Actual_4">#REF!</definedName>
    <definedName name="Actual_5" localSheetId="2">#REF!</definedName>
    <definedName name="Actual_5" localSheetId="1">#REF!</definedName>
    <definedName name="Actual_5" localSheetId="0">#REF!</definedName>
    <definedName name="Actual_5" localSheetId="4">#REF!</definedName>
    <definedName name="Actual_5" localSheetId="3">#REF!</definedName>
    <definedName name="Actual_5" localSheetId="5">#REF!</definedName>
    <definedName name="Actual_5">#REF!</definedName>
    <definedName name="Actual_6" localSheetId="2">#REF!</definedName>
    <definedName name="Actual_6" localSheetId="1">#REF!</definedName>
    <definedName name="Actual_6" localSheetId="0">#REF!</definedName>
    <definedName name="Actual_6" localSheetId="4">#REF!</definedName>
    <definedName name="Actual_6" localSheetId="3">#REF!</definedName>
    <definedName name="Actual_6" localSheetId="5">#REF!</definedName>
    <definedName name="Actual_6">#REF!</definedName>
    <definedName name="Actual_7" localSheetId="2">#REF!</definedName>
    <definedName name="Actual_7" localSheetId="1">#REF!</definedName>
    <definedName name="Actual_7" localSheetId="0">#REF!</definedName>
    <definedName name="Actual_7" localSheetId="4">#REF!</definedName>
    <definedName name="Actual_7" localSheetId="3">#REF!</definedName>
    <definedName name="Actual_7" localSheetId="5">#REF!</definedName>
    <definedName name="Actual_7">#REF!</definedName>
    <definedName name="Actual_8" localSheetId="2">#REF!</definedName>
    <definedName name="Actual_8" localSheetId="1">#REF!</definedName>
    <definedName name="Actual_8" localSheetId="0">#REF!</definedName>
    <definedName name="Actual_8" localSheetId="4">#REF!</definedName>
    <definedName name="Actual_8" localSheetId="3">#REF!</definedName>
    <definedName name="Actual_8" localSheetId="5">#REF!</definedName>
    <definedName name="Actual_8">#REF!</definedName>
    <definedName name="Actual_9" localSheetId="2">#REF!</definedName>
    <definedName name="Actual_9" localSheetId="1">#REF!</definedName>
    <definedName name="Actual_9" localSheetId="0">#REF!</definedName>
    <definedName name="Actual_9" localSheetId="4">#REF!</definedName>
    <definedName name="Actual_9" localSheetId="3">#REF!</definedName>
    <definedName name="Actual_9" localSheetId="5">#REF!</definedName>
    <definedName name="Actual_9">#REF!</definedName>
    <definedName name="Actual_Mnth" localSheetId="2">#REF!</definedName>
    <definedName name="Actual_Mnth" localSheetId="1">#REF!</definedName>
    <definedName name="Actual_Mnth" localSheetId="0">#REF!</definedName>
    <definedName name="Actual_Mnth" localSheetId="4">#REF!</definedName>
    <definedName name="Actual_Mnth" localSheetId="3">#REF!</definedName>
    <definedName name="Actual_Mnth" localSheetId="5">#REF!</definedName>
    <definedName name="Actual_Mnth">#REF!</definedName>
    <definedName name="Actual_YTD" localSheetId="2">#REF!</definedName>
    <definedName name="Actual_YTD" localSheetId="1">#REF!</definedName>
    <definedName name="Actual_YTD" localSheetId="0">#REF!</definedName>
    <definedName name="Actual_YTD" localSheetId="4">#REF!</definedName>
    <definedName name="Actual_YTD" localSheetId="3">#REF!</definedName>
    <definedName name="Actual_YTD" localSheetId="5">#REF!</definedName>
    <definedName name="Actual_YTD">#REF!</definedName>
    <definedName name="ActualStaffList" localSheetId="4">#REF!</definedName>
    <definedName name="ActualStaffList" localSheetId="3">#REF!</definedName>
    <definedName name="ActualStaffList" localSheetId="5">#REF!</definedName>
    <definedName name="ActualStaffList">#REF!</definedName>
    <definedName name="ada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dress" localSheetId="2">#REF!</definedName>
    <definedName name="Address" localSheetId="1">#REF!</definedName>
    <definedName name="Address" localSheetId="0">#REF!</definedName>
    <definedName name="Address" localSheetId="4">#REF!</definedName>
    <definedName name="Address" localSheetId="3">#REF!</definedName>
    <definedName name="Address" localSheetId="5">#REF!</definedName>
    <definedName name="Address">#REF!</definedName>
    <definedName name="addresses" localSheetId="4">#REF!</definedName>
    <definedName name="addresses" localSheetId="3">#REF!</definedName>
    <definedName name="addresses" localSheetId="5">#REF!</definedName>
    <definedName name="addresses">#REF!</definedName>
    <definedName name="ADVANCE" localSheetId="2">#REF!</definedName>
    <definedName name="ADVANCE" localSheetId="1">#REF!</definedName>
    <definedName name="ADVANCE" localSheetId="0">#REF!</definedName>
    <definedName name="ADVANCE" localSheetId="4">#REF!</definedName>
    <definedName name="ADVANCE" localSheetId="3">#REF!</definedName>
    <definedName name="ADVANCE" localSheetId="5">#REF!</definedName>
    <definedName name="ADVANCE">#REF!</definedName>
    <definedName name="AdvancePaymentLevel" localSheetId="4">#REF!</definedName>
    <definedName name="AdvancePaymentLevel" localSheetId="3">#REF!</definedName>
    <definedName name="AdvancePaymentLevel" localSheetId="5">#REF!</definedName>
    <definedName name="AdvancePaymentLevel">#REF!</definedName>
    <definedName name="AFGIS_ELECT" localSheetId="2">#REF!</definedName>
    <definedName name="AFGIS_ELECT" localSheetId="1">#REF!</definedName>
    <definedName name="AFGIS_ELECT" localSheetId="0">#REF!</definedName>
    <definedName name="AFGIS_ELECT" localSheetId="4">#REF!</definedName>
    <definedName name="AFGIS_ELECT" localSheetId="3">#REF!</definedName>
    <definedName name="AFGIS_ELECT" localSheetId="5">#REF!</definedName>
    <definedName name="AFGIS_ELECT">#REF!</definedName>
    <definedName name="AFTER_MP" localSheetId="2">#REF!</definedName>
    <definedName name="AFTER_MP" localSheetId="1">#REF!</definedName>
    <definedName name="AFTER_MP" localSheetId="0">#REF!</definedName>
    <definedName name="AFTER_MP" localSheetId="4">#REF!</definedName>
    <definedName name="AFTER_MP" localSheetId="3">#REF!</definedName>
    <definedName name="AFTER_MP" localSheetId="5">#REF!</definedName>
    <definedName name="AFTER_MP">#REF!</definedName>
    <definedName name="ag" localSheetId="2">#REF!</definedName>
    <definedName name="ag" localSheetId="1">#REF!</definedName>
    <definedName name="ag" localSheetId="0">#REF!</definedName>
    <definedName name="ag" localSheetId="4">#REF!</definedName>
    <definedName name="ag" localSheetId="3">#REF!</definedName>
    <definedName name="ag" localSheetId="5">#REF!</definedName>
    <definedName name="ag">#REF!</definedName>
    <definedName name="Agree1" localSheetId="2">#REF!</definedName>
    <definedName name="Agree1" localSheetId="1">#REF!</definedName>
    <definedName name="Agree1" localSheetId="0">#REF!</definedName>
    <definedName name="Agree1" localSheetId="4">#REF!</definedName>
    <definedName name="Agree1" localSheetId="3">#REF!</definedName>
    <definedName name="Agree1" localSheetId="5">#REF!</definedName>
    <definedName name="Agree1">#REF!</definedName>
    <definedName name="AGREEMENT" localSheetId="2">#REF!</definedName>
    <definedName name="AGREEMENT" localSheetId="1">#REF!</definedName>
    <definedName name="AGREEMENT" localSheetId="0">#REF!</definedName>
    <definedName name="AGREEMENT" localSheetId="4">#REF!</definedName>
    <definedName name="AGREEMENT" localSheetId="3">#REF!</definedName>
    <definedName name="AGREEMENT" localSheetId="5">#REF!</definedName>
    <definedName name="AGREEMENT">#REF!</definedName>
    <definedName name="ah" localSheetId="2">#REF!,#REF!,#REF!,#REF!,#REF!,#REF!,#REF!,#REF!,#REF!,#REF!</definedName>
    <definedName name="ah" localSheetId="1">#REF!,#REF!,#REF!,#REF!,#REF!,#REF!,#REF!,#REF!,#REF!,#REF!</definedName>
    <definedName name="ah" localSheetId="0">#REF!,#REF!,#REF!,#REF!,#REF!,#REF!,#REF!,#REF!,#REF!,#REF!</definedName>
    <definedName name="ah" localSheetId="4">#REF!,#REF!,#REF!,#REF!,#REF!,#REF!,#REF!,#REF!,#REF!,#REF!</definedName>
    <definedName name="ah" localSheetId="3">#REF!,#REF!,#REF!,#REF!,#REF!,#REF!,#REF!,#REF!,#REF!,#REF!</definedName>
    <definedName name="ah" localSheetId="5">#REF!,#REF!,#REF!,#REF!,#REF!,#REF!,#REF!,#REF!,#REF!,#REF!</definedName>
    <definedName name="ah">#REF!,#REF!,#REF!,#REF!,#REF!,#REF!,#REF!,#REF!,#REF!,#REF!</definedName>
    <definedName name="ahgd" localSheetId="2">#REF!</definedName>
    <definedName name="ahgd" localSheetId="1">#REF!</definedName>
    <definedName name="ahgd" localSheetId="0">#REF!</definedName>
    <definedName name="ahgd" localSheetId="4">#REF!</definedName>
    <definedName name="ahgd" localSheetId="3">#REF!</definedName>
    <definedName name="ahgd" localSheetId="5">#REF!</definedName>
    <definedName name="ahgd">#REF!</definedName>
    <definedName name="AHU" localSheetId="4">#REF!</definedName>
    <definedName name="AHU" localSheetId="3">#REF!</definedName>
    <definedName name="AHU" localSheetId="5">#REF!</definedName>
    <definedName name="AHU">#REF!</definedName>
    <definedName name="Aic_Instrumentation_List" localSheetId="2">#REF!</definedName>
    <definedName name="Aic_Instrumentation_List" localSheetId="1">#REF!</definedName>
    <definedName name="Aic_Instrumentation_List" localSheetId="0">#REF!</definedName>
    <definedName name="Aic_Instrumentation_List" localSheetId="4">#REF!</definedName>
    <definedName name="Aic_Instrumentation_List" localSheetId="3">#REF!</definedName>
    <definedName name="Aic_Instrumentation_List" localSheetId="5">#REF!</definedName>
    <definedName name="Aic_Instrumentation_List">#REF!</definedName>
    <definedName name="Air_outlet" localSheetId="4">#REF!</definedName>
    <definedName name="Air_outlet" localSheetId="3">#REF!</definedName>
    <definedName name="Air_outlet" localSheetId="5">#REF!</definedName>
    <definedName name="Air_outlet">#REF!</definedName>
    <definedName name="air_trap" localSheetId="2">#REF!</definedName>
    <definedName name="air_trap" localSheetId="1">#REF!</definedName>
    <definedName name="air_trap" localSheetId="0">#REF!</definedName>
    <definedName name="air_trap" localSheetId="4">#REF!</definedName>
    <definedName name="air_trap" localSheetId="3">#REF!</definedName>
    <definedName name="air_trap" localSheetId="5">#REF!</definedName>
    <definedName name="air_trap">#REF!</definedName>
    <definedName name="Air_vent_drain_valve" localSheetId="4">#REF!</definedName>
    <definedName name="Air_vent_drain_valve" localSheetId="3">#REF!</definedName>
    <definedName name="Air_vent_drain_valve" localSheetId="5">#REF!</definedName>
    <definedName name="Air_vent_drain_valve">#REF!</definedName>
    <definedName name="AIRCON" localSheetId="2">#REF!</definedName>
    <definedName name="AIRCON" localSheetId="1">#REF!</definedName>
    <definedName name="AIRCON" localSheetId="0">#REF!</definedName>
    <definedName name="AIRCON" localSheetId="4">#REF!</definedName>
    <definedName name="AIRCON" localSheetId="3">#REF!</definedName>
    <definedName name="AIRCON" localSheetId="5">#REF!</definedName>
    <definedName name="AIRCON">#REF!</definedName>
    <definedName name="Aircraft_Warning_Lighting" localSheetId="4">#REF!</definedName>
    <definedName name="Aircraft_Warning_Lighting" localSheetId="3">#REF!</definedName>
    <definedName name="Aircraft_Warning_Lighting" localSheetId="5">#REF!</definedName>
    <definedName name="Aircraft_Warning_Lighting">#REF!</definedName>
    <definedName name="al" localSheetId="2">#REF!</definedName>
    <definedName name="al" localSheetId="1">#REF!</definedName>
    <definedName name="al" localSheetId="0">#REF!</definedName>
    <definedName name="al" localSheetId="4">#REF!</definedName>
    <definedName name="al" localSheetId="3">#REF!</definedName>
    <definedName name="al" localSheetId="5">#REF!</definedName>
    <definedName name="al">#REF!</definedName>
    <definedName name="ALL" localSheetId="2">#REF!</definedName>
    <definedName name="ALL" localSheetId="1">#REF!</definedName>
    <definedName name="ALL" localSheetId="0">#REF!</definedName>
    <definedName name="ALL" localSheetId="4">#REF!</definedName>
    <definedName name="ALL" localSheetId="3">#REF!</definedName>
    <definedName name="ALL" localSheetId="5">#REF!</definedName>
    <definedName name="ALL">#REF!</definedName>
    <definedName name="all_airmech" localSheetId="4">#REF!</definedName>
    <definedName name="all_airmech" localSheetId="3">#REF!</definedName>
    <definedName name="all_airmech" localSheetId="5">#REF!</definedName>
    <definedName name="all_airmech">#REF!</definedName>
    <definedName name="all_data" localSheetId="4">#REF!</definedName>
    <definedName name="all_data" localSheetId="3">#REF!</definedName>
    <definedName name="all_data" localSheetId="5">#REF!</definedName>
    <definedName name="all_data">#REF!</definedName>
    <definedName name="all_hilalco" localSheetId="4">#REF!</definedName>
    <definedName name="all_hilalco" localSheetId="3">#REF!</definedName>
    <definedName name="all_hilalco" localSheetId="5">#REF!</definedName>
    <definedName name="all_hilalco">#REF!</definedName>
    <definedName name="all_misc" localSheetId="4">#REF!</definedName>
    <definedName name="all_misc" localSheetId="3">#REF!</definedName>
    <definedName name="all_misc" localSheetId="5">#REF!</definedName>
    <definedName name="all_misc">#REF!</definedName>
    <definedName name="all_ryum" localSheetId="4">#REF!</definedName>
    <definedName name="all_ryum" localSheetId="3">#REF!</definedName>
    <definedName name="all_ryum" localSheetId="5">#REF!</definedName>
    <definedName name="all_ryum">#REF!</definedName>
    <definedName name="all_terrazzo" localSheetId="4">#REF!</definedName>
    <definedName name="all_terrazzo" localSheetId="3">#REF!</definedName>
    <definedName name="all_terrazzo" localSheetId="5">#REF!</definedName>
    <definedName name="all_terrazzo">#REF!</definedName>
    <definedName name="allowance" localSheetId="2">#REF!</definedName>
    <definedName name="allowance" localSheetId="1">#REF!</definedName>
    <definedName name="allowance" localSheetId="0">#REF!</definedName>
    <definedName name="allowance" localSheetId="4">#REF!</definedName>
    <definedName name="allowance" localSheetId="3">#REF!</definedName>
    <definedName name="allowance" localSheetId="5">#REF!</definedName>
    <definedName name="allowance">#REF!</definedName>
    <definedName name="allsubincPending" localSheetId="4">#REF!</definedName>
    <definedName name="allsubincPending" localSheetId="3">#REF!</definedName>
    <definedName name="allsubincPending" localSheetId="5">#REF!</definedName>
    <definedName name="allsubincPending">#REF!</definedName>
    <definedName name="allsubmittals" localSheetId="4">#REF!</definedName>
    <definedName name="allsubmittals" localSheetId="3">#REF!</definedName>
    <definedName name="allsubmittals" localSheetId="5">#REF!</definedName>
    <definedName name="allsubmittals">#REF!</definedName>
    <definedName name="Amount" localSheetId="2">#REF!</definedName>
    <definedName name="Amount" localSheetId="1">#REF!</definedName>
    <definedName name="Amount" localSheetId="0">#REF!</definedName>
    <definedName name="Amount" localSheetId="4">#REF!</definedName>
    <definedName name="Amount" localSheetId="3">#REF!</definedName>
    <definedName name="Amount" localSheetId="5">#REF!</definedName>
    <definedName name="Amount">#REF!</definedName>
    <definedName name="Amount_of_repayment_due_from_previous_years" localSheetId="2">#REF!</definedName>
    <definedName name="Amount_of_repayment_due_from_previous_years" localSheetId="1">#REF!</definedName>
    <definedName name="Amount_of_repayment_due_from_previous_years" localSheetId="0">#REF!</definedName>
    <definedName name="Amount_of_repayment_due_from_previous_years" localSheetId="4">#REF!</definedName>
    <definedName name="Amount_of_repayment_due_from_previous_years" localSheetId="3">#REF!</definedName>
    <definedName name="Amount_of_repayment_due_from_previous_years" localSheetId="5">#REF!</definedName>
    <definedName name="Amount_of_repayment_due_from_previous_years">#REF!</definedName>
    <definedName name="Amt_prev_paid" localSheetId="2">#REF!</definedName>
    <definedName name="Amt_prev_paid" localSheetId="1">#REF!</definedName>
    <definedName name="Amt_prev_paid" localSheetId="4">#REF!</definedName>
    <definedName name="Amt_prev_paid" localSheetId="3">#REF!</definedName>
    <definedName name="Amt_prev_paid" localSheetId="5">#REF!</definedName>
    <definedName name="Amt_prev_paid">#REF!</definedName>
    <definedName name="Amt_prev_paid_range" localSheetId="2">#REF!</definedName>
    <definedName name="Amt_prev_paid_range" localSheetId="1">#REF!</definedName>
    <definedName name="Amt_prev_paid_range" localSheetId="4">#REF!</definedName>
    <definedName name="Amt_prev_paid_range" localSheetId="3">#REF!</definedName>
    <definedName name="Amt_prev_paid_range" localSheetId="5">#REF!</definedName>
    <definedName name="Amt_prev_paid_range">#REF!</definedName>
    <definedName name="angle" localSheetId="2">#REF!</definedName>
    <definedName name="angle" localSheetId="1">#REF!</definedName>
    <definedName name="angle" localSheetId="0">#REF!</definedName>
    <definedName name="angle" localSheetId="4">#REF!</definedName>
    <definedName name="angle" localSheetId="3">#REF!</definedName>
    <definedName name="angle" localSheetId="5">#REF!</definedName>
    <definedName name="angle">#REF!</definedName>
    <definedName name="ANNAB" localSheetId="2">#REF!</definedName>
    <definedName name="ANNAB" localSheetId="1">#REF!</definedName>
    <definedName name="ANNAB" localSheetId="0">#REF!</definedName>
    <definedName name="ANNAB" localSheetId="4">#REF!</definedName>
    <definedName name="ANNAB" localSheetId="3">#REF!</definedName>
    <definedName name="ANNAB" localSheetId="5">#REF!</definedName>
    <definedName name="ANNAB">#REF!</definedName>
    <definedName name="ANNEXSUM" localSheetId="2">#REF!</definedName>
    <definedName name="ANNEXSUM" localSheetId="1">#REF!</definedName>
    <definedName name="ANNEXSUM" localSheetId="0">#REF!</definedName>
    <definedName name="ANNEXSUM" localSheetId="4">#REF!</definedName>
    <definedName name="ANNEXSUM" localSheetId="3">#REF!</definedName>
    <definedName name="ANNEXSUM" localSheetId="5">#REF!</definedName>
    <definedName name="ANNEXSUM">#REF!</definedName>
    <definedName name="AnnivesaryDateCOR" localSheetId="4">#REF!</definedName>
    <definedName name="AnnivesaryDateCOR" localSheetId="3">#REF!</definedName>
    <definedName name="AnnivesaryDateCOR" localSheetId="5">#REF!</definedName>
    <definedName name="AnnivesaryDateCOR">#REF!</definedName>
    <definedName name="ANNSUM" localSheetId="2">#REF!</definedName>
    <definedName name="ANNSUM" localSheetId="1">#REF!</definedName>
    <definedName name="ANNSUM" localSheetId="0">#REF!</definedName>
    <definedName name="ANNSUM" localSheetId="4">#REF!</definedName>
    <definedName name="ANNSUM" localSheetId="3">#REF!</definedName>
    <definedName name="ANNSUM" localSheetId="5">#REF!</definedName>
    <definedName name="ANNSUM">#REF!</definedName>
    <definedName name="anscount" hidden="1">1</definedName>
    <definedName name="anything" localSheetId="2" hidden="1">#REF!</definedName>
    <definedName name="anything" localSheetId="1" hidden="1">#REF!</definedName>
    <definedName name="anything" localSheetId="0" hidden="1">#REF!</definedName>
    <definedName name="anything" localSheetId="4" hidden="1">#REF!</definedName>
    <definedName name="anything" localSheetId="3" hidden="1">#REF!</definedName>
    <definedName name="anything" localSheetId="5" hidden="1">#REF!</definedName>
    <definedName name="anything" hidden="1">#REF!</definedName>
    <definedName name="AppAmt" localSheetId="2">#REF!</definedName>
    <definedName name="AppAmt" localSheetId="1">#REF!</definedName>
    <definedName name="AppAmt" localSheetId="0">#REF!</definedName>
    <definedName name="AppAmt" localSheetId="4">#REF!</definedName>
    <definedName name="AppAmt" localSheetId="3">#REF!</definedName>
    <definedName name="AppAmt" localSheetId="5">#REF!</definedName>
    <definedName name="AppAmt">#REF!</definedName>
    <definedName name="APPINDEX" localSheetId="2">#REF!</definedName>
    <definedName name="APPINDEX" localSheetId="1">#REF!</definedName>
    <definedName name="APPINDEX" localSheetId="0">#REF!</definedName>
    <definedName name="APPINDEX" localSheetId="4">#REF!</definedName>
    <definedName name="APPINDEX" localSheetId="3">#REF!</definedName>
    <definedName name="APPINDEX" localSheetId="5">#REF!</definedName>
    <definedName name="APPINDEX">#REF!</definedName>
    <definedName name="appraisal" localSheetId="2" hidden="1">{#N/A,#N/A,TRUE,"Cover";#N/A,#N/A,TRUE,"Conts";#N/A,#N/A,TRUE,"VOS";#N/A,#N/A,TRUE,"Warrington";#N/A,#N/A,TRUE,"Widnes"}</definedName>
    <definedName name="appraisal" localSheetId="1" hidden="1">{#N/A,#N/A,TRUE,"Cover";#N/A,#N/A,TRUE,"Conts";#N/A,#N/A,TRUE,"VOS";#N/A,#N/A,TRUE,"Warrington";#N/A,#N/A,TRUE,"Widnes"}</definedName>
    <definedName name="appraisal" localSheetId="0" hidden="1">{#N/A,#N/A,TRUE,"Cover";#N/A,#N/A,TRUE,"Conts";#N/A,#N/A,TRUE,"VOS";#N/A,#N/A,TRUE,"Warrington";#N/A,#N/A,TRUE,"Widnes"}</definedName>
    <definedName name="appraisal" localSheetId="4" hidden="1">{#N/A,#N/A,TRUE,"Cover";#N/A,#N/A,TRUE,"Conts";#N/A,#N/A,TRUE,"VOS";#N/A,#N/A,TRUE,"Warrington";#N/A,#N/A,TRUE,"Widnes"}</definedName>
    <definedName name="appraisal" localSheetId="3" hidden="1">{#N/A,#N/A,TRUE,"Cover";#N/A,#N/A,TRUE,"Conts";#N/A,#N/A,TRUE,"VOS";#N/A,#N/A,TRUE,"Warrington";#N/A,#N/A,TRUE,"Widnes"}</definedName>
    <definedName name="appraisal" localSheetId="5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qwse">#N/A</definedName>
    <definedName name="ARCH_CITY" localSheetId="2">#REF!</definedName>
    <definedName name="ARCH_CITY" localSheetId="1">#REF!</definedName>
    <definedName name="ARCH_CITY" localSheetId="0">#REF!</definedName>
    <definedName name="ARCH_CITY" localSheetId="4">#REF!</definedName>
    <definedName name="ARCH_CITY" localSheetId="3">#REF!</definedName>
    <definedName name="ARCH_CITY" localSheetId="5">#REF!</definedName>
    <definedName name="ARCH_CITY">#REF!</definedName>
    <definedName name="ARCH_ESC" localSheetId="2">#REF!</definedName>
    <definedName name="ARCH_ESC" localSheetId="1">#REF!</definedName>
    <definedName name="ARCH_ESC" localSheetId="0">#REF!</definedName>
    <definedName name="ARCH_ESC" localSheetId="4">#REF!</definedName>
    <definedName name="ARCH_ESC" localSheetId="3">#REF!</definedName>
    <definedName name="ARCH_ESC" localSheetId="5">#REF!</definedName>
    <definedName name="ARCH_ESC">#REF!</definedName>
    <definedName name="ARCH_OLD_CITY" localSheetId="2">#REF!</definedName>
    <definedName name="ARCH_OLD_CITY" localSheetId="1">#REF!</definedName>
    <definedName name="ARCH_OLD_CITY" localSheetId="0">#REF!</definedName>
    <definedName name="ARCH_OLD_CITY" localSheetId="4">#REF!</definedName>
    <definedName name="ARCH_OLD_CITY" localSheetId="3">#REF!</definedName>
    <definedName name="ARCH_OLD_CITY" localSheetId="5">#REF!</definedName>
    <definedName name="ARCH_OLD_CITY">#REF!</definedName>
    <definedName name="ARCH_OLD_ESC" localSheetId="2">#REF!</definedName>
    <definedName name="ARCH_OLD_ESC" localSheetId="1">#REF!</definedName>
    <definedName name="ARCH_OLD_ESC" localSheetId="0">#REF!</definedName>
    <definedName name="ARCH_OLD_ESC" localSheetId="4">#REF!</definedName>
    <definedName name="ARCH_OLD_ESC" localSheetId="3">#REF!</definedName>
    <definedName name="ARCH_OLD_ESC" localSheetId="5">#REF!</definedName>
    <definedName name="ARCH_OLD_ESC">#REF!</definedName>
    <definedName name="ARCH_OLD_PROD" localSheetId="2">#REF!</definedName>
    <definedName name="ARCH_OLD_PROD" localSheetId="1">#REF!</definedName>
    <definedName name="ARCH_OLD_PROD" localSheetId="0">#REF!</definedName>
    <definedName name="ARCH_OLD_PROD" localSheetId="4">#REF!</definedName>
    <definedName name="ARCH_OLD_PROD" localSheetId="3">#REF!</definedName>
    <definedName name="ARCH_OLD_PROD" localSheetId="5">#REF!</definedName>
    <definedName name="ARCH_OLD_PROD">#REF!</definedName>
    <definedName name="ARCH_OLD_WAGE" localSheetId="2">#REF!</definedName>
    <definedName name="ARCH_OLD_WAGE" localSheetId="1">#REF!</definedName>
    <definedName name="ARCH_OLD_WAGE" localSheetId="0">#REF!</definedName>
    <definedName name="ARCH_OLD_WAGE" localSheetId="4">#REF!</definedName>
    <definedName name="ARCH_OLD_WAGE" localSheetId="3">#REF!</definedName>
    <definedName name="ARCH_OLD_WAGE" localSheetId="5">#REF!</definedName>
    <definedName name="ARCH_OLD_WAGE">#REF!</definedName>
    <definedName name="ARCH_PROD" localSheetId="2">#REF!</definedName>
    <definedName name="ARCH_PROD" localSheetId="1">#REF!</definedName>
    <definedName name="ARCH_PROD" localSheetId="0">#REF!</definedName>
    <definedName name="ARCH_PROD" localSheetId="4">#REF!</definedName>
    <definedName name="ARCH_PROD" localSheetId="3">#REF!</definedName>
    <definedName name="ARCH_PROD" localSheetId="5">#REF!</definedName>
    <definedName name="ARCH_PROD">#REF!</definedName>
    <definedName name="ARCH_WAGE" localSheetId="2">#REF!</definedName>
    <definedName name="ARCH_WAGE" localSheetId="1">#REF!</definedName>
    <definedName name="ARCH_WAGE" localSheetId="0">#REF!</definedName>
    <definedName name="ARCH_WAGE" localSheetId="4">#REF!</definedName>
    <definedName name="ARCH_WAGE" localSheetId="3">#REF!</definedName>
    <definedName name="ARCH_WAGE" localSheetId="5">#REF!</definedName>
    <definedName name="ARCH_WAGE">#REF!</definedName>
    <definedName name="Architect" localSheetId="0">#REF!</definedName>
    <definedName name="Architect" localSheetId="4">#REF!</definedName>
    <definedName name="Architect" localSheetId="3">#REF!</definedName>
    <definedName name="Architect" localSheetId="5">#REF!</definedName>
    <definedName name="Architect">#REF!</definedName>
    <definedName name="Area" localSheetId="2">#REF!</definedName>
    <definedName name="Area" localSheetId="1">#REF!</definedName>
    <definedName name="Area" localSheetId="0">#REF!</definedName>
    <definedName name="Area" localSheetId="4">#REF!</definedName>
    <definedName name="Area" localSheetId="3">#REF!</definedName>
    <definedName name="Area" localSheetId="5">#REF!</definedName>
    <definedName name="Area">#REF!</definedName>
    <definedName name="Area_00" localSheetId="2">#REF!</definedName>
    <definedName name="Area_00" localSheetId="1">#REF!</definedName>
    <definedName name="Area_00" localSheetId="0">#REF!</definedName>
    <definedName name="Area_00" localSheetId="4">#REF!</definedName>
    <definedName name="Area_00" localSheetId="3">#REF!</definedName>
    <definedName name="Area_00" localSheetId="5">#REF!</definedName>
    <definedName name="Area_00">#REF!</definedName>
    <definedName name="Area_01" localSheetId="2">#REF!</definedName>
    <definedName name="Area_01" localSheetId="1">#REF!</definedName>
    <definedName name="Area_01" localSheetId="0">#REF!</definedName>
    <definedName name="Area_01" localSheetId="4">#REF!</definedName>
    <definedName name="Area_01" localSheetId="3">#REF!</definedName>
    <definedName name="Area_01" localSheetId="5">#REF!</definedName>
    <definedName name="Area_01">#REF!</definedName>
    <definedName name="Area_02" localSheetId="2">#REF!</definedName>
    <definedName name="Area_02" localSheetId="1">#REF!</definedName>
    <definedName name="Area_02" localSheetId="0">#REF!</definedName>
    <definedName name="Area_02" localSheetId="4">#REF!</definedName>
    <definedName name="Area_02" localSheetId="3">#REF!</definedName>
    <definedName name="Area_02" localSheetId="5">#REF!</definedName>
    <definedName name="Area_02">#REF!</definedName>
    <definedName name="Area_03" localSheetId="2">#REF!</definedName>
    <definedName name="Area_03" localSheetId="1">#REF!</definedName>
    <definedName name="Area_03" localSheetId="0">#REF!</definedName>
    <definedName name="Area_03" localSheetId="4">#REF!</definedName>
    <definedName name="Area_03" localSheetId="3">#REF!</definedName>
    <definedName name="Area_03" localSheetId="5">#REF!</definedName>
    <definedName name="Area_03">#REF!</definedName>
    <definedName name="AREA_FV1_GF__Damp_Proofing" localSheetId="2">#REF!</definedName>
    <definedName name="AREA_FV1_GF__Damp_Proofing" localSheetId="1">#REF!</definedName>
    <definedName name="AREA_FV1_GF__Damp_Proofing" localSheetId="0">#REF!</definedName>
    <definedName name="AREA_FV1_GF__Damp_Proofing" localSheetId="4">#REF!</definedName>
    <definedName name="AREA_FV1_GF__Damp_Proofing" localSheetId="3">#REF!</definedName>
    <definedName name="AREA_FV1_GF__Damp_Proofing" localSheetId="5">#REF!</definedName>
    <definedName name="AREA_FV1_GF__Damp_Proofing">#REF!</definedName>
    <definedName name="AREA_FV1_Mez__Damp_Proofing" localSheetId="2">#REF!</definedName>
    <definedName name="AREA_FV1_Mez__Damp_Proofing" localSheetId="1">#REF!</definedName>
    <definedName name="AREA_FV1_Mez__Damp_Proofing" localSheetId="0">#REF!</definedName>
    <definedName name="AREA_FV1_Mez__Damp_Proofing" localSheetId="4">#REF!</definedName>
    <definedName name="AREA_FV1_Mez__Damp_Proofing" localSheetId="3">#REF!</definedName>
    <definedName name="AREA_FV1_Mez__Damp_Proofing" localSheetId="5">#REF!</definedName>
    <definedName name="AREA_FV1_Mez__Damp_Proofing">#REF!</definedName>
    <definedName name="AREA_FV1_P01__Damp_Proofing" localSheetId="2">#REF!</definedName>
    <definedName name="AREA_FV1_P01__Damp_Proofing" localSheetId="1">#REF!</definedName>
    <definedName name="AREA_FV1_P01__Damp_Proofing" localSheetId="0">#REF!</definedName>
    <definedName name="AREA_FV1_P01__Damp_Proofing" localSheetId="4">#REF!</definedName>
    <definedName name="AREA_FV1_P01__Damp_Proofing" localSheetId="3">#REF!</definedName>
    <definedName name="AREA_FV1_P01__Damp_Proofing" localSheetId="5">#REF!</definedName>
    <definedName name="AREA_FV1_P01__Damp_Proofing">#REF!</definedName>
    <definedName name="AREA_FV1_P02__Damp_Proofing___Omission" localSheetId="2">#REF!</definedName>
    <definedName name="AREA_FV1_P02__Damp_Proofing___Omission" localSheetId="1">#REF!</definedName>
    <definedName name="AREA_FV1_P02__Damp_Proofing___Omission" localSheetId="0">#REF!</definedName>
    <definedName name="AREA_FV1_P02__Damp_Proofing___Omission" localSheetId="4">#REF!</definedName>
    <definedName name="AREA_FV1_P02__Damp_Proofing___Omission" localSheetId="3">#REF!</definedName>
    <definedName name="AREA_FV1_P02__Damp_Proofing___Omission" localSheetId="5">#REF!</definedName>
    <definedName name="AREA_FV1_P02__Damp_Proofing___Omission">#REF!</definedName>
    <definedName name="AREA_FV1_P03__Damp_Proofing___Omission" localSheetId="2">#REF!</definedName>
    <definedName name="AREA_FV1_P03__Damp_Proofing___Omission" localSheetId="1">#REF!</definedName>
    <definedName name="AREA_FV1_P03__Damp_Proofing___Omission" localSheetId="0">#REF!</definedName>
    <definedName name="AREA_FV1_P03__Damp_Proofing___Omission" localSheetId="4">#REF!</definedName>
    <definedName name="AREA_FV1_P03__Damp_Proofing___Omission" localSheetId="3">#REF!</definedName>
    <definedName name="AREA_FV1_P03__Damp_Proofing___Omission" localSheetId="5">#REF!</definedName>
    <definedName name="AREA_FV1_P03__Damp_Proofing___Omission">#REF!</definedName>
    <definedName name="AREA_FV1_P04__Damp_Proofing___Omission" localSheetId="2">#REF!</definedName>
    <definedName name="AREA_FV1_P04__Damp_Proofing___Omission" localSheetId="1">#REF!</definedName>
    <definedName name="AREA_FV1_P04__Damp_Proofing___Omission" localSheetId="0">#REF!</definedName>
    <definedName name="AREA_FV1_P04__Damp_Proofing___Omission" localSheetId="4">#REF!</definedName>
    <definedName name="AREA_FV1_P04__Damp_Proofing___Omission" localSheetId="3">#REF!</definedName>
    <definedName name="AREA_FV1_P04__Damp_Proofing___Omission" localSheetId="5">#REF!</definedName>
    <definedName name="AREA_FV1_P04__Damp_Proofing___Omission">#REF!</definedName>
    <definedName name="AREA_FV1_P05__Damp_Proofing___Omission" localSheetId="2">#REF!</definedName>
    <definedName name="AREA_FV1_P05__Damp_Proofing___Omission" localSheetId="1">#REF!</definedName>
    <definedName name="AREA_FV1_P05__Damp_Proofing___Omission" localSheetId="0">#REF!</definedName>
    <definedName name="AREA_FV1_P05__Damp_Proofing___Omission" localSheetId="4">#REF!</definedName>
    <definedName name="AREA_FV1_P05__Damp_Proofing___Omission" localSheetId="3">#REF!</definedName>
    <definedName name="AREA_FV1_P05__Damp_Proofing___Omission" localSheetId="5">#REF!</definedName>
    <definedName name="AREA_FV1_P05__Damp_Proofing___Omission">#REF!</definedName>
    <definedName name="AREA_FV1_P10__Damp_Proofing" localSheetId="2">#REF!</definedName>
    <definedName name="AREA_FV1_P10__Damp_Proofing" localSheetId="1">#REF!</definedName>
    <definedName name="AREA_FV1_P10__Damp_Proofing" localSheetId="0">#REF!</definedName>
    <definedName name="AREA_FV1_P10__Damp_Proofing" localSheetId="4">#REF!</definedName>
    <definedName name="AREA_FV1_P10__Damp_Proofing" localSheetId="3">#REF!</definedName>
    <definedName name="AREA_FV1_P10__Damp_Proofing" localSheetId="5">#REF!</definedName>
    <definedName name="AREA_FV1_P10__Damp_Proofing">#REF!</definedName>
    <definedName name="AREA_FV2_GF__Damp_Proofing" localSheetId="2">#REF!</definedName>
    <definedName name="AREA_FV2_GF__Damp_Proofing" localSheetId="1">#REF!</definedName>
    <definedName name="AREA_FV2_GF__Damp_Proofing" localSheetId="0">#REF!</definedName>
    <definedName name="AREA_FV2_GF__Damp_Proofing" localSheetId="4">#REF!</definedName>
    <definedName name="AREA_FV2_GF__Damp_Proofing" localSheetId="3">#REF!</definedName>
    <definedName name="AREA_FV2_GF__Damp_Proofing" localSheetId="5">#REF!</definedName>
    <definedName name="AREA_FV2_GF__Damp_Proofing">#REF!</definedName>
    <definedName name="AREA_FV2_Mez__Damp_Proofing" localSheetId="2">#REF!</definedName>
    <definedName name="AREA_FV2_Mez__Damp_Proofing" localSheetId="1">#REF!</definedName>
    <definedName name="AREA_FV2_Mez__Damp_Proofing" localSheetId="0">#REF!</definedName>
    <definedName name="AREA_FV2_Mez__Damp_Proofing" localSheetId="4">#REF!</definedName>
    <definedName name="AREA_FV2_Mez__Damp_Proofing" localSheetId="3">#REF!</definedName>
    <definedName name="AREA_FV2_Mez__Damp_Proofing" localSheetId="5">#REF!</definedName>
    <definedName name="AREA_FV2_Mez__Damp_Proofing">#REF!</definedName>
    <definedName name="AREA_FV2_P01__Damp_Proofing" localSheetId="2">#REF!</definedName>
    <definedName name="AREA_FV2_P01__Damp_Proofing" localSheetId="1">#REF!</definedName>
    <definedName name="AREA_FV2_P01__Damp_Proofing" localSheetId="0">#REF!</definedName>
    <definedName name="AREA_FV2_P01__Damp_Proofing" localSheetId="4">#REF!</definedName>
    <definedName name="AREA_FV2_P01__Damp_Proofing" localSheetId="3">#REF!</definedName>
    <definedName name="AREA_FV2_P01__Damp_Proofing" localSheetId="5">#REF!</definedName>
    <definedName name="AREA_FV2_P01__Damp_Proofing">#REF!</definedName>
    <definedName name="AREA_FV2_P02__Damp_Proofing" localSheetId="2">#REF!</definedName>
    <definedName name="AREA_FV2_P02__Damp_Proofing" localSheetId="1">#REF!</definedName>
    <definedName name="AREA_FV2_P02__Damp_Proofing" localSheetId="0">#REF!</definedName>
    <definedName name="AREA_FV2_P02__Damp_Proofing" localSheetId="4">#REF!</definedName>
    <definedName name="AREA_FV2_P02__Damp_Proofing" localSheetId="3">#REF!</definedName>
    <definedName name="AREA_FV2_P02__Damp_Proofing" localSheetId="5">#REF!</definedName>
    <definedName name="AREA_FV2_P02__Damp_Proofing">#REF!</definedName>
    <definedName name="AREA_FV2_P02__Damp_Proofing___Omission" localSheetId="2">#REF!</definedName>
    <definedName name="AREA_FV2_P02__Damp_Proofing___Omission" localSheetId="1">#REF!</definedName>
    <definedName name="AREA_FV2_P02__Damp_Proofing___Omission" localSheetId="0">#REF!</definedName>
    <definedName name="AREA_FV2_P02__Damp_Proofing___Omission" localSheetId="4">#REF!</definedName>
    <definedName name="AREA_FV2_P02__Damp_Proofing___Omission" localSheetId="3">#REF!</definedName>
    <definedName name="AREA_FV2_P02__Damp_Proofing___Omission" localSheetId="5">#REF!</definedName>
    <definedName name="AREA_FV2_P02__Damp_Proofing___Omission">#REF!</definedName>
    <definedName name="AREA_FV2_P03__Damp_Proofing" localSheetId="2">#REF!</definedName>
    <definedName name="AREA_FV2_P03__Damp_Proofing" localSheetId="1">#REF!</definedName>
    <definedName name="AREA_FV2_P03__Damp_Proofing" localSheetId="0">#REF!</definedName>
    <definedName name="AREA_FV2_P03__Damp_Proofing" localSheetId="4">#REF!</definedName>
    <definedName name="AREA_FV2_P03__Damp_Proofing" localSheetId="3">#REF!</definedName>
    <definedName name="AREA_FV2_P03__Damp_Proofing" localSheetId="5">#REF!</definedName>
    <definedName name="AREA_FV2_P03__Damp_Proofing">#REF!</definedName>
    <definedName name="AREA_FV2_P03__Damp_Proofing___Omission" localSheetId="2">#REF!</definedName>
    <definedName name="AREA_FV2_P03__Damp_Proofing___Omission" localSheetId="1">#REF!</definedName>
    <definedName name="AREA_FV2_P03__Damp_Proofing___Omission" localSheetId="0">#REF!</definedName>
    <definedName name="AREA_FV2_P03__Damp_Proofing___Omission" localSheetId="4">#REF!</definedName>
    <definedName name="AREA_FV2_P03__Damp_Proofing___Omission" localSheetId="3">#REF!</definedName>
    <definedName name="AREA_FV2_P03__Damp_Proofing___Omission" localSheetId="5">#REF!</definedName>
    <definedName name="AREA_FV2_P03__Damp_Proofing___Omission">#REF!</definedName>
    <definedName name="AREA_FV2_P04__Damp_Proofing" localSheetId="2">#REF!</definedName>
    <definedName name="AREA_FV2_P04__Damp_Proofing" localSheetId="1">#REF!</definedName>
    <definedName name="AREA_FV2_P04__Damp_Proofing" localSheetId="0">#REF!</definedName>
    <definedName name="AREA_FV2_P04__Damp_Proofing" localSheetId="4">#REF!</definedName>
    <definedName name="AREA_FV2_P04__Damp_Proofing" localSheetId="3">#REF!</definedName>
    <definedName name="AREA_FV2_P04__Damp_Proofing" localSheetId="5">#REF!</definedName>
    <definedName name="AREA_FV2_P04__Damp_Proofing">#REF!</definedName>
    <definedName name="AREA_FV2_P04__Damp_Proofing___Omission" localSheetId="2">#REF!</definedName>
    <definedName name="AREA_FV2_P04__Damp_Proofing___Omission" localSheetId="1">#REF!</definedName>
    <definedName name="AREA_FV2_P04__Damp_Proofing___Omission" localSheetId="0">#REF!</definedName>
    <definedName name="AREA_FV2_P04__Damp_Proofing___Omission" localSheetId="4">#REF!</definedName>
    <definedName name="AREA_FV2_P04__Damp_Proofing___Omission" localSheetId="3">#REF!</definedName>
    <definedName name="AREA_FV2_P04__Damp_Proofing___Omission" localSheetId="5">#REF!</definedName>
    <definedName name="AREA_FV2_P04__Damp_Proofing___Omission">#REF!</definedName>
    <definedName name="AREA_FV2_P05__Damp_Proofing" localSheetId="2">#REF!</definedName>
    <definedName name="AREA_FV2_P05__Damp_Proofing" localSheetId="1">#REF!</definedName>
    <definedName name="AREA_FV2_P05__Damp_Proofing" localSheetId="0">#REF!</definedName>
    <definedName name="AREA_FV2_P05__Damp_Proofing" localSheetId="4">#REF!</definedName>
    <definedName name="AREA_FV2_P05__Damp_Proofing" localSheetId="3">#REF!</definedName>
    <definedName name="AREA_FV2_P05__Damp_Proofing" localSheetId="5">#REF!</definedName>
    <definedName name="AREA_FV2_P05__Damp_Proofing">#REF!</definedName>
    <definedName name="AREA_FV2_P05__Damp_Proofing___Omission" localSheetId="2">#REF!</definedName>
    <definedName name="AREA_FV2_P05__Damp_Proofing___Omission" localSheetId="1">#REF!</definedName>
    <definedName name="AREA_FV2_P05__Damp_Proofing___Omission" localSheetId="0">#REF!</definedName>
    <definedName name="AREA_FV2_P05__Damp_Proofing___Omission" localSheetId="4">#REF!</definedName>
    <definedName name="AREA_FV2_P05__Damp_Proofing___Omission" localSheetId="3">#REF!</definedName>
    <definedName name="AREA_FV2_P05__Damp_Proofing___Omission" localSheetId="5">#REF!</definedName>
    <definedName name="AREA_FV2_P05__Damp_Proofing___Omission">#REF!</definedName>
    <definedName name="AREA_FV2_P06__Damp_Proofing" localSheetId="2">#REF!</definedName>
    <definedName name="AREA_FV2_P06__Damp_Proofing" localSheetId="1">#REF!</definedName>
    <definedName name="AREA_FV2_P06__Damp_Proofing" localSheetId="0">#REF!</definedName>
    <definedName name="AREA_FV2_P06__Damp_Proofing" localSheetId="4">#REF!</definedName>
    <definedName name="AREA_FV2_P06__Damp_Proofing" localSheetId="3">#REF!</definedName>
    <definedName name="AREA_FV2_P06__Damp_Proofing" localSheetId="5">#REF!</definedName>
    <definedName name="AREA_FV2_P06__Damp_Proofing">#REF!</definedName>
    <definedName name="AREA_FV2_P06__Damp_Proofing___Omission" localSheetId="2">#REF!</definedName>
    <definedName name="AREA_FV2_P06__Damp_Proofing___Omission" localSheetId="1">#REF!</definedName>
    <definedName name="AREA_FV2_P06__Damp_Proofing___Omission" localSheetId="0">#REF!</definedName>
    <definedName name="AREA_FV2_P06__Damp_Proofing___Omission" localSheetId="4">#REF!</definedName>
    <definedName name="AREA_FV2_P06__Damp_Proofing___Omission" localSheetId="3">#REF!</definedName>
    <definedName name="AREA_FV2_P06__Damp_Proofing___Omission" localSheetId="5">#REF!</definedName>
    <definedName name="AREA_FV2_P06__Damp_Proofing___Omission">#REF!</definedName>
    <definedName name="AREA_FV2_P07__Damp_Proofing" localSheetId="2">#REF!</definedName>
    <definedName name="AREA_FV2_P07__Damp_Proofing" localSheetId="1">#REF!</definedName>
    <definedName name="AREA_FV2_P07__Damp_Proofing" localSheetId="0">#REF!</definedName>
    <definedName name="AREA_FV2_P07__Damp_Proofing" localSheetId="4">#REF!</definedName>
    <definedName name="AREA_FV2_P07__Damp_Proofing" localSheetId="3">#REF!</definedName>
    <definedName name="AREA_FV2_P07__Damp_Proofing" localSheetId="5">#REF!</definedName>
    <definedName name="AREA_FV2_P07__Damp_Proofing">#REF!</definedName>
    <definedName name="AREA_FV2_P07__Damp_Proofing___Omission" localSheetId="2">#REF!</definedName>
    <definedName name="AREA_FV2_P07__Damp_Proofing___Omission" localSheetId="1">#REF!</definedName>
    <definedName name="AREA_FV2_P07__Damp_Proofing___Omission" localSheetId="0">#REF!</definedName>
    <definedName name="AREA_FV2_P07__Damp_Proofing___Omission" localSheetId="4">#REF!</definedName>
    <definedName name="AREA_FV2_P07__Damp_Proofing___Omission" localSheetId="3">#REF!</definedName>
    <definedName name="AREA_FV2_P07__Damp_Proofing___Omission" localSheetId="5">#REF!</definedName>
    <definedName name="AREA_FV2_P07__Damp_Proofing___Omission">#REF!</definedName>
    <definedName name="AREA_FV2_P08__Damp_Proofing" localSheetId="2">#REF!</definedName>
    <definedName name="AREA_FV2_P08__Damp_Proofing" localSheetId="1">#REF!</definedName>
    <definedName name="AREA_FV2_P08__Damp_Proofing" localSheetId="0">#REF!</definedName>
    <definedName name="AREA_FV2_P08__Damp_Proofing" localSheetId="4">#REF!</definedName>
    <definedName name="AREA_FV2_P08__Damp_Proofing" localSheetId="3">#REF!</definedName>
    <definedName name="AREA_FV2_P08__Damp_Proofing" localSheetId="5">#REF!</definedName>
    <definedName name="AREA_FV2_P08__Damp_Proofing">#REF!</definedName>
    <definedName name="AREA_FV2_P08__Damp_Proofing___Omission" localSheetId="2">#REF!</definedName>
    <definedName name="AREA_FV2_P08__Damp_Proofing___Omission" localSheetId="1">#REF!</definedName>
    <definedName name="AREA_FV2_P08__Damp_Proofing___Omission" localSheetId="0">#REF!</definedName>
    <definedName name="AREA_FV2_P08__Damp_Proofing___Omission" localSheetId="4">#REF!</definedName>
    <definedName name="AREA_FV2_P08__Damp_Proofing___Omission" localSheetId="3">#REF!</definedName>
    <definedName name="AREA_FV2_P08__Damp_Proofing___Omission" localSheetId="5">#REF!</definedName>
    <definedName name="AREA_FV2_P08__Damp_Proofing___Omission">#REF!</definedName>
    <definedName name="AREA_FV2_P09__Damp_Proofing" localSheetId="2">#REF!</definedName>
    <definedName name="AREA_FV2_P09__Damp_Proofing" localSheetId="1">#REF!</definedName>
    <definedName name="AREA_FV2_P09__Damp_Proofing" localSheetId="0">#REF!</definedName>
    <definedName name="AREA_FV2_P09__Damp_Proofing" localSheetId="4">#REF!</definedName>
    <definedName name="AREA_FV2_P09__Damp_Proofing" localSheetId="3">#REF!</definedName>
    <definedName name="AREA_FV2_P09__Damp_Proofing" localSheetId="5">#REF!</definedName>
    <definedName name="AREA_FV2_P09__Damp_Proofing">#REF!</definedName>
    <definedName name="AREA_FV2_P10__Damp_Proofing" localSheetId="2">#REF!</definedName>
    <definedName name="AREA_FV2_P10__Damp_Proofing" localSheetId="1">#REF!</definedName>
    <definedName name="AREA_FV2_P10__Damp_Proofing" localSheetId="0">#REF!</definedName>
    <definedName name="AREA_FV2_P10__Damp_Proofing" localSheetId="4">#REF!</definedName>
    <definedName name="AREA_FV2_P10__Damp_Proofing" localSheetId="3">#REF!</definedName>
    <definedName name="AREA_FV2_P10__Damp_Proofing" localSheetId="5">#REF!</definedName>
    <definedName name="AREA_FV2_P10__Damp_Proofing">#REF!</definedName>
    <definedName name="AREA_FV3_GF__Damp_Proofing" localSheetId="2">#REF!</definedName>
    <definedName name="AREA_FV3_GF__Damp_Proofing" localSheetId="1">#REF!</definedName>
    <definedName name="AREA_FV3_GF__Damp_Proofing" localSheetId="0">#REF!</definedName>
    <definedName name="AREA_FV3_GF__Damp_Proofing" localSheetId="4">#REF!</definedName>
    <definedName name="AREA_FV3_GF__Damp_Proofing" localSheetId="3">#REF!</definedName>
    <definedName name="AREA_FV3_GF__Damp_Proofing" localSheetId="5">#REF!</definedName>
    <definedName name="AREA_FV3_GF__Damp_Proofing">#REF!</definedName>
    <definedName name="AREA_FV3_Mez__Damp_Proofing" localSheetId="2">#REF!</definedName>
    <definedName name="AREA_FV3_Mez__Damp_Proofing" localSheetId="1">#REF!</definedName>
    <definedName name="AREA_FV3_Mez__Damp_Proofing" localSheetId="0">#REF!</definedName>
    <definedName name="AREA_FV3_Mez__Damp_Proofing" localSheetId="4">#REF!</definedName>
    <definedName name="AREA_FV3_Mez__Damp_Proofing" localSheetId="3">#REF!</definedName>
    <definedName name="AREA_FV3_Mez__Damp_Proofing" localSheetId="5">#REF!</definedName>
    <definedName name="AREA_FV3_Mez__Damp_Proofing">#REF!</definedName>
    <definedName name="AREA_FV3_P02__Damp_Proofing" localSheetId="2">#REF!</definedName>
    <definedName name="AREA_FV3_P02__Damp_Proofing" localSheetId="1">#REF!</definedName>
    <definedName name="AREA_FV3_P02__Damp_Proofing" localSheetId="0">#REF!</definedName>
    <definedName name="AREA_FV3_P02__Damp_Proofing" localSheetId="4">#REF!</definedName>
    <definedName name="AREA_FV3_P02__Damp_Proofing" localSheetId="3">#REF!</definedName>
    <definedName name="AREA_FV3_P02__Damp_Proofing" localSheetId="5">#REF!</definedName>
    <definedName name="AREA_FV3_P02__Damp_Proofing">#REF!</definedName>
    <definedName name="AREA_FV3_P02__Damp_Proofing___Omission" localSheetId="2">#REF!</definedName>
    <definedName name="AREA_FV3_P02__Damp_Proofing___Omission" localSheetId="1">#REF!</definedName>
    <definedName name="AREA_FV3_P02__Damp_Proofing___Omission" localSheetId="0">#REF!</definedName>
    <definedName name="AREA_FV3_P02__Damp_Proofing___Omission" localSheetId="4">#REF!</definedName>
    <definedName name="AREA_FV3_P02__Damp_Proofing___Omission" localSheetId="3">#REF!</definedName>
    <definedName name="AREA_FV3_P02__Damp_Proofing___Omission" localSheetId="5">#REF!</definedName>
    <definedName name="AREA_FV3_P02__Damp_Proofing___Omission">#REF!</definedName>
    <definedName name="AREA_FV3_P03__Damp_Proofing___Omission" localSheetId="2">#REF!</definedName>
    <definedName name="AREA_FV3_P03__Damp_Proofing___Omission" localSheetId="1">#REF!</definedName>
    <definedName name="AREA_FV3_P03__Damp_Proofing___Omission" localSheetId="0">#REF!</definedName>
    <definedName name="AREA_FV3_P03__Damp_Proofing___Omission" localSheetId="4">#REF!</definedName>
    <definedName name="AREA_FV3_P03__Damp_Proofing___Omission" localSheetId="3">#REF!</definedName>
    <definedName name="AREA_FV3_P03__Damp_Proofing___Omission" localSheetId="5">#REF!</definedName>
    <definedName name="AREA_FV3_P03__Damp_Proofing___Omission">#REF!</definedName>
    <definedName name="AREA_FV3_P04__Damp_Proofing___Omission" localSheetId="2">#REF!</definedName>
    <definedName name="AREA_FV3_P04__Damp_Proofing___Omission" localSheetId="1">#REF!</definedName>
    <definedName name="AREA_FV3_P04__Damp_Proofing___Omission" localSheetId="0">#REF!</definedName>
    <definedName name="AREA_FV3_P04__Damp_Proofing___Omission" localSheetId="4">#REF!</definedName>
    <definedName name="AREA_FV3_P04__Damp_Proofing___Omission" localSheetId="3">#REF!</definedName>
    <definedName name="AREA_FV3_P04__Damp_Proofing___Omission" localSheetId="5">#REF!</definedName>
    <definedName name="AREA_FV3_P04__Damp_Proofing___Omission">#REF!</definedName>
    <definedName name="AREA_FV3_P05__Damp_Proofing___Omission" localSheetId="2">#REF!</definedName>
    <definedName name="AREA_FV3_P05__Damp_Proofing___Omission" localSheetId="1">#REF!</definedName>
    <definedName name="AREA_FV3_P05__Damp_Proofing___Omission" localSheetId="0">#REF!</definedName>
    <definedName name="AREA_FV3_P05__Damp_Proofing___Omission" localSheetId="4">#REF!</definedName>
    <definedName name="AREA_FV3_P05__Damp_Proofing___Omission" localSheetId="3">#REF!</definedName>
    <definedName name="AREA_FV3_P05__Damp_Proofing___Omission" localSheetId="5">#REF!</definedName>
    <definedName name="AREA_FV3_P05__Damp_Proofing___Omission">#REF!</definedName>
    <definedName name="AREA_FV3_P06__Damp_Proofing___Omission" localSheetId="2">#REF!</definedName>
    <definedName name="AREA_FV3_P06__Damp_Proofing___Omission" localSheetId="1">#REF!</definedName>
    <definedName name="AREA_FV3_P06__Damp_Proofing___Omission" localSheetId="0">#REF!</definedName>
    <definedName name="AREA_FV3_P06__Damp_Proofing___Omission" localSheetId="4">#REF!</definedName>
    <definedName name="AREA_FV3_P06__Damp_Proofing___Omission" localSheetId="3">#REF!</definedName>
    <definedName name="AREA_FV3_P06__Damp_Proofing___Omission" localSheetId="5">#REF!</definedName>
    <definedName name="AREA_FV3_P06__Damp_Proofing___Omission">#REF!</definedName>
    <definedName name="AREA_FV3_P07__Damp_Proofing___Omission" localSheetId="2">#REF!</definedName>
    <definedName name="AREA_FV3_P07__Damp_Proofing___Omission" localSheetId="1">#REF!</definedName>
    <definedName name="AREA_FV3_P07__Damp_Proofing___Omission" localSheetId="0">#REF!</definedName>
    <definedName name="AREA_FV3_P07__Damp_Proofing___Omission" localSheetId="4">#REF!</definedName>
    <definedName name="AREA_FV3_P07__Damp_Proofing___Omission" localSheetId="3">#REF!</definedName>
    <definedName name="AREA_FV3_P07__Damp_Proofing___Omission" localSheetId="5">#REF!</definedName>
    <definedName name="AREA_FV3_P07__Damp_Proofing___Omission">#REF!</definedName>
    <definedName name="AREA_FV3_P08__Damp_Proofing___Omission" localSheetId="2">#REF!</definedName>
    <definedName name="AREA_FV3_P08__Damp_Proofing___Omission" localSheetId="1">#REF!</definedName>
    <definedName name="AREA_FV3_P08__Damp_Proofing___Omission" localSheetId="0">#REF!</definedName>
    <definedName name="AREA_FV3_P08__Damp_Proofing___Omission" localSheetId="4">#REF!</definedName>
    <definedName name="AREA_FV3_P08__Damp_Proofing___Omission" localSheetId="3">#REF!</definedName>
    <definedName name="AREA_FV3_P08__Damp_Proofing___Omission" localSheetId="5">#REF!</definedName>
    <definedName name="AREA_FV3_P08__Damp_Proofing___Omission">#REF!</definedName>
    <definedName name="AREA_FV3_P09__Damp_Proofing" localSheetId="2">#REF!</definedName>
    <definedName name="AREA_FV3_P09__Damp_Proofing" localSheetId="1">#REF!</definedName>
    <definedName name="AREA_FV3_P09__Damp_Proofing" localSheetId="0">#REF!</definedName>
    <definedName name="AREA_FV3_P09__Damp_Proofing" localSheetId="4">#REF!</definedName>
    <definedName name="AREA_FV3_P09__Damp_Proofing" localSheetId="3">#REF!</definedName>
    <definedName name="AREA_FV3_P09__Damp_Proofing" localSheetId="5">#REF!</definedName>
    <definedName name="AREA_FV3_P09__Damp_Proofing">#REF!</definedName>
    <definedName name="AREA_FV3_P09__Damp_Proofing___Omission" localSheetId="2">#REF!</definedName>
    <definedName name="AREA_FV3_P09__Damp_Proofing___Omission" localSheetId="1">#REF!</definedName>
    <definedName name="AREA_FV3_P09__Damp_Proofing___Omission" localSheetId="0">#REF!</definedName>
    <definedName name="AREA_FV3_P09__Damp_Proofing___Omission" localSheetId="4">#REF!</definedName>
    <definedName name="AREA_FV3_P09__Damp_Proofing___Omission" localSheetId="3">#REF!</definedName>
    <definedName name="AREA_FV3_P09__Damp_Proofing___Omission" localSheetId="5">#REF!</definedName>
    <definedName name="AREA_FV3_P09__Damp_Proofing___Omission">#REF!</definedName>
    <definedName name="AREA_FV3_P10__Damp_Proofing" localSheetId="2">#REF!</definedName>
    <definedName name="AREA_FV3_P10__Damp_Proofing" localSheetId="1">#REF!</definedName>
    <definedName name="AREA_FV3_P10__Damp_Proofing" localSheetId="0">#REF!</definedName>
    <definedName name="AREA_FV3_P10__Damp_Proofing" localSheetId="4">#REF!</definedName>
    <definedName name="AREA_FV3_P10__Damp_Proofing" localSheetId="3">#REF!</definedName>
    <definedName name="AREA_FV3_P10__Damp_Proofing" localSheetId="5">#REF!</definedName>
    <definedName name="AREA_FV3_P10__Damp_Proofing">#REF!</definedName>
    <definedName name="areaa">#REF!</definedName>
    <definedName name="Areas" localSheetId="2">#REF!</definedName>
    <definedName name="Areas" localSheetId="1">#REF!</definedName>
    <definedName name="Areas" localSheetId="0">#REF!</definedName>
    <definedName name="Areas" localSheetId="4">#REF!</definedName>
    <definedName name="Areas" localSheetId="3">#REF!</definedName>
    <definedName name="Areas" localSheetId="5">#REF!</definedName>
    <definedName name="Areas">#REF!</definedName>
    <definedName name="Art" localSheetId="4">#REF!</definedName>
    <definedName name="Art" localSheetId="3">#REF!</definedName>
    <definedName name="Art" localSheetId="5">#REF!</definedName>
    <definedName name="Art">#REF!</definedName>
    <definedName name="Art1st" localSheetId="4">#REF!</definedName>
    <definedName name="Art1st" localSheetId="3">#REF!</definedName>
    <definedName name="Art1st" localSheetId="5">#REF!</definedName>
    <definedName name="Art1st">#REF!</definedName>
    <definedName name="Art2nd" localSheetId="4">#REF!</definedName>
    <definedName name="Art2nd" localSheetId="3">#REF!</definedName>
    <definedName name="Art2nd" localSheetId="5">#REF!</definedName>
    <definedName name="Art2nd">#REF!</definedName>
    <definedName name="ArtArea" localSheetId="4">#REF!</definedName>
    <definedName name="ArtArea" localSheetId="3">#REF!</definedName>
    <definedName name="ArtArea" localSheetId="5">#REF!</definedName>
    <definedName name="ArtArea">#REF!</definedName>
    <definedName name="a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a" localSheetId="2">VLOOKUP(#REF!,BOPLAB,HLOOKUP(#REF!,BOP,2),FALSE)+(VLOOKUP(#REF!,BOPLAB,HLOOKUP(#REF!,BOP,2)+1,FALSE)-VLOOKUP(#REF!,BOPLAB,HLOOKUP(#REF!,BOP,2),FALSE))*(#REF!-HLOOKUP(#REF!,BOP,1))/(HLOOKUP(#REF!+2,BOP,1)-HLOOKUP(#REF!,BOP,1))</definedName>
    <definedName name="asa" localSheetId="1">VLOOKUP(#REF!,BOPLAB,HLOOKUP(#REF!,BOP,2),FALSE)+(VLOOKUP(#REF!,BOPLAB,HLOOKUP(#REF!,BOP,2)+1,FALSE)-VLOOKUP(#REF!,BOPLAB,HLOOKUP(#REF!,BOP,2),FALSE))*(#REF!-HLOOKUP(#REF!,BOP,1))/(HLOOKUP(#REF!+2,BOP,1)-HLOOKUP(#REF!,BOP,1))</definedName>
    <definedName name="asa" localSheetId="0">VLOOKUP(#REF!,BOPLAB,HLOOKUP(#REF!,BOP,2),FALSE)+(VLOOKUP(#REF!,BOPLAB,HLOOKUP(#REF!,BOP,2)+1,FALSE)-VLOOKUP(#REF!,BOPLAB,HLOOKUP(#REF!,BOP,2),FALSE))*(#REF!-HLOOKUP(#REF!,BOP,1))/(HLOOKUP(#REF!+2,BOP,1)-HLOOKUP(#REF!,BOP,1))</definedName>
    <definedName name="asa" localSheetId="4">VLOOKUP(#REF!,BOPLAB,HLOOKUP(#REF!,BOP,2),FALSE)+(VLOOKUP(#REF!,BOPLAB,HLOOKUP(#REF!,BOP,2)+1,FALSE)-VLOOKUP(#REF!,BOPLAB,HLOOKUP(#REF!,BOP,2),FALSE))*(#REF!-HLOOKUP(#REF!,BOP,1))/(HLOOKUP(#REF!+2,BOP,1)-HLOOKUP(#REF!,BOP,1))</definedName>
    <definedName name="asa" localSheetId="3">VLOOKUP(#REF!,BOPLAB,HLOOKUP(#REF!,BOP,2),FALSE)+(VLOOKUP(#REF!,BOPLAB,HLOOKUP(#REF!,BOP,2)+1,FALSE)-VLOOKUP(#REF!,BOPLAB,HLOOKUP(#REF!,BOP,2),FALSE))*(#REF!-HLOOKUP(#REF!,BOP,1))/(HLOOKUP(#REF!+2,BOP,1)-HLOOKUP(#REF!,BOP,1))</definedName>
    <definedName name="asa" localSheetId="5">VLOOKUP(#REF!,BOPLAB,HLOOKUP(#REF!,BOP,2),FALSE)+(VLOOKUP(#REF!,BOPLAB,HLOOKUP(#REF!,BOP,2)+1,FALSE)-VLOOKUP(#REF!,BOPLAB,HLOOKUP(#REF!,BOP,2),FALSE))*(#REF!-HLOOKUP(#REF!,BOP,1))/(HLOOKUP(#REF!+2,BOP,1)-HLOOKUP(#REF!,BOP,1))</definedName>
    <definedName name="asa">VLOOKUP(#REF!,BOPLAB,HLOOKUP(#REF!,BOP,2),FALSE)+(VLOOKUP(#REF!,BOPLAB,HLOOKUP(#REF!,BOP,2)+1,FALSE)-VLOOKUP(#REF!,BOPLAB,HLOOKUP(#REF!,BOP,2),FALSE))*(#REF!-HLOOKUP(#REF!,BOP,1))/(HLOOKUP(#REF!+2,BOP,1)-HLOOKUP(#REF!,BOP,1))</definedName>
    <definedName name="asak" localSheetId="2">VLOOKUP(#REF!,BOPLAB,HLOOKUP(#REF!,BOP,2),FALSE)+(VLOOKUP(#REF!,BOPLAB,HLOOKUP(#REF!,BOP,2)+1,FALSE)-VLOOKUP(#REF!,BOPLAB,HLOOKUP(#REF!,BOP,2),FALSE))*(#REF!-HLOOKUP(#REF!,BOP,1))/(HLOOKUP(#REF!+2,BOP,1)-HLOOKUP(#REF!,BOP,1))</definedName>
    <definedName name="asak" localSheetId="1">VLOOKUP(#REF!,BOPLAB,HLOOKUP(#REF!,BOP,2),FALSE)+(VLOOKUP(#REF!,BOPLAB,HLOOKUP(#REF!,BOP,2)+1,FALSE)-VLOOKUP(#REF!,BOPLAB,HLOOKUP(#REF!,BOP,2),FALSE))*(#REF!-HLOOKUP(#REF!,BOP,1))/(HLOOKUP(#REF!+2,BOP,1)-HLOOKUP(#REF!,BOP,1))</definedName>
    <definedName name="asak" localSheetId="4">VLOOKUP(#REF!,BOPLAB,HLOOKUP(#REF!,BOP,2),FALSE)+(VLOOKUP(#REF!,BOPLAB,HLOOKUP(#REF!,BOP,2)+1,FALSE)-VLOOKUP(#REF!,BOPLAB,HLOOKUP(#REF!,BOP,2),FALSE))*(#REF!-HLOOKUP(#REF!,BOP,1))/(HLOOKUP(#REF!+2,BOP,1)-HLOOKUP(#REF!,BOP,1))</definedName>
    <definedName name="asak" localSheetId="3">VLOOKUP(#REF!,BOPLAB,HLOOKUP(#REF!,BOP,2),FALSE)+(VLOOKUP(#REF!,BOPLAB,HLOOKUP(#REF!,BOP,2)+1,FALSE)-VLOOKUP(#REF!,BOPLAB,HLOOKUP(#REF!,BOP,2),FALSE))*(#REF!-HLOOKUP(#REF!,BOP,1))/(HLOOKUP(#REF!+2,BOP,1)-HLOOKUP(#REF!,BOP,1))</definedName>
    <definedName name="asak" localSheetId="5">VLOOKUP(#REF!,BOPLAB,HLOOKUP(#REF!,BOP,2),FALSE)+(VLOOKUP(#REF!,BOPLAB,HLOOKUP(#REF!,BOP,2)+1,FALSE)-VLOOKUP(#REF!,BOPLAB,HLOOKUP(#REF!,BOP,2),FALSE))*(#REF!-HLOOKUP(#REF!,BOP,1))/(HLOOKUP(#REF!+2,BOP,1)-HLOOKUP(#REF!,BOP,1))</definedName>
    <definedName name="asak">VLOOKUP(#REF!,BOPLAB,HLOOKUP(#REF!,BOP,2),FALSE)+(VLOOKUP(#REF!,BOPLAB,HLOOKUP(#REF!,BOP,2)+1,FALSE)-VLOOKUP(#REF!,BOPLAB,HLOOKUP(#REF!,BOP,2),FALSE))*(#REF!-HLOOKUP(#REF!,BOP,1))/(HLOOKUP(#REF!+2,BOP,1)-HLOOKUP(#REF!,BOP,1))</definedName>
    <definedName name="asas" localSheetId="4">#REF!</definedName>
    <definedName name="asas" localSheetId="3">#REF!</definedName>
    <definedName name="asas" localSheetId="5">#REF!</definedName>
    <definedName name="asas">#REF!</definedName>
    <definedName name="asdd" localSheetId="2">VLOOKUP(#REF!,BOPMAT,HLOOKUP(#REF!,BOP,2)+1,FALSE)+(VLOOKUP(#REF!,BOPMAT,HLOOKUP(#REF!,BOP,2)+1+1,FALSE)-VLOOKUP(#REF!,BOPMAT,HLOOKUP(#REF!,BOP,2)+1,FALSE))*(#REF!-HLOOKUP(#REF!,BOP,1))</definedName>
    <definedName name="asdd" localSheetId="1">VLOOKUP(#REF!,BOPMAT,HLOOKUP(#REF!,BOP,2)+1,FALSE)+(VLOOKUP(#REF!,BOPMAT,HLOOKUP(#REF!,BOP,2)+1+1,FALSE)-VLOOKUP(#REF!,BOPMAT,HLOOKUP(#REF!,BOP,2)+1,FALSE))*(#REF!-HLOOKUP(#REF!,BOP,1))</definedName>
    <definedName name="asdd" localSheetId="0">VLOOKUP(#REF!,BOPMAT,HLOOKUP(#REF!,BOP,2)+1,FALSE)+(VLOOKUP(#REF!,BOPMAT,HLOOKUP(#REF!,BOP,2)+1+1,FALSE)-VLOOKUP(#REF!,BOPMAT,HLOOKUP(#REF!,BOP,2)+1,FALSE))*(#REF!-HLOOKUP(#REF!,BOP,1))</definedName>
    <definedName name="asdd" localSheetId="4">VLOOKUP(#REF!,BOPMAT,HLOOKUP(#REF!,BOP,2)+1,FALSE)+(VLOOKUP(#REF!,BOPMAT,HLOOKUP(#REF!,BOP,2)+1+1,FALSE)-VLOOKUP(#REF!,BOPMAT,HLOOKUP(#REF!,BOP,2)+1,FALSE))*(#REF!-HLOOKUP(#REF!,BOP,1))</definedName>
    <definedName name="asdd" localSheetId="3">VLOOKUP(#REF!,BOPMAT,HLOOKUP(#REF!,BOP,2)+1,FALSE)+(VLOOKUP(#REF!,BOPMAT,HLOOKUP(#REF!,BOP,2)+1+1,FALSE)-VLOOKUP(#REF!,BOPMAT,HLOOKUP(#REF!,BOP,2)+1,FALSE))*(#REF!-HLOOKUP(#REF!,BOP,1))</definedName>
    <definedName name="asdd" localSheetId="5">VLOOKUP(#REF!,BOPMAT,HLOOKUP(#REF!,BOP,2)+1,FALSE)+(VLOOKUP(#REF!,BOPMAT,HLOOKUP(#REF!,BOP,2)+1+1,FALSE)-VLOOKUP(#REF!,BOPMAT,HLOOKUP(#REF!,BOP,2)+1,FALSE))*(#REF!-HLOOKUP(#REF!,BOP,1))</definedName>
    <definedName name="asdd">VLOOKUP(#REF!,BOPMAT,HLOOKUP(#REF!,BOP,2)+1,FALSE)+(VLOOKUP(#REF!,BOPMAT,HLOOKUP(#REF!,BOP,2)+1+1,FALSE)-VLOOKUP(#REF!,BOPMAT,HLOOKUP(#REF!,BOP,2)+1,FALSE))*(#REF!-HLOOKUP(#REF!,BOP,1))</definedName>
    <definedName name="asdeere" localSheetId="2">#REF!</definedName>
    <definedName name="asdeere" localSheetId="1">#REF!</definedName>
    <definedName name="asdeere" localSheetId="0">#REF!</definedName>
    <definedName name="asdeere" localSheetId="4">#REF!</definedName>
    <definedName name="asdeere" localSheetId="3">#REF!</definedName>
    <definedName name="asdeere" localSheetId="5">#REF!</definedName>
    <definedName name="asdeere">#REF!</definedName>
    <definedName name="ASSDD" localSheetId="2">#REF!</definedName>
    <definedName name="ASSDD" localSheetId="1">#REF!</definedName>
    <definedName name="ASSDD" localSheetId="0">#REF!</definedName>
    <definedName name="ASSDD" localSheetId="4">#REF!</definedName>
    <definedName name="ASSDD" localSheetId="3">#REF!</definedName>
    <definedName name="ASSDD" localSheetId="5">#REF!</definedName>
    <definedName name="ASSDD">#REF!</definedName>
    <definedName name="asss" localSheetId="2">#REF!</definedName>
    <definedName name="asss" localSheetId="1">#REF!</definedName>
    <definedName name="asss" localSheetId="0">#REF!</definedName>
    <definedName name="asss" localSheetId="4">#REF!</definedName>
    <definedName name="asss" localSheetId="3">#REF!</definedName>
    <definedName name="asss" localSheetId="5">#REF!</definedName>
    <definedName name="asss">#REF!</definedName>
    <definedName name="at" localSheetId="2">#REF!</definedName>
    <definedName name="at" localSheetId="1">#REF!</definedName>
    <definedName name="at" localSheetId="0">#REF!</definedName>
    <definedName name="at" localSheetId="4">#REF!</definedName>
    <definedName name="at" localSheetId="3">#REF!</definedName>
    <definedName name="at" localSheetId="5">#REF!</definedName>
    <definedName name="at">#REF!</definedName>
    <definedName name="AUDCAD" localSheetId="2">#REF!</definedName>
    <definedName name="AUDCAD" localSheetId="1">#REF!</definedName>
    <definedName name="AUDCAD" localSheetId="0">#REF!</definedName>
    <definedName name="AUDCAD" localSheetId="4">#REF!</definedName>
    <definedName name="AUDCAD" localSheetId="3">#REF!</definedName>
    <definedName name="AUDCAD" localSheetId="5">#REF!</definedName>
    <definedName name="AUDCAD">#REF!</definedName>
    <definedName name="autonum" localSheetId="2">#REF!</definedName>
    <definedName name="autonum" localSheetId="1">#REF!</definedName>
    <definedName name="autonum" localSheetId="0">#REF!</definedName>
    <definedName name="autonum" localSheetId="4">#REF!</definedName>
    <definedName name="autonum" localSheetId="3">#REF!</definedName>
    <definedName name="autonum" localSheetId="5">#REF!</definedName>
    <definedName name="autonum">#REF!</definedName>
    <definedName name="aux" localSheetId="2">#REF!</definedName>
    <definedName name="aux" localSheetId="1">#REF!</definedName>
    <definedName name="aux" localSheetId="0">#REF!</definedName>
    <definedName name="aux" localSheetId="4">#REF!</definedName>
    <definedName name="aux" localSheetId="3">#REF!</definedName>
    <definedName name="aux" localSheetId="5">#REF!</definedName>
    <definedName name="aux">#REF!</definedName>
    <definedName name="AUX_CONT_PNLS" localSheetId="2">#REF!</definedName>
    <definedName name="AUX_CONT_PNLS" localSheetId="1">#REF!</definedName>
    <definedName name="AUX_CONT_PNLS" localSheetId="0">#REF!</definedName>
    <definedName name="AUX_CONT_PNLS" localSheetId="4">#REF!</definedName>
    <definedName name="AUX_CONT_PNLS" localSheetId="3">#REF!</definedName>
    <definedName name="AUX_CONT_PNLS" localSheetId="5">#REF!</definedName>
    <definedName name="AUX_CONT_PNLS">#REF!</definedName>
    <definedName name="Available_for_Distribution_before_Clawback" localSheetId="2">#REF!</definedName>
    <definedName name="Available_for_Distribution_before_Clawback" localSheetId="1">#REF!</definedName>
    <definedName name="Available_for_Distribution_before_Clawback" localSheetId="0">#REF!</definedName>
    <definedName name="Available_for_Distribution_before_Clawback" localSheetId="4">#REF!</definedName>
    <definedName name="Available_for_Distribution_before_Clawback" localSheetId="3">#REF!</definedName>
    <definedName name="Available_for_Distribution_before_Clawback" localSheetId="5">#REF!</definedName>
    <definedName name="Available_for_Distribution_before_Clawback">#REF!</definedName>
    <definedName name="AverageHourlyWage" localSheetId="2">#REF!</definedName>
    <definedName name="AverageHourlyWage" localSheetId="1">#REF!</definedName>
    <definedName name="AverageHourlyWage" localSheetId="0">#REF!</definedName>
    <definedName name="AverageHourlyWage" localSheetId="4">#REF!</definedName>
    <definedName name="AverageHourlyWage" localSheetId="3">#REF!</definedName>
    <definedName name="AverageHourlyWage" localSheetId="5">#REF!</definedName>
    <definedName name="AverageHourlyWage">#REF!</definedName>
    <definedName name="b" localSheetId="2" hidden="1">{"'Break down'!$A$4"}</definedName>
    <definedName name="b" localSheetId="1" hidden="1">{"'Break down'!$A$4"}</definedName>
    <definedName name="b" localSheetId="0" hidden="1">{"'Break down'!$A$4"}</definedName>
    <definedName name="b" localSheetId="4" hidden="1">{"'Break down'!$A$4"}</definedName>
    <definedName name="b" localSheetId="3" hidden="1">{"'Break down'!$A$4"}</definedName>
    <definedName name="b" localSheetId="5" hidden="1">{"'Break down'!$A$4"}</definedName>
    <definedName name="b" hidden="1">{"'Break down'!$A$4"}</definedName>
    <definedName name="B_FLG" localSheetId="2">#REF!</definedName>
    <definedName name="B_FLG" localSheetId="1">#REF!</definedName>
    <definedName name="B_FLG" localSheetId="0">#REF!</definedName>
    <definedName name="B_FLG" localSheetId="4">#REF!</definedName>
    <definedName name="B_FLG" localSheetId="3">#REF!</definedName>
    <definedName name="B_FLG" localSheetId="5">#REF!</definedName>
    <definedName name="B_FLG">#REF!</definedName>
    <definedName name="B_STATUS_DRGS" localSheetId="4">#REF!</definedName>
    <definedName name="B_STATUS_DRGS" localSheetId="3">#REF!</definedName>
    <definedName name="B_STATUS_DRGS" localSheetId="5">#REF!</definedName>
    <definedName name="B_STATUS_DRGS">#REF!</definedName>
    <definedName name="B_STATUS_NO" localSheetId="4">#REF!</definedName>
    <definedName name="B_STATUS_NO" localSheetId="3">#REF!</definedName>
    <definedName name="B_STATUS_NO" localSheetId="5">#REF!</definedName>
    <definedName name="B_STATUS_NO">#REF!</definedName>
    <definedName name="B_STATUS_NUMBER" localSheetId="4">#REF!</definedName>
    <definedName name="B_STATUS_NUMBER" localSheetId="3">#REF!</definedName>
    <definedName name="B_STATUS_NUMBER" localSheetId="5">#REF!</definedName>
    <definedName name="B_STATUS_NUMBER">#REF!</definedName>
    <definedName name="B1T" localSheetId="4">#REF!</definedName>
    <definedName name="B1T" localSheetId="3">#REF!</definedName>
    <definedName name="B1T" localSheetId="5">#REF!</definedName>
    <definedName name="B1T">#REF!</definedName>
    <definedName name="B2T" localSheetId="4">#REF!</definedName>
    <definedName name="B2T" localSheetId="3">#REF!</definedName>
    <definedName name="B2T" localSheetId="5">#REF!</definedName>
    <definedName name="B2T">#REF!</definedName>
    <definedName name="B3T" localSheetId="4">#REF!</definedName>
    <definedName name="B3T" localSheetId="3">#REF!</definedName>
    <definedName name="B3T" localSheetId="5">#REF!</definedName>
    <definedName name="B3T">#REF!</definedName>
    <definedName name="B4T" localSheetId="4">#REF!</definedName>
    <definedName name="B4T" localSheetId="3">#REF!</definedName>
    <definedName name="B4T" localSheetId="5">#REF!</definedName>
    <definedName name="B4T">#REF!</definedName>
    <definedName name="B5T" localSheetId="4">#REF!</definedName>
    <definedName name="B5T" localSheetId="3">#REF!</definedName>
    <definedName name="B5T" localSheetId="5">#REF!</definedName>
    <definedName name="B5T">#REF!</definedName>
    <definedName name="B6T" localSheetId="4">#REF!</definedName>
    <definedName name="B6T" localSheetId="3">#REF!</definedName>
    <definedName name="B6T" localSheetId="5">#REF!</definedName>
    <definedName name="B6T">#REF!</definedName>
    <definedName name="B7T" localSheetId="4">#REF!</definedName>
    <definedName name="B7T" localSheetId="3">#REF!</definedName>
    <definedName name="B7T" localSheetId="5">#REF!</definedName>
    <definedName name="B7T">#REF!</definedName>
    <definedName name="BA" localSheetId="2">#REF!</definedName>
    <definedName name="BA" localSheetId="1">#REF!</definedName>
    <definedName name="BA" localSheetId="0">#REF!</definedName>
    <definedName name="BA" localSheetId="4">#REF!</definedName>
    <definedName name="BA" localSheetId="3">#REF!</definedName>
    <definedName name="BA" localSheetId="5">#REF!</definedName>
    <definedName name="BA">#REF!</definedName>
    <definedName name="back_pressure" localSheetId="2">#REF!</definedName>
    <definedName name="back_pressure" localSheetId="1">#REF!</definedName>
    <definedName name="back_pressure" localSheetId="0">#REF!</definedName>
    <definedName name="back_pressure" localSheetId="4">#REF!</definedName>
    <definedName name="back_pressure" localSheetId="3">#REF!</definedName>
    <definedName name="back_pressure" localSheetId="5">#REF!</definedName>
    <definedName name="back_pressure">#REF!</definedName>
    <definedName name="backfill" localSheetId="4">#REF!</definedName>
    <definedName name="backfill" localSheetId="3">#REF!</definedName>
    <definedName name="backfill" localSheetId="5">#REF!</definedName>
    <definedName name="backfill">#REF!</definedName>
    <definedName name="ball" localSheetId="2">#REF!</definedName>
    <definedName name="ball" localSheetId="1">#REF!</definedName>
    <definedName name="ball" localSheetId="0">#REF!</definedName>
    <definedName name="ball" localSheetId="4">#REF!</definedName>
    <definedName name="ball" localSheetId="3">#REF!</definedName>
    <definedName name="ball" localSheetId="5">#REF!</definedName>
    <definedName name="ball">#REF!</definedName>
    <definedName name="BANKS" localSheetId="2">#REF!</definedName>
    <definedName name="BANKS" localSheetId="1">#REF!</definedName>
    <definedName name="BANKS" localSheetId="0">#REF!</definedName>
    <definedName name="BANKS" localSheetId="4">#REF!</definedName>
    <definedName name="BANKS" localSheetId="3">#REF!</definedName>
    <definedName name="BANKS" localSheetId="5">#REF!</definedName>
    <definedName name="BANKS">#REF!</definedName>
    <definedName name="bar" localSheetId="2">#REF!</definedName>
    <definedName name="bar" localSheetId="1">#REF!</definedName>
    <definedName name="bar" localSheetId="0">#REF!</definedName>
    <definedName name="bar" localSheetId="4">#REF!</definedName>
    <definedName name="bar" localSheetId="3">#REF!</definedName>
    <definedName name="bar" localSheetId="5">#REF!</definedName>
    <definedName name="bar">#REF!</definedName>
    <definedName name="BARBICAN" localSheetId="2">#REF!</definedName>
    <definedName name="BARBICAN" localSheetId="1">#REF!</definedName>
    <definedName name="BARBICAN" localSheetId="0">#REF!</definedName>
    <definedName name="BARBICAN" localSheetId="4">#REF!</definedName>
    <definedName name="BARBICAN" localSheetId="3">#REF!</definedName>
    <definedName name="BARBICAN" localSheetId="5">#REF!</definedName>
    <definedName name="BARBICAN">#REF!</definedName>
    <definedName name="BASE" localSheetId="2">#REF!</definedName>
    <definedName name="BASE" localSheetId="1">#REF!</definedName>
    <definedName name="BASE" localSheetId="0">#REF!</definedName>
    <definedName name="BASE" localSheetId="4">#REF!</definedName>
    <definedName name="BASE" localSheetId="3">#REF!</definedName>
    <definedName name="BASE" localSheetId="5">#REF!</definedName>
    <definedName name="BASE">#REF!</definedName>
    <definedName name="Base_Qty_DB" localSheetId="2">IF(VLOOKUP(#REF!,'A10 Design + Subs fee'!DB_PRICING,9,FALSE)=0,0,VLOOKUP(#REF!,'A10 Design + Subs fee'!DB_PRICING,9,FALSE))</definedName>
    <definedName name="Base_Qty_DB" localSheetId="1">IF(VLOOKUP(#REF!,'A9 Design + Subs fee '!DB_PRICING,9,FALSE)=0,0,VLOOKUP(#REF!,'A9 Design + Subs fee '!DB_PRICING,9,FALSE))</definedName>
    <definedName name="Base_Qty_DB" localSheetId="0">IF(VLOOKUP(#REF!,'FEE RECON RAIHAN'!DB_PRICING,9,FALSE)=0,0,VLOOKUP(#REF!,'FEE RECON RAIHAN'!DB_PRICING,9,FALSE))</definedName>
    <definedName name="Base_Qty_DB" localSheetId="4">IF(VLOOKUP(#REF!,'Mastersheet-Projects'!DB_PRICING,9,FALSE)=0,0,VLOOKUP(#REF!,'Mastersheet-Projects'!DB_PRICING,9,FALSE))</definedName>
    <definedName name="Base_Qty_DB" localSheetId="3">IF(VLOOKUP(#REF!,'Mastersheet-Resources'!DB_PRICING,9,FALSE)=0,0,VLOOKUP(#REF!,'Mastersheet-Resources'!DB_PRICING,9,FALSE))</definedName>
    <definedName name="Base_Qty_DB" localSheetId="5">IF(VLOOKUP(#REF!,'Tender List'!DB_PRICING,9,FALSE)=0,0,VLOOKUP(#REF!,'Tender List'!DB_PRICING,9,FALSE))</definedName>
    <definedName name="Base_Qty_DB">IF(VLOOKUP(#REF!,DB_PRICING,9,FALSE)=0,0,VLOOKUP(#REF!,DB_PRICING,9,FALSE))</definedName>
    <definedName name="Basement" localSheetId="2">#REF!</definedName>
    <definedName name="Basement" localSheetId="1">#REF!</definedName>
    <definedName name="Basement" localSheetId="0">#REF!</definedName>
    <definedName name="Basement" localSheetId="4">#REF!</definedName>
    <definedName name="Basement" localSheetId="3">#REF!</definedName>
    <definedName name="Basement" localSheetId="5">#REF!</definedName>
    <definedName name="Basement">#REF!</definedName>
    <definedName name="Bath_tup__Shower_tray" localSheetId="4">#REF!</definedName>
    <definedName name="Bath_tup__Shower_tray" localSheetId="3">#REF!</definedName>
    <definedName name="Bath_tup__Shower_tray" localSheetId="5">#REF!</definedName>
    <definedName name="Bath_tup__Shower_tray">#REF!</definedName>
    <definedName name="bb" localSheetId="2" hidden="1">{#N/A,#N/A,TRUE,"Cover";#N/A,#N/A,TRUE,"Conts";#N/A,#N/A,TRUE,"VOS";#N/A,#N/A,TRUE,"Warrington";#N/A,#N/A,TRUE,"Widnes"}</definedName>
    <definedName name="bb" localSheetId="1" hidden="1">{#N/A,#N/A,TRUE,"Cover";#N/A,#N/A,TRUE,"Conts";#N/A,#N/A,TRUE,"VOS";#N/A,#N/A,TRUE,"Warrington";#N/A,#N/A,TRUE,"Widnes"}</definedName>
    <definedName name="BB" localSheetId="0">#REF!</definedName>
    <definedName name="BB" localSheetId="4">#REF!</definedName>
    <definedName name="BB" localSheetId="3">#REF!</definedName>
    <definedName name="BB" localSheetId="5">#REF!</definedName>
    <definedName name="BB">#REF!</definedName>
    <definedName name="bbb" localSheetId="2">#REF!</definedName>
    <definedName name="bbb" localSheetId="1">#REF!</definedName>
    <definedName name="bbb" localSheetId="0">#REF!</definedName>
    <definedName name="bbb" localSheetId="4">#REF!</definedName>
    <definedName name="bbb" localSheetId="3">#REF!</definedName>
    <definedName name="bbb" localSheetId="5">#REF!</definedName>
    <definedName name="bbb">#REF!</definedName>
    <definedName name="bbbb" localSheetId="2" hidden="1">{#N/A,#N/A,FALSE,"估價單  (3)"}</definedName>
    <definedName name="bbbb" localSheetId="1" hidden="1">{#N/A,#N/A,FALSE,"估價單  (3)"}</definedName>
    <definedName name="bbbb" localSheetId="0" hidden="1">{#N/A,#N/A,FALSE,"估價單  (3)"}</definedName>
    <definedName name="bbbb" localSheetId="4" hidden="1">{#N/A,#N/A,FALSE,"估價單  (3)"}</definedName>
    <definedName name="bbbb" localSheetId="3" hidden="1">{#N/A,#N/A,FALSE,"估價單  (3)"}</definedName>
    <definedName name="bbbb" localSheetId="5" hidden="1">{#N/A,#N/A,FALSE,"估價單  (3)"}</definedName>
    <definedName name="bbbb" hidden="1">{#N/A,#N/A,FALSE,"估價單  (3)"}</definedName>
    <definedName name="BDR" localSheetId="2">#REF!</definedName>
    <definedName name="BDR" localSheetId="1">#REF!</definedName>
    <definedName name="BDR" localSheetId="0">#REF!</definedName>
    <definedName name="BDR" localSheetId="4">#REF!</definedName>
    <definedName name="BDR" localSheetId="3">#REF!</definedName>
    <definedName name="BDR" localSheetId="5">#REF!</definedName>
    <definedName name="BDR">#REF!</definedName>
    <definedName name="BDRBLD" localSheetId="2">#REF!</definedName>
    <definedName name="BDRBLD" localSheetId="1">#REF!</definedName>
    <definedName name="BDRBLD" localSheetId="0">#REF!</definedName>
    <definedName name="BDRBLD" localSheetId="4">#REF!</definedName>
    <definedName name="BDRBLD" localSheetId="3">#REF!</definedName>
    <definedName name="BDRBLD" localSheetId="5">#REF!</definedName>
    <definedName name="BDRBLD">#REF!</definedName>
    <definedName name="be" localSheetId="2">#REF!</definedName>
    <definedName name="be" localSheetId="1">#REF!</definedName>
    <definedName name="be" localSheetId="0">#REF!</definedName>
    <definedName name="be" localSheetId="4">#REF!</definedName>
    <definedName name="be" localSheetId="3">#REF!</definedName>
    <definedName name="be" localSheetId="5">#REF!</definedName>
    <definedName name="be">#REF!</definedName>
    <definedName name="be_1" localSheetId="2" hidden="1">{"'Break down'!$A$4"}</definedName>
    <definedName name="be_1" localSheetId="1" hidden="1">{"'Break down'!$A$4"}</definedName>
    <definedName name="be_1" localSheetId="0" hidden="1">{"'Break down'!$A$4"}</definedName>
    <definedName name="be_1" localSheetId="4" hidden="1">{"'Break down'!$A$4"}</definedName>
    <definedName name="be_1" localSheetId="3" hidden="1">{"'Break down'!$A$4"}</definedName>
    <definedName name="be_1" localSheetId="5" hidden="1">{"'Break down'!$A$4"}</definedName>
    <definedName name="be_1" hidden="1">{"'Break down'!$A$4"}</definedName>
    <definedName name="be_2" localSheetId="2" hidden="1">{"'Break down'!$A$4"}</definedName>
    <definedName name="be_2" localSheetId="1" hidden="1">{"'Break down'!$A$4"}</definedName>
    <definedName name="be_2" localSheetId="0" hidden="1">{"'Break down'!$A$4"}</definedName>
    <definedName name="be_2" localSheetId="4" hidden="1">{"'Break down'!$A$4"}</definedName>
    <definedName name="be_2" localSheetId="3" hidden="1">{"'Break down'!$A$4"}</definedName>
    <definedName name="be_2" localSheetId="5" hidden="1">{"'Break down'!$A$4"}</definedName>
    <definedName name="be_2" hidden="1">{"'Break down'!$A$4"}</definedName>
    <definedName name="beam" localSheetId="2">#REF!</definedName>
    <definedName name="beam" localSheetId="1">#REF!</definedName>
    <definedName name="beam" localSheetId="0">#REF!</definedName>
    <definedName name="beam" localSheetId="4">#REF!</definedName>
    <definedName name="beam" localSheetId="3">#REF!</definedName>
    <definedName name="beam" localSheetId="5">#REF!</definedName>
    <definedName name="beam">#REF!</definedName>
    <definedName name="Beams" localSheetId="2">#REF!</definedName>
    <definedName name="Beams" localSheetId="1">#REF!</definedName>
    <definedName name="Beams" localSheetId="0">#REF!</definedName>
    <definedName name="Beams" localSheetId="4">#REF!</definedName>
    <definedName name="Beams" localSheetId="3">#REF!</definedName>
    <definedName name="Beams" localSheetId="5">#REF!</definedName>
    <definedName name="Beams">#REF!</definedName>
    <definedName name="BEFORE_MP" localSheetId="2">#REF!</definedName>
    <definedName name="BEFORE_MP" localSheetId="1">#REF!</definedName>
    <definedName name="BEFORE_MP" localSheetId="0">#REF!</definedName>
    <definedName name="BEFORE_MP" localSheetId="4">#REF!</definedName>
    <definedName name="BEFORE_MP" localSheetId="3">#REF!</definedName>
    <definedName name="BEFORE_MP" localSheetId="5">#REF!</definedName>
    <definedName name="BEFORE_MP">#REF!</definedName>
    <definedName name="Beg_Bal" localSheetId="2">#REF!</definedName>
    <definedName name="Beg_Bal" localSheetId="1">#REF!</definedName>
    <definedName name="Beg_Bal" localSheetId="0">#REF!</definedName>
    <definedName name="Beg_Bal" localSheetId="4">#REF!</definedName>
    <definedName name="Beg_Bal" localSheetId="3">#REF!</definedName>
    <definedName name="Beg_Bal" localSheetId="5">#REF!</definedName>
    <definedName name="Beg_Bal">#REF!</definedName>
    <definedName name="BEIRUT" localSheetId="4">#REF!</definedName>
    <definedName name="BEIRUT" localSheetId="3">#REF!</definedName>
    <definedName name="BEIRUT" localSheetId="5">#REF!</definedName>
    <definedName name="BEIRUT">#REF!</definedName>
    <definedName name="Bell_system" localSheetId="4">#REF!</definedName>
    <definedName name="Bell_system" localSheetId="3">#REF!</definedName>
    <definedName name="Bell_system" localSheetId="5">#REF!</definedName>
    <definedName name="Bell_system">#REF!</definedName>
    <definedName name="BGG" localSheetId="4" hidden="1">#REF!</definedName>
    <definedName name="BGG" localSheetId="3" hidden="1">#REF!</definedName>
    <definedName name="BGG" localSheetId="5" hidden="1">#REF!</definedName>
    <definedName name="BGG" hidden="1">#REF!</definedName>
    <definedName name="bhushan" localSheetId="2" hidden="1">{#N/A,#N/A,FALSE,"VCR"}</definedName>
    <definedName name="bhushan" localSheetId="1" hidden="1">{#N/A,#N/A,FALSE,"VCR"}</definedName>
    <definedName name="bhushan" localSheetId="0" hidden="1">{#N/A,#N/A,FALSE,"VCR"}</definedName>
    <definedName name="bhushan" localSheetId="4" hidden="1">{#N/A,#N/A,FALSE,"VCR"}</definedName>
    <definedName name="bhushan" localSheetId="3" hidden="1">{#N/A,#N/A,FALSE,"VCR"}</definedName>
    <definedName name="bhushan" localSheetId="5" hidden="1">{#N/A,#N/A,FALSE,"VCR"}</definedName>
    <definedName name="bhushan" hidden="1">{#N/A,#N/A,FALSE,"VCR"}</definedName>
    <definedName name="BidCurrency" localSheetId="5">#REF!</definedName>
    <definedName name="BidCurrency">#REF!</definedName>
    <definedName name="BidWeekDayHours" localSheetId="4">#REF!</definedName>
    <definedName name="BidWeekDayHours" localSheetId="3">#REF!</definedName>
    <definedName name="BidWeekDayHours" localSheetId="5">#REF!</definedName>
    <definedName name="BidWeekDayHours">#REF!</definedName>
    <definedName name="BidWeekDays" localSheetId="4">#REF!</definedName>
    <definedName name="BidWeekDays" localSheetId="3">#REF!</definedName>
    <definedName name="BidWeekDays" localSheetId="5">#REF!</definedName>
    <definedName name="BidWeekDays">#REF!</definedName>
    <definedName name="BidWeeks" localSheetId="4">#REF!</definedName>
    <definedName name="BidWeeks" localSheetId="3">#REF!</definedName>
    <definedName name="BidWeeks" localSheetId="5">#REF!</definedName>
    <definedName name="BidWeeks">#REF!</definedName>
    <definedName name="Bij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2" localSheetId="2">#REF!</definedName>
    <definedName name="bill2" localSheetId="1">#REF!</definedName>
    <definedName name="bill2" localSheetId="0">#REF!</definedName>
    <definedName name="bill2" localSheetId="4">#REF!</definedName>
    <definedName name="bill2" localSheetId="3">#REF!</definedName>
    <definedName name="bill2" localSheetId="5">#REF!</definedName>
    <definedName name="bill2">#REF!</definedName>
    <definedName name="bill4" localSheetId="2">#REF!</definedName>
    <definedName name="bill4" localSheetId="1">#REF!</definedName>
    <definedName name="bill4" localSheetId="0">#REF!</definedName>
    <definedName name="bill4" localSheetId="4">#REF!</definedName>
    <definedName name="bill4" localSheetId="3">#REF!</definedName>
    <definedName name="bill4" localSheetId="5">#REF!</definedName>
    <definedName name="bill4">#REF!</definedName>
    <definedName name="bill5" localSheetId="2">#REF!</definedName>
    <definedName name="bill5" localSheetId="1">#REF!</definedName>
    <definedName name="bill5" localSheetId="0">#REF!</definedName>
    <definedName name="bill5" localSheetId="4">#REF!</definedName>
    <definedName name="bill5" localSheetId="3">#REF!</definedName>
    <definedName name="bill5" localSheetId="5">#REF!</definedName>
    <definedName name="bill5">#REF!</definedName>
    <definedName name="bill6" localSheetId="2">#REF!</definedName>
    <definedName name="bill6" localSheetId="1">#REF!</definedName>
    <definedName name="bill6" localSheetId="0">#REF!</definedName>
    <definedName name="bill6" localSheetId="4">#REF!</definedName>
    <definedName name="bill6" localSheetId="3">#REF!</definedName>
    <definedName name="bill6" localSheetId="5">#REF!</definedName>
    <definedName name="bill6">#REF!</definedName>
    <definedName name="BIN" localSheetId="2">#REF!</definedName>
    <definedName name="BIN" localSheetId="1">#REF!</definedName>
    <definedName name="BIN" localSheetId="0">#REF!</definedName>
    <definedName name="BIN" localSheetId="4">#REF!</definedName>
    <definedName name="BIN" localSheetId="3">#REF!</definedName>
    <definedName name="BIN" localSheetId="5">#REF!</definedName>
    <definedName name="BIN">#REF!</definedName>
    <definedName name="BINDWIREPR" localSheetId="4">#REF!</definedName>
    <definedName name="BINDWIREPR" localSheetId="3">#REF!</definedName>
    <definedName name="BINDWIREPR" localSheetId="5">#REF!</definedName>
    <definedName name="BINDWIREPR">#REF!</definedName>
    <definedName name="BINDWIRERATE" localSheetId="4">#REF!</definedName>
    <definedName name="BINDWIRERATE" localSheetId="3">#REF!</definedName>
    <definedName name="BINDWIRERATE" localSheetId="5">#REF!</definedName>
    <definedName name="BINDWIRERATE">#REF!</definedName>
    <definedName name="BINDWIRES" localSheetId="4">#REF!</definedName>
    <definedName name="BINDWIRES" localSheetId="3">#REF!</definedName>
    <definedName name="BINDWIRES" localSheetId="5">#REF!</definedName>
    <definedName name="BINDWIRES">#REF!</definedName>
    <definedName name="Black_steel" localSheetId="4">#REF!</definedName>
    <definedName name="Black_steel" localSheetId="3">#REF!</definedName>
    <definedName name="Black_steel" localSheetId="5">#REF!</definedName>
    <definedName name="Black_steel">#REF!</definedName>
    <definedName name="BLANK" localSheetId="2">#REF!</definedName>
    <definedName name="BLANK" localSheetId="1">#REF!</definedName>
    <definedName name="BLANK" localSheetId="0">#REF!</definedName>
    <definedName name="BLANK" localSheetId="4">#REF!</definedName>
    <definedName name="BLANK" localSheetId="3">#REF!</definedName>
    <definedName name="BLANK" localSheetId="5">#REF!</definedName>
    <definedName name="BLANK">#REF!</definedName>
    <definedName name="BldArea" localSheetId="2">#REF!</definedName>
    <definedName name="BldArea" localSheetId="1">#REF!</definedName>
    <definedName name="BldArea" localSheetId="0">#REF!</definedName>
    <definedName name="BldArea" localSheetId="4">#REF!</definedName>
    <definedName name="BldArea" localSheetId="3">#REF!</definedName>
    <definedName name="BldArea" localSheetId="5">#REF!</definedName>
    <definedName name="BldArea">#REF!</definedName>
    <definedName name="BLDG1" localSheetId="2">#REF!</definedName>
    <definedName name="BLDG1" localSheetId="1">#REF!</definedName>
    <definedName name="BLDG1" localSheetId="0">#REF!</definedName>
    <definedName name="BLDG1" localSheetId="4">#REF!</definedName>
    <definedName name="BLDG1" localSheetId="3">#REF!</definedName>
    <definedName name="BLDG1" localSheetId="5">#REF!</definedName>
    <definedName name="BLDG1">#REF!</definedName>
    <definedName name="BldRatio" localSheetId="4">#REF!</definedName>
    <definedName name="BldRatio" localSheetId="3">#REF!</definedName>
    <definedName name="BldRatio" localSheetId="5">#REF!</definedName>
    <definedName name="BldRatio">#REF!</definedName>
    <definedName name="blk" localSheetId="2">#REF!</definedName>
    <definedName name="blk" localSheetId="1">#REF!</definedName>
    <definedName name="blk" localSheetId="0">#REF!</definedName>
    <definedName name="blk" localSheetId="4">#REF!</definedName>
    <definedName name="blk" localSheetId="3">#REF!</definedName>
    <definedName name="blk" localSheetId="5">#REF!</definedName>
    <definedName name="blk">#REF!</definedName>
    <definedName name="Blue" localSheetId="4">#REF!</definedName>
    <definedName name="Blue" localSheetId="3">#REF!</definedName>
    <definedName name="Blue" localSheetId="5">#REF!</definedName>
    <definedName name="Blue">#REF!</definedName>
    <definedName name="BMS_SYSTEM" localSheetId="4">#REF!</definedName>
    <definedName name="BMS_SYSTEM" localSheetId="3">#REF!</definedName>
    <definedName name="BMS_SYSTEM" localSheetId="5">#REF!</definedName>
    <definedName name="BMS_SYSTEM">#REF!</definedName>
    <definedName name="BOGROLLS" localSheetId="2">#REF!</definedName>
    <definedName name="BOGROLLS" localSheetId="1">#REF!</definedName>
    <definedName name="BOGROLLS" localSheetId="0">#REF!</definedName>
    <definedName name="BOGROLLS" localSheetId="4">#REF!</definedName>
    <definedName name="BOGROLLS" localSheetId="3">#REF!</definedName>
    <definedName name="BOGROLLS" localSheetId="5">#REF!</definedName>
    <definedName name="BOGROLLS">#REF!</definedName>
    <definedName name="BOILER" localSheetId="2">#REF!</definedName>
    <definedName name="BOILER" localSheetId="1">#REF!</definedName>
    <definedName name="BOILER" localSheetId="0">#REF!</definedName>
    <definedName name="BOILER" localSheetId="4">#REF!</definedName>
    <definedName name="BOILER" localSheetId="3">#REF!</definedName>
    <definedName name="BOILER" localSheetId="5">#REF!</definedName>
    <definedName name="BOILER">#REF!</definedName>
    <definedName name="BOLT" localSheetId="2">#REF!</definedName>
    <definedName name="BOLT" localSheetId="1">#REF!</definedName>
    <definedName name="BOLT" localSheetId="0">#REF!</definedName>
    <definedName name="BOLT" localSheetId="4">#REF!</definedName>
    <definedName name="BOLT" localSheetId="3">#REF!</definedName>
    <definedName name="BOLT" localSheetId="5">#REF!</definedName>
    <definedName name="BOLT">#REF!</definedName>
    <definedName name="BOND" localSheetId="2">#REF!</definedName>
    <definedName name="BOND" localSheetId="1">#REF!</definedName>
    <definedName name="BOND" localSheetId="0">#REF!</definedName>
    <definedName name="BOND" localSheetId="4">#REF!</definedName>
    <definedName name="BOND" localSheetId="3">#REF!</definedName>
    <definedName name="BOND" localSheetId="5">#REF!</definedName>
    <definedName name="BOND">#REF!</definedName>
    <definedName name="BOOA2" localSheetId="2" hidden="1">{#N/A,#N/A,FALSE,"估價單  (3)"}</definedName>
    <definedName name="BOOA2" localSheetId="1" hidden="1">{#N/A,#N/A,FALSE,"估價單  (3)"}</definedName>
    <definedName name="BOOA2" localSheetId="0" hidden="1">{#N/A,#N/A,FALSE,"估價單  (3)"}</definedName>
    <definedName name="BOOA2" localSheetId="4" hidden="1">{#N/A,#N/A,FALSE,"估價單  (3)"}</definedName>
    <definedName name="BOOA2" localSheetId="3" hidden="1">{#N/A,#N/A,FALSE,"估價單  (3)"}</definedName>
    <definedName name="BOOA2" localSheetId="5" hidden="1">{#N/A,#N/A,FALSE,"估價單  (3)"}</definedName>
    <definedName name="BOOA2" hidden="1">{#N/A,#N/A,FALSE,"估價單  (3)"}</definedName>
    <definedName name="Bookcase_01" localSheetId="2">#REF!</definedName>
    <definedName name="Bookcase_01" localSheetId="1">#REF!</definedName>
    <definedName name="Bookcase_01" localSheetId="0">#REF!</definedName>
    <definedName name="Bookcase_01" localSheetId="4">#REF!</definedName>
    <definedName name="Bookcase_01" localSheetId="3">#REF!</definedName>
    <definedName name="Bookcase_01" localSheetId="5">#REF!</definedName>
    <definedName name="Bookcase_01">#REF!</definedName>
    <definedName name="Bookcase_02" localSheetId="2">#REF!</definedName>
    <definedName name="Bookcase_02" localSheetId="1">#REF!</definedName>
    <definedName name="Bookcase_02" localSheetId="0">#REF!</definedName>
    <definedName name="Bookcase_02" localSheetId="4">#REF!</definedName>
    <definedName name="Bookcase_02" localSheetId="3">#REF!</definedName>
    <definedName name="Bookcase_02" localSheetId="5">#REF!</definedName>
    <definedName name="Bookcase_02">#REF!</definedName>
    <definedName name="Bookcase_03" localSheetId="2">#REF!</definedName>
    <definedName name="Bookcase_03" localSheetId="1">#REF!</definedName>
    <definedName name="Bookcase_03" localSheetId="0">#REF!</definedName>
    <definedName name="Bookcase_03" localSheetId="4">#REF!</definedName>
    <definedName name="Bookcase_03" localSheetId="3">#REF!</definedName>
    <definedName name="Bookcase_03" localSheetId="5">#REF!</definedName>
    <definedName name="Bookcase_03">#REF!</definedName>
    <definedName name="BOP_INS" localSheetId="2">IF(#REF!="INS",VLOOKUP(#REF!,InsB,HLOOKUP(#REF!,BOP,2)+1,FALSE),0)</definedName>
    <definedName name="BOP_INS" localSheetId="1">IF(#REF!="INS",VLOOKUP(#REF!,InsB,HLOOKUP(#REF!,BOP,2)+1,FALSE),0)</definedName>
    <definedName name="BOP_INS" localSheetId="0">IF(#REF!="INS",VLOOKUP(#REF!,InsB,HLOOKUP(#REF!,BOP,2)+1,FALSE),0)</definedName>
    <definedName name="BOP_INS" localSheetId="4">IF(#REF!="INS",VLOOKUP(#REF!,InsB,HLOOKUP(#REF!,BOP,2)+1,FALSE),0)</definedName>
    <definedName name="BOP_INS" localSheetId="3">IF(#REF!="INS",VLOOKUP(#REF!,InsB,HLOOKUP(#REF!,BOP,2)+1,FALSE),0)</definedName>
    <definedName name="BOP_INS" localSheetId="5">IF(#REF!="INS",VLOOKUP(#REF!,InsB,HLOOKUP(#REF!,BOP,2)+1,FALSE),0)</definedName>
    <definedName name="BOP_INS">IF(#REF!="INS",VLOOKUP(#REF!,InsB,HLOOKUP(#REF!,BOP,2)+1,FALSE),0)</definedName>
    <definedName name="BOP_LAB" localSheetId="2">VLOOKUP(#REF!,BOPLAB,HLOOKUP(#REF!,BOP,2),FALSE)+(VLOOKUP(#REF!,BOPLAB,HLOOKUP(#REF!,BOP,2)+1,FALSE)-VLOOKUP(#REF!,BOPLAB,HLOOKUP(#REF!,BOP,2),FALSE))*(#REF!-HLOOKUP(#REF!,BOP,1))/(HLOOKUP(#REF!+2,BOP,1)-HLOOKUP(#REF!,BOP,1))</definedName>
    <definedName name="BOP_LAB" localSheetId="1">VLOOKUP(#REF!,BOPLAB,HLOOKUP(#REF!,BOP,2),FALSE)+(VLOOKUP(#REF!,BOPLAB,HLOOKUP(#REF!,BOP,2)+1,FALSE)-VLOOKUP(#REF!,BOPLAB,HLOOKUP(#REF!,BOP,2),FALSE))*(#REF!-HLOOKUP(#REF!,BOP,1))/(HLOOKUP(#REF!+2,BOP,1)-HLOOKUP(#REF!,BOP,1))</definedName>
    <definedName name="BOP_LAB" localSheetId="0">VLOOKUP(#REF!,BOPLAB,HLOOKUP(#REF!,BOP,2),FALSE)+(VLOOKUP(#REF!,BOPLAB,HLOOKUP(#REF!,BOP,2)+1,FALSE)-VLOOKUP(#REF!,BOPLAB,HLOOKUP(#REF!,BOP,2),FALSE))*(#REF!-HLOOKUP(#REF!,BOP,1))/(HLOOKUP(#REF!+2,BOP,1)-HLOOKUP(#REF!,BOP,1))</definedName>
    <definedName name="BOP_LAB" localSheetId="4">VLOOKUP(#REF!,BOPLAB,HLOOKUP(#REF!,BOP,2),FALSE)+(VLOOKUP(#REF!,BOPLAB,HLOOKUP(#REF!,BOP,2)+1,FALSE)-VLOOKUP(#REF!,BOPLAB,HLOOKUP(#REF!,BOP,2),FALSE))*(#REF!-HLOOKUP(#REF!,BOP,1))/(HLOOKUP(#REF!+2,BOP,1)-HLOOKUP(#REF!,BOP,1))</definedName>
    <definedName name="BOP_LAB" localSheetId="3">VLOOKUP(#REF!,BOPLAB,HLOOKUP(#REF!,BOP,2),FALSE)+(VLOOKUP(#REF!,BOPLAB,HLOOKUP(#REF!,BOP,2)+1,FALSE)-VLOOKUP(#REF!,BOPLAB,HLOOKUP(#REF!,BOP,2),FALSE))*(#REF!-HLOOKUP(#REF!,BOP,1))/(HLOOKUP(#REF!+2,BOP,1)-HLOOKUP(#REF!,BOP,1))</definedName>
    <definedName name="BOP_LAB" localSheetId="5">VLOOKUP(#REF!,BOPLAB,HLOOKUP(#REF!,BOP,2),FALSE)+(VLOOKUP(#REF!,BOPLAB,HLOOKUP(#REF!,BOP,2)+1,FALSE)-VLOOKUP(#REF!,BOPLAB,HLOOKUP(#REF!,BOP,2),FALSE))*(#REF!-HLOOKUP(#REF!,BOP,1))/(HLOOKUP(#REF!+2,BOP,1)-HLOOKUP(#REF!,BOP,1))</definedName>
    <definedName name="BOP_LAB">VLOOKUP(#REF!,BOPLAB,HLOOKUP(#REF!,BOP,2),FALSE)+(VLOOKUP(#REF!,BOPLAB,HLOOKUP(#REF!,BOP,2)+1,FALSE)-VLOOKUP(#REF!,BOPLAB,HLOOKUP(#REF!,BOP,2),FALSE))*(#REF!-HLOOKUP(#REF!,BOP,1))/(HLOOKUP(#REF!+2,BOP,1)-HLOOKUP(#REF!,BOP,1))</definedName>
    <definedName name="BOP_MAT" localSheetId="2">VLOOKUP(#REF!,BOPMAT,HLOOKUP(#REF!,BOP,2)+1,FALSE)+(VLOOKUP(#REF!,BOPMAT,HLOOKUP(#REF!,BOP,2)+1+1,FALSE)-VLOOKUP(#REF!,BOPMAT,HLOOKUP(#REF!,BOP,2)+1,FALSE))*(#REF!-HLOOKUP(#REF!,BOP,1))</definedName>
    <definedName name="BOP_MAT" localSheetId="1">VLOOKUP(#REF!,BOPMAT,HLOOKUP(#REF!,BOP,2)+1,FALSE)+(VLOOKUP(#REF!,BOPMAT,HLOOKUP(#REF!,BOP,2)+1+1,FALSE)-VLOOKUP(#REF!,BOPMAT,HLOOKUP(#REF!,BOP,2)+1,FALSE))*(#REF!-HLOOKUP(#REF!,BOP,1))</definedName>
    <definedName name="BOP_MAT" localSheetId="0">VLOOKUP(#REF!,BOPMAT,HLOOKUP(#REF!,BOP,2)+1,FALSE)+(VLOOKUP(#REF!,BOPMAT,HLOOKUP(#REF!,BOP,2)+1+1,FALSE)-VLOOKUP(#REF!,BOPMAT,HLOOKUP(#REF!,BOP,2)+1,FALSE))*(#REF!-HLOOKUP(#REF!,BOP,1))</definedName>
    <definedName name="BOP_MAT" localSheetId="4">VLOOKUP(#REF!,BOPMAT,HLOOKUP(#REF!,BOP,2)+1,FALSE)+(VLOOKUP(#REF!,BOPMAT,HLOOKUP(#REF!,BOP,2)+1+1,FALSE)-VLOOKUP(#REF!,BOPMAT,HLOOKUP(#REF!,BOP,2)+1,FALSE))*(#REF!-HLOOKUP(#REF!,BOP,1))</definedName>
    <definedName name="BOP_MAT" localSheetId="3">VLOOKUP(#REF!,BOPMAT,HLOOKUP(#REF!,BOP,2)+1,FALSE)+(VLOOKUP(#REF!,BOPMAT,HLOOKUP(#REF!,BOP,2)+1+1,FALSE)-VLOOKUP(#REF!,BOPMAT,HLOOKUP(#REF!,BOP,2)+1,FALSE))*(#REF!-HLOOKUP(#REF!,BOP,1))</definedName>
    <definedName name="BOP_MAT" localSheetId="5">VLOOKUP(#REF!,BOPMAT,HLOOKUP(#REF!,BOP,2)+1,FALSE)+(VLOOKUP(#REF!,BOPMAT,HLOOKUP(#REF!,BOP,2)+1+1,FALSE)-VLOOKUP(#REF!,BOPMAT,HLOOKUP(#REF!,BOP,2)+1,FALSE))*(#REF!-HLOOKUP(#REF!,BOP,1))</definedName>
    <definedName name="BOP_MAT">VLOOKUP(#REF!,BOPMAT,HLOOKUP(#REF!,BOP,2)+1,FALSE)+(VLOOKUP(#REF!,BOPMAT,HLOOKUP(#REF!,BOP,2)+1+1,FALSE)-VLOOKUP(#REF!,BOPMAT,HLOOKUP(#REF!,BOP,2)+1,FALSE))*(#REF!-HLOOKUP(#REF!,BOP,1))</definedName>
    <definedName name="BOP40_CITY" localSheetId="2">#REF!</definedName>
    <definedName name="BOP40_CITY" localSheetId="1">#REF!</definedName>
    <definedName name="BOP40_CITY" localSheetId="0">#REF!</definedName>
    <definedName name="BOP40_CITY" localSheetId="4">#REF!</definedName>
    <definedName name="BOP40_CITY" localSheetId="3">#REF!</definedName>
    <definedName name="BOP40_CITY" localSheetId="5">#REF!</definedName>
    <definedName name="BOP40_CITY">#REF!</definedName>
    <definedName name="BOP40_ESC" localSheetId="2">#REF!</definedName>
    <definedName name="BOP40_ESC" localSheetId="1">#REF!</definedName>
    <definedName name="BOP40_ESC" localSheetId="0">#REF!</definedName>
    <definedName name="BOP40_ESC" localSheetId="4">#REF!</definedName>
    <definedName name="BOP40_ESC" localSheetId="3">#REF!</definedName>
    <definedName name="BOP40_ESC" localSheetId="5">#REF!</definedName>
    <definedName name="BOP40_ESC">#REF!</definedName>
    <definedName name="BOP40_OLD_CITY" localSheetId="2">#REF!</definedName>
    <definedName name="BOP40_OLD_CITY" localSheetId="1">#REF!</definedName>
    <definedName name="BOP40_OLD_CITY" localSheetId="0">#REF!</definedName>
    <definedName name="BOP40_OLD_CITY" localSheetId="4">#REF!</definedName>
    <definedName name="BOP40_OLD_CITY" localSheetId="3">#REF!</definedName>
    <definedName name="BOP40_OLD_CITY" localSheetId="5">#REF!</definedName>
    <definedName name="BOP40_OLD_CITY">#REF!</definedName>
    <definedName name="BOP40_OLD_ESC" localSheetId="2">#REF!</definedName>
    <definedName name="BOP40_OLD_ESC" localSheetId="1">#REF!</definedName>
    <definedName name="BOP40_OLD_ESC" localSheetId="0">#REF!</definedName>
    <definedName name="BOP40_OLD_ESC" localSheetId="4">#REF!</definedName>
    <definedName name="BOP40_OLD_ESC" localSheetId="3">#REF!</definedName>
    <definedName name="BOP40_OLD_ESC" localSheetId="5">#REF!</definedName>
    <definedName name="BOP40_OLD_ESC">#REF!</definedName>
    <definedName name="BOP40_OLD_PROD" localSheetId="2">#REF!</definedName>
    <definedName name="BOP40_OLD_PROD" localSheetId="1">#REF!</definedName>
    <definedName name="BOP40_OLD_PROD" localSheetId="0">#REF!</definedName>
    <definedName name="BOP40_OLD_PROD" localSheetId="4">#REF!</definedName>
    <definedName name="BOP40_OLD_PROD" localSheetId="3">#REF!</definedName>
    <definedName name="BOP40_OLD_PROD" localSheetId="5">#REF!</definedName>
    <definedName name="BOP40_OLD_PROD">#REF!</definedName>
    <definedName name="BOP40_OLD_WAGE" localSheetId="2">#REF!</definedName>
    <definedName name="BOP40_OLD_WAGE" localSheetId="1">#REF!</definedName>
    <definedName name="BOP40_OLD_WAGE" localSheetId="0">#REF!</definedName>
    <definedName name="BOP40_OLD_WAGE" localSheetId="4">#REF!</definedName>
    <definedName name="BOP40_OLD_WAGE" localSheetId="3">#REF!</definedName>
    <definedName name="BOP40_OLD_WAGE" localSheetId="5">#REF!</definedName>
    <definedName name="BOP40_OLD_WAGE">#REF!</definedName>
    <definedName name="BOP40_PROD" localSheetId="2">#REF!</definedName>
    <definedName name="BOP40_PROD" localSheetId="1">#REF!</definedName>
    <definedName name="BOP40_PROD" localSheetId="0">#REF!</definedName>
    <definedName name="BOP40_PROD" localSheetId="4">#REF!</definedName>
    <definedName name="BOP40_PROD" localSheetId="3">#REF!</definedName>
    <definedName name="BOP40_PROD" localSheetId="5">#REF!</definedName>
    <definedName name="BOP40_PROD">#REF!</definedName>
    <definedName name="BOP40_WAGE" localSheetId="2">#REF!</definedName>
    <definedName name="BOP40_WAGE" localSheetId="1">#REF!</definedName>
    <definedName name="BOP40_WAGE" localSheetId="0">#REF!</definedName>
    <definedName name="BOP40_WAGE" localSheetId="4">#REF!</definedName>
    <definedName name="BOP40_WAGE" localSheetId="3">#REF!</definedName>
    <definedName name="BOP40_WAGE" localSheetId="5">#REF!</definedName>
    <definedName name="BOP40_WAGE">#REF!</definedName>
    <definedName name="boq" localSheetId="2">#REF!</definedName>
    <definedName name="boq" localSheetId="1">#REF!</definedName>
    <definedName name="boq" localSheetId="0">#REF!</definedName>
    <definedName name="boq" localSheetId="4">#REF!</definedName>
    <definedName name="boq" localSheetId="3">#REF!</definedName>
    <definedName name="boq" localSheetId="5">#REF!</definedName>
    <definedName name="boq">#REF!</definedName>
    <definedName name="boqformat" localSheetId="2">#REF!</definedName>
    <definedName name="boqformat" localSheetId="1">#REF!</definedName>
    <definedName name="boqformat" localSheetId="4">#REF!</definedName>
    <definedName name="boqformat" localSheetId="3">#REF!</definedName>
    <definedName name="boqformat" localSheetId="5">#REF!</definedName>
    <definedName name="boqformat">#REF!</definedName>
    <definedName name="BORDER" localSheetId="2">#REF!</definedName>
    <definedName name="BORDER" localSheetId="1">#REF!</definedName>
    <definedName name="BORDER" localSheetId="0">#REF!</definedName>
    <definedName name="BORDER" localSheetId="4">#REF!</definedName>
    <definedName name="BORDER" localSheetId="3">#REF!</definedName>
    <definedName name="BORDER" localSheetId="5">#REF!</definedName>
    <definedName name="BORDER">#REF!</definedName>
    <definedName name="Border1" localSheetId="4">#REF!</definedName>
    <definedName name="Border1" localSheetId="3">#REF!</definedName>
    <definedName name="Border1" localSheetId="5">#REF!</definedName>
    <definedName name="Border1">#REF!</definedName>
    <definedName name="BOSS" localSheetId="2">#REF!</definedName>
    <definedName name="BOSS" localSheetId="1">#REF!</definedName>
    <definedName name="BOSS" localSheetId="0">#REF!</definedName>
    <definedName name="BOSS" localSheetId="4">#REF!</definedName>
    <definedName name="BOSS" localSheetId="3">#REF!</definedName>
    <definedName name="BOSS" localSheetId="5">#REF!</definedName>
    <definedName name="BOSS">#REF!</definedName>
    <definedName name="BQ" localSheetId="4">#REF!</definedName>
    <definedName name="BQ" localSheetId="3">#REF!</definedName>
    <definedName name="BQ" localSheetId="5">#REF!</definedName>
    <definedName name="BQ">#REF!</definedName>
    <definedName name="bqamt" localSheetId="4">#REF!</definedName>
    <definedName name="bqamt" localSheetId="3">#REF!</definedName>
    <definedName name="bqamt" localSheetId="5">#REF!</definedName>
    <definedName name="bqamt">#REF!</definedName>
    <definedName name="bqqty" localSheetId="4">#REF!</definedName>
    <definedName name="bqqty" localSheetId="3">#REF!</definedName>
    <definedName name="bqqty" localSheetId="5">#REF!</definedName>
    <definedName name="bqqty">#REF!</definedName>
    <definedName name="brenareas" localSheetId="4">#REF!</definedName>
    <definedName name="brenareas" localSheetId="3">#REF!</definedName>
    <definedName name="brenareas" localSheetId="5">#REF!</definedName>
    <definedName name="brenareas">#REF!</definedName>
    <definedName name="bRKRKRKRKRTDK" localSheetId="4">#REF!</definedName>
    <definedName name="bRKRKRKRKRTDK" localSheetId="3">#REF!</definedName>
    <definedName name="bRKRKRKRKRTDK" localSheetId="5">#REF!</definedName>
    <definedName name="bRKRKRKRKRTDK">#REF!</definedName>
    <definedName name="Brown" localSheetId="4">#REF!</definedName>
    <definedName name="Brown" localSheetId="3">#REF!</definedName>
    <definedName name="Brown" localSheetId="5">#REF!</definedName>
    <definedName name="Brown">#REF!</definedName>
    <definedName name="BS" localSheetId="4" hidden="1">#REF!</definedName>
    <definedName name="BS" localSheetId="3" hidden="1">#REF!</definedName>
    <definedName name="BS" localSheetId="5" hidden="1">#REF!</definedName>
    <definedName name="BS" hidden="1">#REF!</definedName>
    <definedName name="BUDGET" localSheetId="4">#REF!</definedName>
    <definedName name="BUDGET" localSheetId="3">#REF!</definedName>
    <definedName name="BUDGET" localSheetId="5">#REF!</definedName>
    <definedName name="BUDGET">#REF!</definedName>
    <definedName name="Budget_1" localSheetId="2">#REF!</definedName>
    <definedName name="Budget_1" localSheetId="1">#REF!</definedName>
    <definedName name="Budget_1" localSheetId="0">#REF!</definedName>
    <definedName name="Budget_1" localSheetId="4">#REF!</definedName>
    <definedName name="Budget_1" localSheetId="3">#REF!</definedName>
    <definedName name="Budget_1" localSheetId="5">#REF!</definedName>
    <definedName name="Budget_1">#REF!</definedName>
    <definedName name="Budget_10" localSheetId="2">#REF!</definedName>
    <definedName name="Budget_10" localSheetId="1">#REF!</definedName>
    <definedName name="Budget_10" localSheetId="0">#REF!</definedName>
    <definedName name="Budget_10" localSheetId="4">#REF!</definedName>
    <definedName name="Budget_10" localSheetId="3">#REF!</definedName>
    <definedName name="Budget_10" localSheetId="5">#REF!</definedName>
    <definedName name="Budget_10">#REF!</definedName>
    <definedName name="Budget_11" localSheetId="2">#REF!</definedName>
    <definedName name="Budget_11" localSheetId="1">#REF!</definedName>
    <definedName name="Budget_11" localSheetId="0">#REF!</definedName>
    <definedName name="Budget_11" localSheetId="4">#REF!</definedName>
    <definedName name="Budget_11" localSheetId="3">#REF!</definedName>
    <definedName name="Budget_11" localSheetId="5">#REF!</definedName>
    <definedName name="Budget_11">#REF!</definedName>
    <definedName name="Budget_12" localSheetId="2">#REF!</definedName>
    <definedName name="Budget_12" localSheetId="1">#REF!</definedName>
    <definedName name="Budget_12" localSheetId="0">#REF!</definedName>
    <definedName name="Budget_12" localSheetId="4">#REF!</definedName>
    <definedName name="Budget_12" localSheetId="3">#REF!</definedName>
    <definedName name="Budget_12" localSheetId="5">#REF!</definedName>
    <definedName name="Budget_12">#REF!</definedName>
    <definedName name="Budget_13" localSheetId="2">#REF!</definedName>
    <definedName name="Budget_13" localSheetId="1">#REF!</definedName>
    <definedName name="Budget_13" localSheetId="0">#REF!</definedName>
    <definedName name="Budget_13" localSheetId="4">#REF!</definedName>
    <definedName name="Budget_13" localSheetId="3">#REF!</definedName>
    <definedName name="Budget_13" localSheetId="5">#REF!</definedName>
    <definedName name="Budget_13">#REF!</definedName>
    <definedName name="Budget_2" localSheetId="2">#REF!</definedName>
    <definedName name="Budget_2" localSheetId="1">#REF!</definedName>
    <definedName name="Budget_2" localSheetId="0">#REF!</definedName>
    <definedName name="Budget_2" localSheetId="4">#REF!</definedName>
    <definedName name="Budget_2" localSheetId="3">#REF!</definedName>
    <definedName name="Budget_2" localSheetId="5">#REF!</definedName>
    <definedName name="Budget_2">#REF!</definedName>
    <definedName name="Budget_3" localSheetId="2">#REF!</definedName>
    <definedName name="Budget_3" localSheetId="1">#REF!</definedName>
    <definedName name="Budget_3" localSheetId="0">#REF!</definedName>
    <definedName name="Budget_3" localSheetId="4">#REF!</definedName>
    <definedName name="Budget_3" localSheetId="3">#REF!</definedName>
    <definedName name="Budget_3" localSheetId="5">#REF!</definedName>
    <definedName name="Budget_3">#REF!</definedName>
    <definedName name="Budget_4" localSheetId="2">#REF!</definedName>
    <definedName name="Budget_4" localSheetId="1">#REF!</definedName>
    <definedName name="Budget_4" localSheetId="0">#REF!</definedName>
    <definedName name="Budget_4" localSheetId="4">#REF!</definedName>
    <definedName name="Budget_4" localSheetId="3">#REF!</definedName>
    <definedName name="Budget_4" localSheetId="5">#REF!</definedName>
    <definedName name="Budget_4">#REF!</definedName>
    <definedName name="Budget_5" localSheetId="2">#REF!</definedName>
    <definedName name="Budget_5" localSheetId="1">#REF!</definedName>
    <definedName name="Budget_5" localSheetId="0">#REF!</definedName>
    <definedName name="Budget_5" localSheetId="4">#REF!</definedName>
    <definedName name="Budget_5" localSheetId="3">#REF!</definedName>
    <definedName name="Budget_5" localSheetId="5">#REF!</definedName>
    <definedName name="Budget_5">#REF!</definedName>
    <definedName name="Budget_6" localSheetId="2">#REF!</definedName>
    <definedName name="Budget_6" localSheetId="1">#REF!</definedName>
    <definedName name="Budget_6" localSheetId="0">#REF!</definedName>
    <definedName name="Budget_6" localSheetId="4">#REF!</definedName>
    <definedName name="Budget_6" localSheetId="3">#REF!</definedName>
    <definedName name="Budget_6" localSheetId="5">#REF!</definedName>
    <definedName name="Budget_6">#REF!</definedName>
    <definedName name="Budget_7" localSheetId="2">#REF!</definedName>
    <definedName name="Budget_7" localSheetId="1">#REF!</definedName>
    <definedName name="Budget_7" localSheetId="0">#REF!</definedName>
    <definedName name="Budget_7" localSheetId="4">#REF!</definedName>
    <definedName name="Budget_7" localSheetId="3">#REF!</definedName>
    <definedName name="Budget_7" localSheetId="5">#REF!</definedName>
    <definedName name="Budget_7">#REF!</definedName>
    <definedName name="Budget_8" localSheetId="2">#REF!</definedName>
    <definedName name="Budget_8" localSheetId="1">#REF!</definedName>
    <definedName name="Budget_8" localSheetId="0">#REF!</definedName>
    <definedName name="Budget_8" localSheetId="4">#REF!</definedName>
    <definedName name="Budget_8" localSheetId="3">#REF!</definedName>
    <definedName name="Budget_8" localSheetId="5">#REF!</definedName>
    <definedName name="Budget_8">#REF!</definedName>
    <definedName name="Budget_9" localSheetId="2">#REF!</definedName>
    <definedName name="Budget_9" localSheetId="1">#REF!</definedName>
    <definedName name="Budget_9" localSheetId="0">#REF!</definedName>
    <definedName name="Budget_9" localSheetId="4">#REF!</definedName>
    <definedName name="Budget_9" localSheetId="3">#REF!</definedName>
    <definedName name="Budget_9" localSheetId="5">#REF!</definedName>
    <definedName name="Budget_9">#REF!</definedName>
    <definedName name="Budget_March_2001_to_Feb_2002_RENTALS_List" localSheetId="2">#REF!</definedName>
    <definedName name="Budget_March_2001_to_Feb_2002_RENTALS_List" localSheetId="1">#REF!</definedName>
    <definedName name="Budget_March_2001_to_Feb_2002_RENTALS_List" localSheetId="0">#REF!</definedName>
    <definedName name="Budget_March_2001_to_Feb_2002_RENTALS_List" localSheetId="4">#REF!</definedName>
    <definedName name="Budget_March_2001_to_Feb_2002_RENTALS_List" localSheetId="3">#REF!</definedName>
    <definedName name="Budget_March_2001_to_Feb_2002_RENTALS_List" localSheetId="5">#REF!</definedName>
    <definedName name="Budget_March_2001_to_Feb_2002_RENTALS_List">#REF!</definedName>
    <definedName name="Budget_Mnth" localSheetId="2">#REF!</definedName>
    <definedName name="Budget_Mnth" localSheetId="1">#REF!</definedName>
    <definedName name="Budget_Mnth" localSheetId="0">#REF!</definedName>
    <definedName name="Budget_Mnth" localSheetId="4">#REF!</definedName>
    <definedName name="Budget_Mnth" localSheetId="3">#REF!</definedName>
    <definedName name="Budget_Mnth" localSheetId="5">#REF!</definedName>
    <definedName name="Budget_Mnth">#REF!</definedName>
    <definedName name="Budget_YTD" localSheetId="2">#REF!</definedName>
    <definedName name="Budget_YTD" localSheetId="1">#REF!</definedName>
    <definedName name="Budget_YTD" localSheetId="0">#REF!</definedName>
    <definedName name="Budget_YTD" localSheetId="4">#REF!</definedName>
    <definedName name="Budget_YTD" localSheetId="3">#REF!</definedName>
    <definedName name="Budget_YTD" localSheetId="5">#REF!</definedName>
    <definedName name="Budget_YTD">#REF!</definedName>
    <definedName name="BUILDERSWORK" localSheetId="2">#REF!</definedName>
    <definedName name="BUILDERSWORK" localSheetId="1">#REF!</definedName>
    <definedName name="BUILDERSWORK" localSheetId="0">#REF!</definedName>
    <definedName name="BUILDERSWORK" localSheetId="4">#REF!</definedName>
    <definedName name="BUILDERSWORK" localSheetId="3">#REF!</definedName>
    <definedName name="BUILDERSWORK" localSheetId="5">#REF!</definedName>
    <definedName name="BUILDERSWORK">#REF!</definedName>
    <definedName name="BUILDING" localSheetId="2">#REF!</definedName>
    <definedName name="BUILDING" localSheetId="1">#REF!</definedName>
    <definedName name="BUILDING" localSheetId="0">#REF!</definedName>
    <definedName name="BUILDING" localSheetId="4">#REF!</definedName>
    <definedName name="BUILDING" localSheetId="3">#REF!</definedName>
    <definedName name="BUILDING" localSheetId="5">#REF!</definedName>
    <definedName name="BUILDING">#REF!</definedName>
    <definedName name="BUILDINGS" localSheetId="4">#REF!</definedName>
    <definedName name="BUILDINGS" localSheetId="3">#REF!</definedName>
    <definedName name="BUILDINGS" localSheetId="5">#REF!</definedName>
    <definedName name="BUILDINGS">#REF!</definedName>
    <definedName name="BUILDINGS1" localSheetId="4">#REF!</definedName>
    <definedName name="BUILDINGS1" localSheetId="3">#REF!</definedName>
    <definedName name="BUILDINGS1" localSheetId="5">#REF!</definedName>
    <definedName name="BUILDINGS1">#REF!</definedName>
    <definedName name="Built_Area" localSheetId="2">#REF!</definedName>
    <definedName name="Built_Area" localSheetId="1">#REF!</definedName>
    <definedName name="Built_Area" localSheetId="0">#REF!</definedName>
    <definedName name="Built_Area" localSheetId="4">#REF!</definedName>
    <definedName name="Built_Area" localSheetId="3">#REF!</definedName>
    <definedName name="Built_Area" localSheetId="5">#REF!</definedName>
    <definedName name="Built_Area">#REF!</definedName>
    <definedName name="bulkhead" localSheetId="4">#REF!</definedName>
    <definedName name="bulkhead" localSheetId="3">#REF!</definedName>
    <definedName name="bulkhead" localSheetId="5">#REF!</definedName>
    <definedName name="bulkhead">#REF!</definedName>
    <definedName name="BULKMATERIAL_UNIT_COST" localSheetId="4">#REF!,#REF!,#REF!,#REF!,#REF!,#REF!,#REF!</definedName>
    <definedName name="BULKMATERIAL_UNIT_COST" localSheetId="3">#REF!,#REF!,#REF!,#REF!,#REF!,#REF!,#REF!</definedName>
    <definedName name="BULKMATERIAL_UNIT_COST" localSheetId="5">#REF!,#REF!,#REF!,#REF!,#REF!,#REF!,#REF!</definedName>
    <definedName name="BULKMATERIAL_UNIT_COST">#REF!,#REF!,#REF!,#REF!,#REF!,#REF!,#REF!</definedName>
    <definedName name="BULKS80_CITY" localSheetId="2">#REF!</definedName>
    <definedName name="BULKS80_CITY" localSheetId="1">#REF!</definedName>
    <definedName name="BULKS80_CITY" localSheetId="0">#REF!</definedName>
    <definedName name="BULKS80_CITY" localSheetId="4">#REF!</definedName>
    <definedName name="BULKS80_CITY" localSheetId="3">#REF!</definedName>
    <definedName name="BULKS80_CITY" localSheetId="5">#REF!</definedName>
    <definedName name="BULKS80_CITY">#REF!</definedName>
    <definedName name="BULKS80_ESC" localSheetId="2">#REF!</definedName>
    <definedName name="BULKS80_ESC" localSheetId="1">#REF!</definedName>
    <definedName name="BULKS80_ESC" localSheetId="0">#REF!</definedName>
    <definedName name="BULKS80_ESC" localSheetId="4">#REF!</definedName>
    <definedName name="BULKS80_ESC" localSheetId="3">#REF!</definedName>
    <definedName name="BULKS80_ESC" localSheetId="5">#REF!</definedName>
    <definedName name="BULKS80_ESC">#REF!</definedName>
    <definedName name="BULKS80_HRS" localSheetId="2">#REF!</definedName>
    <definedName name="BULKS80_HRS" localSheetId="1">#REF!</definedName>
    <definedName name="BULKS80_HRS" localSheetId="0">#REF!</definedName>
    <definedName name="BULKS80_HRS" localSheetId="4">#REF!</definedName>
    <definedName name="BULKS80_HRS" localSheetId="3">#REF!</definedName>
    <definedName name="BULKS80_HRS" localSheetId="5">#REF!</definedName>
    <definedName name="BULKS80_HRS">#REF!</definedName>
    <definedName name="BULKS80_LAB" localSheetId="2">#REF!</definedName>
    <definedName name="BULKS80_LAB" localSheetId="1">#REF!</definedName>
    <definedName name="BULKS80_LAB" localSheetId="0">#REF!</definedName>
    <definedName name="BULKS80_LAB" localSheetId="4">#REF!</definedName>
    <definedName name="BULKS80_LAB" localSheetId="3">#REF!</definedName>
    <definedName name="BULKS80_LAB" localSheetId="5">#REF!</definedName>
    <definedName name="BULKS80_LAB">#REF!</definedName>
    <definedName name="BULKS80_MAT" localSheetId="2">#REF!</definedName>
    <definedName name="BULKS80_MAT" localSheetId="1">#REF!</definedName>
    <definedName name="BULKS80_MAT" localSheetId="0">#REF!</definedName>
    <definedName name="BULKS80_MAT" localSheetId="4">#REF!</definedName>
    <definedName name="BULKS80_MAT" localSheetId="3">#REF!</definedName>
    <definedName name="BULKS80_MAT" localSheetId="5">#REF!</definedName>
    <definedName name="BULKS80_MAT">#REF!</definedName>
    <definedName name="BULKS80_OLD_CITY" localSheetId="2">#REF!</definedName>
    <definedName name="BULKS80_OLD_CITY" localSheetId="1">#REF!</definedName>
    <definedName name="BULKS80_OLD_CITY" localSheetId="0">#REF!</definedName>
    <definedName name="BULKS80_OLD_CITY" localSheetId="4">#REF!</definedName>
    <definedName name="BULKS80_OLD_CITY" localSheetId="3">#REF!</definedName>
    <definedName name="BULKS80_OLD_CITY" localSheetId="5">#REF!</definedName>
    <definedName name="BULKS80_OLD_CITY">#REF!</definedName>
    <definedName name="BULKS80_OLD_ESC" localSheetId="2">#REF!</definedName>
    <definedName name="BULKS80_OLD_ESC" localSheetId="1">#REF!</definedName>
    <definedName name="BULKS80_OLD_ESC" localSheetId="0">#REF!</definedName>
    <definedName name="BULKS80_OLD_ESC" localSheetId="4">#REF!</definedName>
    <definedName name="BULKS80_OLD_ESC" localSheetId="3">#REF!</definedName>
    <definedName name="BULKS80_OLD_ESC" localSheetId="5">#REF!</definedName>
    <definedName name="BULKS80_OLD_ESC">#REF!</definedName>
    <definedName name="BULKS80_OLD_PROD" localSheetId="2">#REF!</definedName>
    <definedName name="BULKS80_OLD_PROD" localSheetId="1">#REF!</definedName>
    <definedName name="BULKS80_OLD_PROD" localSheetId="0">#REF!</definedName>
    <definedName name="BULKS80_OLD_PROD" localSheetId="4">#REF!</definedName>
    <definedName name="BULKS80_OLD_PROD" localSheetId="3">#REF!</definedName>
    <definedName name="BULKS80_OLD_PROD" localSheetId="5">#REF!</definedName>
    <definedName name="BULKS80_OLD_PROD">#REF!</definedName>
    <definedName name="BULKS80_OLD_WAGE" localSheetId="2">#REF!</definedName>
    <definedName name="BULKS80_OLD_WAGE" localSheetId="1">#REF!</definedName>
    <definedName name="BULKS80_OLD_WAGE" localSheetId="0">#REF!</definedName>
    <definedName name="BULKS80_OLD_WAGE" localSheetId="4">#REF!</definedName>
    <definedName name="BULKS80_OLD_WAGE" localSheetId="3">#REF!</definedName>
    <definedName name="BULKS80_OLD_WAGE" localSheetId="5">#REF!</definedName>
    <definedName name="BULKS80_OLD_WAGE">#REF!</definedName>
    <definedName name="BULKS80_PROD" localSheetId="2">#REF!</definedName>
    <definedName name="BULKS80_PROD" localSheetId="1">#REF!</definedName>
    <definedName name="BULKS80_PROD" localSheetId="0">#REF!</definedName>
    <definedName name="BULKS80_PROD" localSheetId="4">#REF!</definedName>
    <definedName name="BULKS80_PROD" localSheetId="3">#REF!</definedName>
    <definedName name="BULKS80_PROD" localSheetId="5">#REF!</definedName>
    <definedName name="BULKS80_PROD">#REF!</definedName>
    <definedName name="BULKS80_SC" localSheetId="2">#REF!</definedName>
    <definedName name="BULKS80_SC" localSheetId="1">#REF!</definedName>
    <definedName name="BULKS80_SC" localSheetId="0">#REF!</definedName>
    <definedName name="BULKS80_SC" localSheetId="4">#REF!</definedName>
    <definedName name="BULKS80_SC" localSheetId="3">#REF!</definedName>
    <definedName name="BULKS80_SC" localSheetId="5">#REF!</definedName>
    <definedName name="BULKS80_SC">#REF!</definedName>
    <definedName name="BULKS80_SCHRS" localSheetId="2">#REF!</definedName>
    <definedName name="BULKS80_SCHRS" localSheetId="1">#REF!</definedName>
    <definedName name="BULKS80_SCHRS" localSheetId="0">#REF!</definedName>
    <definedName name="BULKS80_SCHRS" localSheetId="4">#REF!</definedName>
    <definedName name="BULKS80_SCHRS" localSheetId="3">#REF!</definedName>
    <definedName name="BULKS80_SCHRS" localSheetId="5">#REF!</definedName>
    <definedName name="BULKS80_SCHRS">#REF!</definedName>
    <definedName name="BULKS80_TOT" localSheetId="2">#REF!</definedName>
    <definedName name="BULKS80_TOT" localSheetId="1">#REF!</definedName>
    <definedName name="BULKS80_TOT" localSheetId="0">#REF!</definedName>
    <definedName name="BULKS80_TOT" localSheetId="4">#REF!</definedName>
    <definedName name="BULKS80_TOT" localSheetId="3">#REF!</definedName>
    <definedName name="BULKS80_TOT" localSheetId="5">#REF!</definedName>
    <definedName name="BULKS80_TOT">#REF!</definedName>
    <definedName name="BULKS80_WAGE" localSheetId="2">#REF!</definedName>
    <definedName name="BULKS80_WAGE" localSheetId="1">#REF!</definedName>
    <definedName name="BULKS80_WAGE" localSheetId="0">#REF!</definedName>
    <definedName name="BULKS80_WAGE" localSheetId="4">#REF!</definedName>
    <definedName name="BULKS80_WAGE" localSheetId="3">#REF!</definedName>
    <definedName name="BULKS80_WAGE" localSheetId="5">#REF!</definedName>
    <definedName name="BULKS80_WAGE">#REF!</definedName>
    <definedName name="BULKS81_QTY" localSheetId="2">#REF!</definedName>
    <definedName name="BULKS81_QTY" localSheetId="1">#REF!</definedName>
    <definedName name="BULKS81_QTY" localSheetId="0">#REF!</definedName>
    <definedName name="BULKS81_QTY" localSheetId="4">#REF!</definedName>
    <definedName name="BULKS81_QTY" localSheetId="3">#REF!</definedName>
    <definedName name="BULKS81_QTY" localSheetId="5">#REF!</definedName>
    <definedName name="BULKS81_QTY">#REF!</definedName>
    <definedName name="BULKS82_QTY" localSheetId="2">#REF!</definedName>
    <definedName name="BULKS82_QTY" localSheetId="1">#REF!</definedName>
    <definedName name="BULKS82_QTY" localSheetId="0">#REF!</definedName>
    <definedName name="BULKS82_QTY" localSheetId="4">#REF!</definedName>
    <definedName name="BULKS82_QTY" localSheetId="3">#REF!</definedName>
    <definedName name="BULKS82_QTY" localSheetId="5">#REF!</definedName>
    <definedName name="BULKS82_QTY">#REF!</definedName>
    <definedName name="BULKS84_ACL" localSheetId="2">#REF!</definedName>
    <definedName name="BULKS84_ACL" localSheetId="1">#REF!</definedName>
    <definedName name="BULKS84_ACL" localSheetId="0">#REF!</definedName>
    <definedName name="BULKS84_ACL" localSheetId="4">#REF!</definedName>
    <definedName name="BULKS84_ACL" localSheetId="3">#REF!</definedName>
    <definedName name="BULKS84_ACL" localSheetId="5">#REF!</definedName>
    <definedName name="BULKS84_ACL">#REF!</definedName>
    <definedName name="BULKS84_CKTS" localSheetId="2">#REF!</definedName>
    <definedName name="BULKS84_CKTS" localSheetId="1">#REF!</definedName>
    <definedName name="BULKS84_CKTS" localSheetId="0">#REF!</definedName>
    <definedName name="BULKS84_CKTS" localSheetId="4">#REF!</definedName>
    <definedName name="BULKS84_CKTS" localSheetId="3">#REF!</definedName>
    <definedName name="BULKS84_CKTS" localSheetId="5">#REF!</definedName>
    <definedName name="BULKS84_CKTS">#REF!</definedName>
    <definedName name="BULKS84_QTY" localSheetId="2">#REF!</definedName>
    <definedName name="BULKS84_QTY" localSheetId="1">#REF!</definedName>
    <definedName name="BULKS84_QTY" localSheetId="0">#REF!</definedName>
    <definedName name="BULKS84_QTY" localSheetId="4">#REF!</definedName>
    <definedName name="BULKS84_QTY" localSheetId="3">#REF!</definedName>
    <definedName name="BULKS84_QTY" localSheetId="5">#REF!</definedName>
    <definedName name="BULKS84_QTY">#REF!</definedName>
    <definedName name="BULKS85_QTY" localSheetId="2">#REF!</definedName>
    <definedName name="BULKS85_QTY" localSheetId="1">#REF!</definedName>
    <definedName name="BULKS85_QTY" localSheetId="0">#REF!</definedName>
    <definedName name="BULKS85_QTY" localSheetId="4">#REF!</definedName>
    <definedName name="BULKS85_QTY" localSheetId="3">#REF!</definedName>
    <definedName name="BULKS85_QTY" localSheetId="5">#REF!</definedName>
    <definedName name="BULKS85_QTY">#REF!</definedName>
    <definedName name="BUS" localSheetId="2">#REF!</definedName>
    <definedName name="BUS" localSheetId="1">#REF!</definedName>
    <definedName name="BUS" localSheetId="0">#REF!</definedName>
    <definedName name="BUS" localSheetId="4">#REF!</definedName>
    <definedName name="BUS" localSheetId="3">#REF!</definedName>
    <definedName name="BUS" localSheetId="5">#REF!</definedName>
    <definedName name="BUS">#REF!</definedName>
    <definedName name="Busbars___Tap_off" localSheetId="4">#REF!</definedName>
    <definedName name="Busbars___Tap_off" localSheetId="3">#REF!</definedName>
    <definedName name="Busbars___Tap_off" localSheetId="5">#REF!</definedName>
    <definedName name="Busbars___Tap_off">#REF!</definedName>
    <definedName name="Business_Travel_Rates" localSheetId="2">#REF!</definedName>
    <definedName name="Business_Travel_Rates" localSheetId="1">#REF!</definedName>
    <definedName name="Business_Travel_Rates" localSheetId="0">#REF!</definedName>
    <definedName name="Business_Travel_Rates" localSheetId="4">#REF!</definedName>
    <definedName name="Business_Travel_Rates" localSheetId="3">#REF!</definedName>
    <definedName name="Business_Travel_Rates" localSheetId="5">#REF!</definedName>
    <definedName name="Business_Travel_Rates">#REF!</definedName>
    <definedName name="butterfly" localSheetId="2">#REF!</definedName>
    <definedName name="butterfly" localSheetId="1">#REF!</definedName>
    <definedName name="butterfly" localSheetId="0">#REF!</definedName>
    <definedName name="butterfly" localSheetId="4">#REF!</definedName>
    <definedName name="butterfly" localSheetId="3">#REF!</definedName>
    <definedName name="butterfly" localSheetId="5">#REF!</definedName>
    <definedName name="butterfly">#REF!</definedName>
    <definedName name="bvcxb" localSheetId="2" hidden="1">{#N/A,#N/A,FALSE,"估價單  (3)"}</definedName>
    <definedName name="bvcxb" localSheetId="1" hidden="1">{#N/A,#N/A,FALSE,"估價單  (3)"}</definedName>
    <definedName name="bvcxb" localSheetId="0" hidden="1">{#N/A,#N/A,FALSE,"估價單  (3)"}</definedName>
    <definedName name="bvcxb" localSheetId="4" hidden="1">{#N/A,#N/A,FALSE,"估價單  (3)"}</definedName>
    <definedName name="bvcxb" localSheetId="3" hidden="1">{#N/A,#N/A,FALSE,"估價單  (3)"}</definedName>
    <definedName name="bvcxb" localSheetId="5" hidden="1">{#N/A,#N/A,FALSE,"估價單  (3)"}</definedName>
    <definedName name="bvcxb" hidden="1">{#N/A,#N/A,FALSE,"估價單  (3)"}</definedName>
    <definedName name="bw" localSheetId="2">#REF!</definedName>
    <definedName name="bw" localSheetId="1">#REF!</definedName>
    <definedName name="bw" localSheetId="0">#REF!</definedName>
    <definedName name="bw" localSheetId="4">#REF!</definedName>
    <definedName name="bw" localSheetId="3">#REF!</definedName>
    <definedName name="bw" localSheetId="5">#REF!</definedName>
    <definedName name="bw">#REF!</definedName>
    <definedName name="bw4_" localSheetId="2">#REF!</definedName>
    <definedName name="bw4_" localSheetId="1">#REF!</definedName>
    <definedName name="bw4_" localSheetId="0">#REF!</definedName>
    <definedName name="bw4_" localSheetId="4">#REF!</definedName>
    <definedName name="bw4_" localSheetId="3">#REF!</definedName>
    <definedName name="bw4_" localSheetId="5">#REF!</definedName>
    <definedName name="bw4_">#REF!</definedName>
    <definedName name="bw4a" localSheetId="2">#REF!</definedName>
    <definedName name="bw4a" localSheetId="1">#REF!</definedName>
    <definedName name="bw4a" localSheetId="0">#REF!</definedName>
    <definedName name="bw4a" localSheetId="4">#REF!</definedName>
    <definedName name="bw4a" localSheetId="3">#REF!</definedName>
    <definedName name="bw4a" localSheetId="5">#REF!</definedName>
    <definedName name="bw4a">#REF!</definedName>
    <definedName name="C_">#N/A</definedName>
    <definedName name="C_A" localSheetId="2">#REF!</definedName>
    <definedName name="C_A" localSheetId="1">#REF!</definedName>
    <definedName name="C_A" localSheetId="0">#REF!</definedName>
    <definedName name="C_A" localSheetId="4">#REF!</definedName>
    <definedName name="C_A" localSheetId="3">#REF!</definedName>
    <definedName name="C_A" localSheetId="5">#REF!</definedName>
    <definedName name="C_A">#REF!</definedName>
    <definedName name="C_STATUS_DRGS" localSheetId="4">#REF!</definedName>
    <definedName name="C_STATUS_DRGS" localSheetId="3">#REF!</definedName>
    <definedName name="C_STATUS_DRGS" localSheetId="5">#REF!</definedName>
    <definedName name="C_STATUS_DRGS">#REF!</definedName>
    <definedName name="C_STATUS_NO" localSheetId="4">#REF!</definedName>
    <definedName name="C_STATUS_NO" localSheetId="3">#REF!</definedName>
    <definedName name="C_STATUS_NO" localSheetId="5">#REF!</definedName>
    <definedName name="C_STATUS_NO">#REF!</definedName>
    <definedName name="C_STATUS_NUMBER" localSheetId="4">#REF!</definedName>
    <definedName name="C_STATUS_NUMBER" localSheetId="3">#REF!</definedName>
    <definedName name="C_STATUS_NUMBER" localSheetId="5">#REF!</definedName>
    <definedName name="C_STATUS_NUMBER">#REF!</definedName>
    <definedName name="CA" localSheetId="0">#REF!</definedName>
    <definedName name="CA" localSheetId="4">#REF!</definedName>
    <definedName name="CA" localSheetId="3">#REF!</definedName>
    <definedName name="CA" localSheetId="5">#REF!</definedName>
    <definedName name="CA">#REF!</definedName>
    <definedName name="CA8Ganga" localSheetId="0">#REF!</definedName>
    <definedName name="CA8Ganga" localSheetId="4">#REF!</definedName>
    <definedName name="CA8Ganga" localSheetId="3">#REF!</definedName>
    <definedName name="CA8Ganga" localSheetId="5">#REF!</definedName>
    <definedName name="CA8Ganga">#REF!</definedName>
    <definedName name="CABLE" localSheetId="4">#REF!</definedName>
    <definedName name="CABLE" localSheetId="3">#REF!</definedName>
    <definedName name="CABLE" localSheetId="5">#REF!</definedName>
    <definedName name="CABLE">#REF!</definedName>
    <definedName name="CABLE_5KV" localSheetId="2">#REF!</definedName>
    <definedName name="CABLE_5KV" localSheetId="1">#REF!</definedName>
    <definedName name="CABLE_5KV" localSheetId="0">#REF!</definedName>
    <definedName name="CABLE_5KV" localSheetId="4">#REF!</definedName>
    <definedName name="CABLE_5KV" localSheetId="3">#REF!</definedName>
    <definedName name="CABLE_5KV" localSheetId="5">#REF!</definedName>
    <definedName name="CABLE_5KV">#REF!</definedName>
    <definedName name="CABLE_600V" localSheetId="2">#REF!</definedName>
    <definedName name="CABLE_600V" localSheetId="1">#REF!</definedName>
    <definedName name="CABLE_600V" localSheetId="0">#REF!</definedName>
    <definedName name="CABLE_600V" localSheetId="4">#REF!</definedName>
    <definedName name="CABLE_600V" localSheetId="3">#REF!</definedName>
    <definedName name="CABLE_600V" localSheetId="5">#REF!</definedName>
    <definedName name="CABLE_600V">#REF!</definedName>
    <definedName name="cable_management_system" localSheetId="4">#REF!</definedName>
    <definedName name="cable_management_system" localSheetId="3">#REF!</definedName>
    <definedName name="cable_management_system" localSheetId="5">#REF!</definedName>
    <definedName name="cable_management_system">#REF!</definedName>
    <definedName name="CABLE_PRICING" localSheetId="2">#REF!</definedName>
    <definedName name="CABLE_PRICING" localSheetId="1">#REF!</definedName>
    <definedName name="CABLE_PRICING" localSheetId="0">#REF!</definedName>
    <definedName name="CABLE_PRICING" localSheetId="4">#REF!</definedName>
    <definedName name="CABLE_PRICING" localSheetId="3">#REF!</definedName>
    <definedName name="CABLE_PRICING" localSheetId="5">#REF!</definedName>
    <definedName name="CABLE_PRICING">#REF!</definedName>
    <definedName name="CABLE_TYPE_15KV" localSheetId="2">#REF!</definedName>
    <definedName name="CABLE_TYPE_15KV" localSheetId="1">#REF!</definedName>
    <definedName name="CABLE_TYPE_15KV" localSheetId="0">#REF!</definedName>
    <definedName name="CABLE_TYPE_15KV" localSheetId="4">#REF!</definedName>
    <definedName name="CABLE_TYPE_15KV" localSheetId="3">#REF!</definedName>
    <definedName name="CABLE_TYPE_15KV" localSheetId="5">#REF!</definedName>
    <definedName name="CABLE_TYPE_15KV">#REF!</definedName>
    <definedName name="CABLE_TYPE_5KV" localSheetId="2">#REF!</definedName>
    <definedName name="CABLE_TYPE_5KV" localSheetId="1">#REF!</definedName>
    <definedName name="CABLE_TYPE_5KV" localSheetId="0">#REF!</definedName>
    <definedName name="CABLE_TYPE_5KV" localSheetId="4">#REF!</definedName>
    <definedName name="CABLE_TYPE_5KV" localSheetId="3">#REF!</definedName>
    <definedName name="CABLE_TYPE_5KV" localSheetId="5">#REF!</definedName>
    <definedName name="CABLE_TYPE_5KV">#REF!</definedName>
    <definedName name="Calc_Error" localSheetId="4">#REF!</definedName>
    <definedName name="Calc_Error" localSheetId="3">#REF!</definedName>
    <definedName name="Calc_Error" localSheetId="5">#REF!</definedName>
    <definedName name="Calc_Error">#REF!</definedName>
    <definedName name="Calc_OK" localSheetId="4">#REF!</definedName>
    <definedName name="Calc_OK" localSheetId="3">#REF!</definedName>
    <definedName name="Calc_OK" localSheetId="5">#REF!</definedName>
    <definedName name="Calc_OK">#REF!</definedName>
    <definedName name="CAP" localSheetId="2">#REF!</definedName>
    <definedName name="CAP" localSheetId="1">#REF!</definedName>
    <definedName name="CAP" localSheetId="0">#REF!</definedName>
    <definedName name="CAP" localSheetId="4">#REF!</definedName>
    <definedName name="CAP" localSheetId="3">#REF!</definedName>
    <definedName name="CAP" localSheetId="5">#REF!</definedName>
    <definedName name="CAP">#REF!</definedName>
    <definedName name="CAPITAL" localSheetId="2">#REF!</definedName>
    <definedName name="CAPITAL" localSheetId="1">#REF!</definedName>
    <definedName name="CAPITAL" localSheetId="0">#REF!</definedName>
    <definedName name="CAPITAL" localSheetId="4">#REF!</definedName>
    <definedName name="CAPITAL" localSheetId="3">#REF!</definedName>
    <definedName name="CAPITAL" localSheetId="5">#REF!</definedName>
    <definedName name="CAPITAL">#REF!</definedName>
    <definedName name="CARPCOLRATE" localSheetId="4">#REF!</definedName>
    <definedName name="CARPCOLRATE" localSheetId="3">#REF!</definedName>
    <definedName name="CARPCOLRATE" localSheetId="5">#REF!</definedName>
    <definedName name="CARPCOLRATE">#REF!</definedName>
    <definedName name="CARPDBEAMSRATE" localSheetId="4">#REF!</definedName>
    <definedName name="CARPDBEAMSRATE" localSheetId="3">#REF!</definedName>
    <definedName name="CARPDBEAMSRATE" localSheetId="5">#REF!</definedName>
    <definedName name="CARPDBEAMSRATE">#REF!</definedName>
    <definedName name="CARPETING" localSheetId="2">#REF!</definedName>
    <definedName name="CARPETING" localSheetId="1">#REF!</definedName>
    <definedName name="CARPETING" localSheetId="0">#REF!</definedName>
    <definedName name="CARPETING" localSheetId="4">#REF!</definedName>
    <definedName name="CARPETING" localSheetId="3">#REF!</definedName>
    <definedName name="CARPETING" localSheetId="5">#REF!</definedName>
    <definedName name="CARPETING">#REF!</definedName>
    <definedName name="CARPFOOTRATE" localSheetId="4">#REF!</definedName>
    <definedName name="CARPFOOTRATE" localSheetId="3">#REF!</definedName>
    <definedName name="CARPFOOTRATE" localSheetId="5">#REF!</definedName>
    <definedName name="CARPFOOTRATE">#REF!</definedName>
    <definedName name="CARPLEADER" localSheetId="4">#REF!</definedName>
    <definedName name="CARPLEADER" localSheetId="3">#REF!</definedName>
    <definedName name="CARPLEADER" localSheetId="5">#REF!</definedName>
    <definedName name="CARPLEADER">#REF!</definedName>
    <definedName name="CARPPRCOL" localSheetId="4">#REF!</definedName>
    <definedName name="CARPPRCOL" localSheetId="3">#REF!</definedName>
    <definedName name="CARPPRCOL" localSheetId="5">#REF!</definedName>
    <definedName name="CARPPRCOL">#REF!</definedName>
    <definedName name="CARPPRDBEAMS" localSheetId="4">#REF!</definedName>
    <definedName name="CARPPRDBEAMS" localSheetId="3">#REF!</definedName>
    <definedName name="CARPPRDBEAMS" localSheetId="5">#REF!</definedName>
    <definedName name="CARPPRDBEAMS">#REF!</definedName>
    <definedName name="CARPPRFOOT" localSheetId="4">#REF!</definedName>
    <definedName name="CARPPRFOOT" localSheetId="3">#REF!</definedName>
    <definedName name="CARPPRFOOT" localSheetId="5">#REF!</definedName>
    <definedName name="CARPPRFOOT">#REF!</definedName>
    <definedName name="CARPPRRW1" localSheetId="4">#REF!</definedName>
    <definedName name="CARPPRRW1" localSheetId="3">#REF!</definedName>
    <definedName name="CARPPRRW1" localSheetId="5">#REF!</definedName>
    <definedName name="CARPPRRW1">#REF!</definedName>
    <definedName name="CARPPRRW2" localSheetId="4">#REF!</definedName>
    <definedName name="CARPPRRW2" localSheetId="3">#REF!</definedName>
    <definedName name="CARPPRRW2" localSheetId="5">#REF!</definedName>
    <definedName name="CARPPRRW2">#REF!</definedName>
    <definedName name="CARPPRSLABS" localSheetId="4">#REF!</definedName>
    <definedName name="CARPPRSLABS" localSheetId="3">#REF!</definedName>
    <definedName name="CARPPRSLABS" localSheetId="5">#REF!</definedName>
    <definedName name="CARPPRSLABS">#REF!</definedName>
    <definedName name="CARPPRSTAIRS" localSheetId="4">#REF!</definedName>
    <definedName name="CARPPRSTAIRS" localSheetId="3">#REF!</definedName>
    <definedName name="CARPPRSTAIRS" localSheetId="5">#REF!</definedName>
    <definedName name="CARPPRSTAIRS">#REF!</definedName>
    <definedName name="CARPPRTB" localSheetId="4">#REF!</definedName>
    <definedName name="CARPPRTB" localSheetId="3">#REF!</definedName>
    <definedName name="CARPPRTB" localSheetId="5">#REF!</definedName>
    <definedName name="CARPPRTB">#REF!</definedName>
    <definedName name="CARPPRUPSTAND" localSheetId="4">#REF!</definedName>
    <definedName name="CARPPRUPSTAND" localSheetId="3">#REF!</definedName>
    <definedName name="CARPPRUPSTAND" localSheetId="5">#REF!</definedName>
    <definedName name="CARPPRUPSTAND">#REF!</definedName>
    <definedName name="CARPPRWALL" localSheetId="4">#REF!</definedName>
    <definedName name="CARPPRWALL" localSheetId="3">#REF!</definedName>
    <definedName name="CARPPRWALL" localSheetId="5">#REF!</definedName>
    <definedName name="CARPPRWALL">#REF!</definedName>
    <definedName name="carprfoot" localSheetId="4">#REF!</definedName>
    <definedName name="carprfoot" localSheetId="3">#REF!</definedName>
    <definedName name="carprfoot" localSheetId="5">#REF!</definedName>
    <definedName name="carprfoot">#REF!</definedName>
    <definedName name="CARPRW1RATE" localSheetId="4">#REF!</definedName>
    <definedName name="CARPRW1RATE" localSheetId="3">#REF!</definedName>
    <definedName name="CARPRW1RATE" localSheetId="5">#REF!</definedName>
    <definedName name="CARPRW1RATE">#REF!</definedName>
    <definedName name="CARPRW2RATE" localSheetId="4">#REF!</definedName>
    <definedName name="CARPRW2RATE" localSheetId="3">#REF!</definedName>
    <definedName name="CARPRW2RATE" localSheetId="5">#REF!</definedName>
    <definedName name="CARPRW2RATE">#REF!</definedName>
    <definedName name="CARPSGRATE" localSheetId="4">#REF!</definedName>
    <definedName name="CARPSGRATE" localSheetId="3">#REF!</definedName>
    <definedName name="CARPSGRATE" localSheetId="5">#REF!</definedName>
    <definedName name="CARPSGRATE">#REF!</definedName>
    <definedName name="CARPSGRPR" localSheetId="4">#REF!</definedName>
    <definedName name="CARPSGRPR" localSheetId="3">#REF!</definedName>
    <definedName name="CARPSGRPR" localSheetId="5">#REF!</definedName>
    <definedName name="CARPSGRPR">#REF!</definedName>
    <definedName name="CARPSLABRATE" localSheetId="4">#REF!</definedName>
    <definedName name="CARPSLABRATE" localSheetId="3">#REF!</definedName>
    <definedName name="CARPSLABRATE" localSheetId="5">#REF!</definedName>
    <definedName name="CARPSLABRATE">#REF!</definedName>
    <definedName name="CARPSTAIRRATE" localSheetId="4">#REF!</definedName>
    <definedName name="CARPSTAIRRATE" localSheetId="3">#REF!</definedName>
    <definedName name="CARPSTAIRRATE" localSheetId="5">#REF!</definedName>
    <definedName name="CARPSTAIRRATE">#REF!</definedName>
    <definedName name="CARPTBRATE" localSheetId="4">#REF!</definedName>
    <definedName name="CARPTBRATE" localSheetId="3">#REF!</definedName>
    <definedName name="CARPTBRATE" localSheetId="5">#REF!</definedName>
    <definedName name="CARPTBRATE">#REF!</definedName>
    <definedName name="CARPUPSTANDRATE" localSheetId="4">#REF!</definedName>
    <definedName name="CARPUPSTANDRATE" localSheetId="3">#REF!</definedName>
    <definedName name="CARPUPSTANDRATE" localSheetId="5">#REF!</definedName>
    <definedName name="CARPUPSTANDRATE">#REF!</definedName>
    <definedName name="CARPWALLRATE" localSheetId="4">#REF!</definedName>
    <definedName name="CARPWALLRATE" localSheetId="3">#REF!</definedName>
    <definedName name="CARPWALLRATE" localSheetId="5">#REF!</definedName>
    <definedName name="CARPWALLRATE">#REF!</definedName>
    <definedName name="cashfl" localSheetId="2" hidden="1">{#N/A,#N/A,TRUE,"Cover";#N/A,#N/A,TRUE,"Conts";#N/A,#N/A,TRUE,"VOS";#N/A,#N/A,TRUE,"Warrington";#N/A,#N/A,TRUE,"Widnes"}</definedName>
    <definedName name="cashfl" localSheetId="1" hidden="1">{#N/A,#N/A,TRUE,"Cover";#N/A,#N/A,TRUE,"Conts";#N/A,#N/A,TRUE,"VOS";#N/A,#N/A,TRUE,"Warrington";#N/A,#N/A,TRUE,"Widnes"}</definedName>
    <definedName name="cashfl" localSheetId="0" hidden="1">{#N/A,#N/A,TRUE,"Cover";#N/A,#N/A,TRUE,"Conts";#N/A,#N/A,TRUE,"VOS";#N/A,#N/A,TRUE,"Warrington";#N/A,#N/A,TRUE,"Widnes"}</definedName>
    <definedName name="cashfl" localSheetId="4" hidden="1">{#N/A,#N/A,TRUE,"Cover";#N/A,#N/A,TRUE,"Conts";#N/A,#N/A,TRUE,"VOS";#N/A,#N/A,TRUE,"Warrington";#N/A,#N/A,TRUE,"Widnes"}</definedName>
    <definedName name="cashfl" localSheetId="3" hidden="1">{#N/A,#N/A,TRUE,"Cover";#N/A,#N/A,TRUE,"Conts";#N/A,#N/A,TRUE,"VOS";#N/A,#N/A,TRUE,"Warrington";#N/A,#N/A,TRUE,"Widnes"}</definedName>
    <definedName name="cashfl" localSheetId="5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ow" localSheetId="2">#REF!</definedName>
    <definedName name="CashFlow" localSheetId="1">#REF!</definedName>
    <definedName name="CashFlow" localSheetId="0">#REF!</definedName>
    <definedName name="CashFlow" localSheetId="4">#REF!</definedName>
    <definedName name="CashFlow" localSheetId="3">#REF!</definedName>
    <definedName name="CashFlow" localSheetId="5">#REF!</definedName>
    <definedName name="CashFlow">#REF!</definedName>
    <definedName name="CashFlowData" localSheetId="2">#REF!</definedName>
    <definedName name="CashFlowData" localSheetId="1">#REF!</definedName>
    <definedName name="CashFlowData" localSheetId="0">#REF!</definedName>
    <definedName name="CashFlowData" localSheetId="4">#REF!</definedName>
    <definedName name="CashFlowData" localSheetId="3">#REF!</definedName>
    <definedName name="CashFlowData" localSheetId="5">#REF!</definedName>
    <definedName name="CashFlowData">#REF!</definedName>
    <definedName name="CashFlowHeadings" localSheetId="2">#REF!</definedName>
    <definedName name="CashFlowHeadings" localSheetId="1">#REF!</definedName>
    <definedName name="CashFlowHeadings" localSheetId="0">#REF!</definedName>
    <definedName name="CashFlowHeadings" localSheetId="4">#REF!</definedName>
    <definedName name="CashFlowHeadings" localSheetId="3">#REF!</definedName>
    <definedName name="CashFlowHeadings" localSheetId="5">#REF!</definedName>
    <definedName name="CashFlowHeadings">#REF!</definedName>
    <definedName name="Cast_Alum" localSheetId="2" hidden="1">{"'Break down'!$A$4"}</definedName>
    <definedName name="Cast_Alum" localSheetId="1" hidden="1">{"'Break down'!$A$4"}</definedName>
    <definedName name="Cast_Alum" localSheetId="0" hidden="1">{"'Break down'!$A$4"}</definedName>
    <definedName name="Cast_Alum" localSheetId="4" hidden="1">{"'Break down'!$A$4"}</definedName>
    <definedName name="Cast_Alum" localSheetId="3" hidden="1">{"'Break down'!$A$4"}</definedName>
    <definedName name="Cast_Alum" localSheetId="5" hidden="1">{"'Break down'!$A$4"}</definedName>
    <definedName name="Cast_Alum" hidden="1">{"'Break down'!$A$4"}</definedName>
    <definedName name="CatEyes" localSheetId="0">#REF!</definedName>
    <definedName name="CatEyes" localSheetId="4">#REF!</definedName>
    <definedName name="CatEyes" localSheetId="3">#REF!</definedName>
    <definedName name="CatEyes" localSheetId="5">#REF!</definedName>
    <definedName name="CatEyes">#REF!</definedName>
    <definedName name="CAVFDNS" localSheetId="4">#REF!</definedName>
    <definedName name="CAVFDNS" localSheetId="3">#REF!</definedName>
    <definedName name="CAVFDNS" localSheetId="5">#REF!</definedName>
    <definedName name="CAVFDNS">#REF!</definedName>
    <definedName name="caway" localSheetId="4">#REF!</definedName>
    <definedName name="caway" localSheetId="3">#REF!</definedName>
    <definedName name="caway" localSheetId="5">#REF!</definedName>
    <definedName name="caway">#REF!</definedName>
    <definedName name="cc" localSheetId="2">#REF!</definedName>
    <definedName name="cc" localSheetId="1">#REF!</definedName>
    <definedName name="CC" localSheetId="0">#REF!</definedName>
    <definedName name="CC" localSheetId="4">#REF!</definedName>
    <definedName name="CC" localSheetId="3">#REF!</definedName>
    <definedName name="CC" localSheetId="5">#REF!</definedName>
    <definedName name="CC">#REF!</definedName>
    <definedName name="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" localSheetId="2">#REF!</definedName>
    <definedName name="cccc" localSheetId="1">#REF!</definedName>
    <definedName name="cccc" localSheetId="0">#REF!</definedName>
    <definedName name="cccc" localSheetId="4">#REF!</definedName>
    <definedName name="cccc" localSheetId="3">#REF!</definedName>
    <definedName name="cccc" localSheetId="5">#REF!</definedName>
    <definedName name="cccc">#REF!</definedName>
    <definedName name="cccc1" localSheetId="2" hidden="1">{#N/A,#N/A,FALSE,"估價單  (3)"}</definedName>
    <definedName name="cccc1" localSheetId="1" hidden="1">{#N/A,#N/A,FALSE,"估價單  (3)"}</definedName>
    <definedName name="cccc1" localSheetId="0" hidden="1">{#N/A,#N/A,FALSE,"估價單  (3)"}</definedName>
    <definedName name="cccc1" localSheetId="4" hidden="1">{#N/A,#N/A,FALSE,"估價單  (3)"}</definedName>
    <definedName name="cccc1" localSheetId="3" hidden="1">{#N/A,#N/A,FALSE,"估價單  (3)"}</definedName>
    <definedName name="cccc1" localSheetId="5" hidden="1">{#N/A,#N/A,FALSE,"估價單  (3)"}</definedName>
    <definedName name="cccc1" hidden="1">{#N/A,#N/A,FALSE,"估價單  (3)"}</definedName>
    <definedName name="CCCCCCCCC" localSheetId="4">#REF!</definedName>
    <definedName name="CCCCCCCCC" localSheetId="3">#REF!</definedName>
    <definedName name="CCCCCCCCC" localSheetId="5">#REF!</definedName>
    <definedName name="CCCCCCCCC">#REF!</definedName>
    <definedName name="cccczdfbhzafdhn" localSheetId="2">#REF!</definedName>
    <definedName name="cccczdfbhzafdhn" localSheetId="1">#REF!</definedName>
    <definedName name="cccczdfbhzafdhn" localSheetId="0">#REF!</definedName>
    <definedName name="cccczdfbhzafdhn" localSheetId="4">#REF!</definedName>
    <definedName name="cccczdfbhzafdhn" localSheetId="3">#REF!</definedName>
    <definedName name="cccczdfbhzafdhn" localSheetId="5">#REF!</definedName>
    <definedName name="cccczdfbhzafdhn">#REF!</definedName>
    <definedName name="CCR" localSheetId="2" hidden="1">{#N/A,#N/A,TRUE,"Cover";#N/A,#N/A,TRUE,"Conts";#N/A,#N/A,TRUE,"VOS";#N/A,#N/A,TRUE,"Warrington";#N/A,#N/A,TRUE,"Widnes"}</definedName>
    <definedName name="CCR" localSheetId="1" hidden="1">{#N/A,#N/A,TRUE,"Cover";#N/A,#N/A,TRUE,"Conts";#N/A,#N/A,TRUE,"VOS";#N/A,#N/A,TRUE,"Warrington";#N/A,#N/A,TRUE,"Widnes"}</definedName>
    <definedName name="CCR" localSheetId="0" hidden="1">{#N/A,#N/A,TRUE,"Cover";#N/A,#N/A,TRUE,"Conts";#N/A,#N/A,TRUE,"VOS";#N/A,#N/A,TRUE,"Warrington";#N/A,#N/A,TRUE,"Widnes"}</definedName>
    <definedName name="CCR" localSheetId="4" hidden="1">{#N/A,#N/A,TRUE,"Cover";#N/A,#N/A,TRUE,"Conts";#N/A,#N/A,TRUE,"VOS";#N/A,#N/A,TRUE,"Warrington";#N/A,#N/A,TRUE,"Widnes"}</definedName>
    <definedName name="CCR" localSheetId="3" hidden="1">{#N/A,#N/A,TRUE,"Cover";#N/A,#N/A,TRUE,"Conts";#N/A,#N/A,TRUE,"VOS";#N/A,#N/A,TRUE,"Warrington";#N/A,#N/A,TRUE,"Widnes"}</definedName>
    <definedName name="CCR" localSheetId="5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TV" localSheetId="5">#REF!</definedName>
    <definedName name="CCTV">#REF!</definedName>
    <definedName name="CD" localSheetId="4" hidden="1">#REF!</definedName>
    <definedName name="CD" localSheetId="3" hidden="1">#REF!</definedName>
    <definedName name="CD" localSheetId="5" hidden="1">#REF!</definedName>
    <definedName name="CD" hidden="1">#REF!</definedName>
    <definedName name="CEMS_SYS" localSheetId="2">#REF!</definedName>
    <definedName name="CEMS_SYS" localSheetId="1">#REF!</definedName>
    <definedName name="CEMS_SYS" localSheetId="0">#REF!</definedName>
    <definedName name="CEMS_SYS" localSheetId="4">#REF!</definedName>
    <definedName name="CEMS_SYS" localSheetId="3">#REF!</definedName>
    <definedName name="CEMS_SYS" localSheetId="5">#REF!</definedName>
    <definedName name="CEMS_SYS">#REF!</definedName>
    <definedName name="CertAmt" localSheetId="2">#REF!</definedName>
    <definedName name="CertAmt" localSheetId="1">#REF!</definedName>
    <definedName name="CertAmt" localSheetId="0">#REF!</definedName>
    <definedName name="CertAmt" localSheetId="4">#REF!</definedName>
    <definedName name="CertAmt" localSheetId="3">#REF!</definedName>
    <definedName name="CertAmt" localSheetId="5">#REF!</definedName>
    <definedName name="CertAmt">#REF!</definedName>
    <definedName name="cf" localSheetId="2">#REF!</definedName>
    <definedName name="cf" localSheetId="1">#REF!</definedName>
    <definedName name="cf" localSheetId="0">#REF!</definedName>
    <definedName name="cf" localSheetId="4">#REF!</definedName>
    <definedName name="cf" localSheetId="3">#REF!</definedName>
    <definedName name="cf" localSheetId="5">#REF!</definedName>
    <definedName name="cf">#REF!</definedName>
    <definedName name="CFDate" localSheetId="2">#REF!</definedName>
    <definedName name="CFDate" localSheetId="1">#REF!</definedName>
    <definedName name="CFDate" localSheetId="0">#REF!</definedName>
    <definedName name="CFDate" localSheetId="4">#REF!</definedName>
    <definedName name="CFDate" localSheetId="3">#REF!</definedName>
    <definedName name="CFDate" localSheetId="5">#REF!</definedName>
    <definedName name="CFDate">#REF!</definedName>
    <definedName name="CFEnd" localSheetId="2">#REF!</definedName>
    <definedName name="CFEnd" localSheetId="1">#REF!</definedName>
    <definedName name="CFEnd" localSheetId="0">#REF!</definedName>
    <definedName name="CFEnd" localSheetId="4">#REF!</definedName>
    <definedName name="CFEnd" localSheetId="3">#REF!</definedName>
    <definedName name="CFEnd" localSheetId="5">#REF!</definedName>
    <definedName name="CFEnd">#REF!</definedName>
    <definedName name="CFStart" localSheetId="2">#REF!</definedName>
    <definedName name="CFStart" localSheetId="1">#REF!</definedName>
    <definedName name="CFStart" localSheetId="0">#REF!</definedName>
    <definedName name="CFStart" localSheetId="4">#REF!</definedName>
    <definedName name="CFStart" localSheetId="3">#REF!</definedName>
    <definedName name="CFStart" localSheetId="5">#REF!</definedName>
    <definedName name="CFStart">#REF!</definedName>
    <definedName name="chair_00" localSheetId="2">#REF!</definedName>
    <definedName name="chair_00" localSheetId="1">#REF!</definedName>
    <definedName name="chair_00" localSheetId="0">#REF!</definedName>
    <definedName name="chair_00" localSheetId="4">#REF!</definedName>
    <definedName name="chair_00" localSheetId="3">#REF!</definedName>
    <definedName name="chair_00" localSheetId="5">#REF!</definedName>
    <definedName name="chair_00">#REF!</definedName>
    <definedName name="Chair_01" localSheetId="2">#REF!</definedName>
    <definedName name="Chair_01" localSheetId="1">#REF!</definedName>
    <definedName name="Chair_01" localSheetId="0">#REF!</definedName>
    <definedName name="Chair_01" localSheetId="4">#REF!</definedName>
    <definedName name="Chair_01" localSheetId="3">#REF!</definedName>
    <definedName name="Chair_01" localSheetId="5">#REF!</definedName>
    <definedName name="Chair_01">#REF!</definedName>
    <definedName name="Chair_02" localSheetId="2">#REF!</definedName>
    <definedName name="Chair_02" localSheetId="1">#REF!</definedName>
    <definedName name="Chair_02" localSheetId="0">#REF!</definedName>
    <definedName name="Chair_02" localSheetId="4">#REF!</definedName>
    <definedName name="Chair_02" localSheetId="3">#REF!</definedName>
    <definedName name="Chair_02" localSheetId="5">#REF!</definedName>
    <definedName name="Chair_02">#REF!</definedName>
    <definedName name="Chair_03" localSheetId="2">#REF!</definedName>
    <definedName name="Chair_03" localSheetId="1">#REF!</definedName>
    <definedName name="Chair_03" localSheetId="0">#REF!</definedName>
    <definedName name="Chair_03" localSheetId="4">#REF!</definedName>
    <definedName name="Chair_03" localSheetId="3">#REF!</definedName>
    <definedName name="Chair_03" localSheetId="5">#REF!</definedName>
    <definedName name="Chair_03">#REF!</definedName>
    <definedName name="Chair_04" localSheetId="2">#REF!</definedName>
    <definedName name="Chair_04" localSheetId="1">#REF!</definedName>
    <definedName name="Chair_04" localSheetId="0">#REF!</definedName>
    <definedName name="Chair_04" localSheetId="4">#REF!</definedName>
    <definedName name="Chair_04" localSheetId="3">#REF!</definedName>
    <definedName name="Chair_04" localSheetId="5">#REF!</definedName>
    <definedName name="Chair_04">#REF!</definedName>
    <definedName name="CHAMFERATE" localSheetId="4">#REF!</definedName>
    <definedName name="CHAMFERATE" localSheetId="3">#REF!</definedName>
    <definedName name="CHAMFERATE" localSheetId="5">#REF!</definedName>
    <definedName name="CHAMFERATE">#REF!</definedName>
    <definedName name="CHAMFERPR" localSheetId="4">#REF!</definedName>
    <definedName name="CHAMFERPR" localSheetId="3">#REF!</definedName>
    <definedName name="CHAMFERPR" localSheetId="5">#REF!</definedName>
    <definedName name="CHAMFERPR">#REF!</definedName>
    <definedName name="CHAMFERS" localSheetId="4">#REF!</definedName>
    <definedName name="CHAMFERS" localSheetId="3">#REF!</definedName>
    <definedName name="CHAMFERS" localSheetId="5">#REF!</definedName>
    <definedName name="CHAMFERS">#REF!</definedName>
    <definedName name="Change_Status" localSheetId="4">#REF!</definedName>
    <definedName name="Change_Status" localSheetId="3">#REF!</definedName>
    <definedName name="Change_Status" localSheetId="5">#REF!</definedName>
    <definedName name="Change_Status">#REF!</definedName>
    <definedName name="check" localSheetId="2">#REF!</definedName>
    <definedName name="check" localSheetId="1">#REF!</definedName>
    <definedName name="check" localSheetId="0">#REF!</definedName>
    <definedName name="check" localSheetId="4">#REF!</definedName>
    <definedName name="check" localSheetId="3">#REF!</definedName>
    <definedName name="check" localSheetId="5">#REF!</definedName>
    <definedName name="check">#REF!</definedName>
    <definedName name="CHECKEDBY_ELBK" localSheetId="2">#REF!</definedName>
    <definedName name="CHECKEDBY_ELBK" localSheetId="1">#REF!</definedName>
    <definedName name="CHECKEDBY_ELBK" localSheetId="0">#REF!</definedName>
    <definedName name="CHECKEDBY_ELBK" localSheetId="4">#REF!</definedName>
    <definedName name="CHECKEDBY_ELBK" localSheetId="3">#REF!</definedName>
    <definedName name="CHECKEDBY_ELBK" localSheetId="5">#REF!</definedName>
    <definedName name="CHECKEDBY_ELBK">#REF!</definedName>
    <definedName name="CHECKEDBY_ELEQ" localSheetId="2">#REF!</definedName>
    <definedName name="CHECKEDBY_ELEQ" localSheetId="1">#REF!</definedName>
    <definedName name="CHECKEDBY_ELEQ" localSheetId="0">#REF!</definedName>
    <definedName name="CHECKEDBY_ELEQ" localSheetId="4">#REF!</definedName>
    <definedName name="CHECKEDBY_ELEQ" localSheetId="3">#REF!</definedName>
    <definedName name="CHECKEDBY_ELEQ" localSheetId="5">#REF!</definedName>
    <definedName name="CHECKEDBY_ELEQ">#REF!</definedName>
    <definedName name="CHECKEDBY_INSTR" localSheetId="2">#REF!</definedName>
    <definedName name="CHECKEDBY_INSTR" localSheetId="1">#REF!</definedName>
    <definedName name="CHECKEDBY_INSTR" localSheetId="0">#REF!</definedName>
    <definedName name="CHECKEDBY_INSTR" localSheetId="4">#REF!</definedName>
    <definedName name="CHECKEDBY_INSTR" localSheetId="3">#REF!</definedName>
    <definedName name="CHECKEDBY_INSTR" localSheetId="5">#REF!</definedName>
    <definedName name="CHECKEDBY_INSTR">#REF!</definedName>
    <definedName name="Chemical_treatment_Expanion_tank" localSheetId="4">#REF!</definedName>
    <definedName name="Chemical_treatment_Expanion_tank" localSheetId="3">#REF!</definedName>
    <definedName name="Chemical_treatment_Expanion_tank" localSheetId="5">#REF!</definedName>
    <definedName name="Chemical_treatment_Expanion_tank">#REF!</definedName>
    <definedName name="Chilled_water_pum" localSheetId="4">#REF!</definedName>
    <definedName name="Chilled_water_pum" localSheetId="3">#REF!</definedName>
    <definedName name="Chilled_water_pum" localSheetId="5">#REF!</definedName>
    <definedName name="Chilled_water_pum">#REF!</definedName>
    <definedName name="CHOICE" localSheetId="4">#REF!</definedName>
    <definedName name="CHOICE" localSheetId="3">#REF!</definedName>
    <definedName name="CHOICE" localSheetId="5">#REF!</definedName>
    <definedName name="CHOICE">#REF!</definedName>
    <definedName name="Ciao" localSheetId="4">#REF!</definedName>
    <definedName name="Ciao" localSheetId="3">#REF!</definedName>
    <definedName name="Ciao" localSheetId="5">#REF!</definedName>
    <definedName name="Ciao">#REF!</definedName>
    <definedName name="CIP" localSheetId="2">#REF!</definedName>
    <definedName name="CIP" localSheetId="1">#REF!</definedName>
    <definedName name="CIP" localSheetId="0">#REF!</definedName>
    <definedName name="CIP" localSheetId="4">#REF!</definedName>
    <definedName name="CIP" localSheetId="3">#REF!</definedName>
    <definedName name="CIP" localSheetId="5">#REF!</definedName>
    <definedName name="CIP">#REF!</definedName>
    <definedName name="CIRCUITS" localSheetId="2">#REF!</definedName>
    <definedName name="CIRCUITS" localSheetId="1">#REF!</definedName>
    <definedName name="CIRCUITS" localSheetId="0">#REF!</definedName>
    <definedName name="CIRCUITS" localSheetId="4">#REF!</definedName>
    <definedName name="CIRCUITS" localSheetId="3">#REF!</definedName>
    <definedName name="CIRCUITS" localSheetId="5">#REF!</definedName>
    <definedName name="CIRCUITS">#REF!</definedName>
    <definedName name="City" localSheetId="2">#REF!</definedName>
    <definedName name="City" localSheetId="1">#REF!</definedName>
    <definedName name="City" localSheetId="0">#REF!</definedName>
    <definedName name="City" localSheetId="4">#REF!</definedName>
    <definedName name="City" localSheetId="3">#REF!</definedName>
    <definedName name="City" localSheetId="5">#REF!</definedName>
    <definedName name="City">#REF!</definedName>
    <definedName name="Civ_Det_Des" localSheetId="2">IF(VLOOKUP(#REF!,PRICE_CIVIL,1,FALSE)=0,0,VLOOKUP(#REF!,PRICE_CIVIL,2,FALSE))</definedName>
    <definedName name="Civ_Det_Des" localSheetId="1">IF(VLOOKUP(#REF!,PRICE_CIVIL,1,FALSE)=0,0,VLOOKUP(#REF!,PRICE_CIVIL,2,FALSE))</definedName>
    <definedName name="Civ_Det_Des" localSheetId="0">IF(VLOOKUP(#REF!,PRICE_CIVIL,1,FALSE)=0,0,VLOOKUP(#REF!,PRICE_CIVIL,2,FALSE))</definedName>
    <definedName name="Civ_Det_Des" localSheetId="4">IF(VLOOKUP(#REF!,PRICE_CIVIL,1,FALSE)=0,0,VLOOKUP(#REF!,PRICE_CIVIL,2,FALSE))</definedName>
    <definedName name="Civ_Det_Des" localSheetId="3">IF(VLOOKUP(#REF!,PRICE_CIVIL,1,FALSE)=0,0,VLOOKUP(#REF!,PRICE_CIVIL,2,FALSE))</definedName>
    <definedName name="Civ_Det_Des" localSheetId="5">IF(VLOOKUP(#REF!,PRICE_CIVIL,1,FALSE)=0,0,VLOOKUP(#REF!,PRICE_CIVIL,2,FALSE))</definedName>
    <definedName name="Civ_Det_Des">IF(VLOOKUP(#REF!,PRICE_CIVIL,1,FALSE)=0,0,VLOOKUP(#REF!,PRICE_CIVIL,2,FALSE))</definedName>
    <definedName name="Civ_Det_Des1" localSheetId="2">IF(VLOOKUP(#REF!,PRICE_CIVIL,1,FALSE)=0,0,VLOOKUP(#REF!,PRICE_CIVIL,2,FALSE))</definedName>
    <definedName name="Civ_Det_Des1" localSheetId="1">IF(VLOOKUP(#REF!,PRICE_CIVIL,1,FALSE)=0,0,VLOOKUP(#REF!,PRICE_CIVIL,2,FALSE))</definedName>
    <definedName name="Civ_Det_Des1" localSheetId="0">IF(VLOOKUP(#REF!,PRICE_CIVIL,1,FALSE)=0,0,VLOOKUP(#REF!,PRICE_CIVIL,2,FALSE))</definedName>
    <definedName name="Civ_Det_Des1" localSheetId="4">IF(VLOOKUP(#REF!,PRICE_CIVIL,1,FALSE)=0,0,VLOOKUP(#REF!,PRICE_CIVIL,2,FALSE))</definedName>
    <definedName name="Civ_Det_Des1" localSheetId="3">IF(VLOOKUP(#REF!,PRICE_CIVIL,1,FALSE)=0,0,VLOOKUP(#REF!,PRICE_CIVIL,2,FALSE))</definedName>
    <definedName name="Civ_Det_Des1" localSheetId="5">IF(VLOOKUP(#REF!,PRICE_CIVIL,1,FALSE)=0,0,VLOOKUP(#REF!,PRICE_CIVIL,2,FALSE))</definedName>
    <definedName name="Civ_Det_Des1">IF(VLOOKUP(#REF!,PRICE_CIVIL,1,FALSE)=0,0,VLOOKUP(#REF!,PRICE_CIVIL,2,FALSE))</definedName>
    <definedName name="CIVIL_OLD_CITY" localSheetId="2">#REF!</definedName>
    <definedName name="CIVIL_OLD_CITY" localSheetId="1">#REF!</definedName>
    <definedName name="CIVIL_OLD_CITY" localSheetId="0">#REF!</definedName>
    <definedName name="CIVIL_OLD_CITY" localSheetId="4">#REF!</definedName>
    <definedName name="CIVIL_OLD_CITY" localSheetId="3">#REF!</definedName>
    <definedName name="CIVIL_OLD_CITY" localSheetId="5">#REF!</definedName>
    <definedName name="CIVIL_OLD_CITY">#REF!</definedName>
    <definedName name="CIVIL_OLD_ESC" localSheetId="2">#REF!</definedName>
    <definedName name="CIVIL_OLD_ESC" localSheetId="1">#REF!</definedName>
    <definedName name="CIVIL_OLD_ESC" localSheetId="0">#REF!</definedName>
    <definedName name="CIVIL_OLD_ESC" localSheetId="4">#REF!</definedName>
    <definedName name="CIVIL_OLD_ESC" localSheetId="3">#REF!</definedName>
    <definedName name="CIVIL_OLD_ESC" localSheetId="5">#REF!</definedName>
    <definedName name="CIVIL_OLD_ESC">#REF!</definedName>
    <definedName name="CIVIL_OLD_WAGE" localSheetId="2">#REF!</definedName>
    <definedName name="CIVIL_OLD_WAGE" localSheetId="1">#REF!</definedName>
    <definedName name="CIVIL_OLD_WAGE" localSheetId="0">#REF!</definedName>
    <definedName name="CIVIL_OLD_WAGE" localSheetId="4">#REF!</definedName>
    <definedName name="CIVIL_OLD_WAGE" localSheetId="3">#REF!</definedName>
    <definedName name="CIVIL_OLD_WAGE" localSheetId="5">#REF!</definedName>
    <definedName name="CIVIL_OLD_WAGE">#REF!</definedName>
    <definedName name="CIVIL10_CITY" localSheetId="2">#REF!</definedName>
    <definedName name="CIVIL10_CITY" localSheetId="1">#REF!</definedName>
    <definedName name="CIVIL10_CITY" localSheetId="0">#REF!</definedName>
    <definedName name="CIVIL10_CITY" localSheetId="4">#REF!</definedName>
    <definedName name="CIVIL10_CITY" localSheetId="3">#REF!</definedName>
    <definedName name="CIVIL10_CITY" localSheetId="5">#REF!</definedName>
    <definedName name="CIVIL10_CITY">#REF!</definedName>
    <definedName name="CIVIL10_ESC" localSheetId="2">#REF!</definedName>
    <definedName name="CIVIL10_ESC" localSheetId="1">#REF!</definedName>
    <definedName name="CIVIL10_ESC" localSheetId="0">#REF!</definedName>
    <definedName name="CIVIL10_ESC" localSheetId="4">#REF!</definedName>
    <definedName name="CIVIL10_ESC" localSheetId="3">#REF!</definedName>
    <definedName name="CIVIL10_ESC" localSheetId="5">#REF!</definedName>
    <definedName name="CIVIL10_ESC">#REF!</definedName>
    <definedName name="CIVIL10_OLD_PROD" localSheetId="2">#REF!</definedName>
    <definedName name="CIVIL10_OLD_PROD" localSheetId="1">#REF!</definedName>
    <definedName name="CIVIL10_OLD_PROD" localSheetId="0">#REF!</definedName>
    <definedName name="CIVIL10_OLD_PROD" localSheetId="4">#REF!</definedName>
    <definedName name="CIVIL10_OLD_PROD" localSheetId="3">#REF!</definedName>
    <definedName name="CIVIL10_OLD_PROD" localSheetId="5">#REF!</definedName>
    <definedName name="CIVIL10_OLD_PROD">#REF!</definedName>
    <definedName name="CIVIL10_PROD" localSheetId="2">#REF!</definedName>
    <definedName name="CIVIL10_PROD" localSheetId="1">#REF!</definedName>
    <definedName name="CIVIL10_PROD" localSheetId="0">#REF!</definedName>
    <definedName name="CIVIL10_PROD" localSheetId="4">#REF!</definedName>
    <definedName name="CIVIL10_PROD" localSheetId="3">#REF!</definedName>
    <definedName name="CIVIL10_PROD" localSheetId="5">#REF!</definedName>
    <definedName name="CIVIL10_PROD">#REF!</definedName>
    <definedName name="CIVIL10_WAGE" localSheetId="2">#REF!</definedName>
    <definedName name="CIVIL10_WAGE" localSheetId="1">#REF!</definedName>
    <definedName name="CIVIL10_WAGE" localSheetId="0">#REF!</definedName>
    <definedName name="CIVIL10_WAGE" localSheetId="4">#REF!</definedName>
    <definedName name="CIVIL10_WAGE" localSheetId="3">#REF!</definedName>
    <definedName name="CIVIL10_WAGE" localSheetId="5">#REF!</definedName>
    <definedName name="CIVIL10_WAGE">#REF!</definedName>
    <definedName name="CKT_QTY" localSheetId="2">#REF!</definedName>
    <definedName name="CKT_QTY" localSheetId="1">#REF!</definedName>
    <definedName name="CKT_QTY" localSheetId="0">#REF!</definedName>
    <definedName name="CKT_QTY" localSheetId="4">#REF!</definedName>
    <definedName name="CKT_QTY" localSheetId="3">#REF!</definedName>
    <definedName name="CKT_QTY" localSheetId="5">#REF!</definedName>
    <definedName name="CKT_QTY">#REF!</definedName>
    <definedName name="CKTS" localSheetId="2">#REF!</definedName>
    <definedName name="CKTS" localSheetId="1">#REF!</definedName>
    <definedName name="CKTS" localSheetId="0">#REF!</definedName>
    <definedName name="CKTS" localSheetId="4">#REF!</definedName>
    <definedName name="CKTS" localSheetId="3">#REF!</definedName>
    <definedName name="CKTS" localSheetId="5">#REF!</definedName>
    <definedName name="CKTS">#REF!</definedName>
    <definedName name="CKTS_SWYD" localSheetId="2">#REF!</definedName>
    <definedName name="CKTS_SWYD" localSheetId="1">#REF!</definedName>
    <definedName name="CKTS_SWYD" localSheetId="0">#REF!</definedName>
    <definedName name="CKTS_SWYD" localSheetId="4">#REF!</definedName>
    <definedName name="CKTS_SWYD" localSheetId="3">#REF!</definedName>
    <definedName name="CKTS_SWYD" localSheetId="5">#REF!</definedName>
    <definedName name="CKTS_SWYD">#REF!</definedName>
    <definedName name="Clawback_Payable" localSheetId="2">#REF!</definedName>
    <definedName name="Clawback_Payable" localSheetId="1">#REF!</definedName>
    <definedName name="Clawback_Payable" localSheetId="0">#REF!</definedName>
    <definedName name="Clawback_Payable" localSheetId="4">#REF!</definedName>
    <definedName name="Clawback_Payable" localSheetId="3">#REF!</definedName>
    <definedName name="Clawback_Payable" localSheetId="5">#REF!</definedName>
    <definedName name="Clawback_Payable">#REF!</definedName>
    <definedName name="CLEAR" localSheetId="2">#REF!</definedName>
    <definedName name="CLEAR" localSheetId="1">#REF!</definedName>
    <definedName name="CLEAR" localSheetId="0">#REF!</definedName>
    <definedName name="CLEAR" localSheetId="4">#REF!</definedName>
    <definedName name="CLEAR" localSheetId="3">#REF!</definedName>
    <definedName name="CLEAR" localSheetId="5">#REF!</definedName>
    <definedName name="CLEAR">#REF!</definedName>
    <definedName name="Client1" localSheetId="4">#REF!</definedName>
    <definedName name="Client1" localSheetId="3">#REF!</definedName>
    <definedName name="Client1" localSheetId="5">#REF!</definedName>
    <definedName name="Client1">#REF!</definedName>
    <definedName name="CNTL_VALVE" localSheetId="2">#REF!</definedName>
    <definedName name="CNTL_VALVE" localSheetId="1">#REF!</definedName>
    <definedName name="CNTL_VALVE" localSheetId="0">#REF!</definedName>
    <definedName name="CNTL_VALVE" localSheetId="4">#REF!</definedName>
    <definedName name="CNTL_VALVE" localSheetId="3">#REF!</definedName>
    <definedName name="CNTL_VALVE" localSheetId="5">#REF!</definedName>
    <definedName name="CNTL_VALVE">#REF!</definedName>
    <definedName name="CNTL_VALVE_PRICE" localSheetId="2">#REF!</definedName>
    <definedName name="CNTL_VALVE_PRICE" localSheetId="1">#REF!</definedName>
    <definedName name="CNTL_VALVE_PRICE" localSheetId="0">#REF!</definedName>
    <definedName name="CNTL_VALVE_PRICE" localSheetId="4">#REF!</definedName>
    <definedName name="CNTL_VALVE_PRICE" localSheetId="3">#REF!</definedName>
    <definedName name="CNTL_VALVE_PRICE" localSheetId="5">#REF!</definedName>
    <definedName name="CNTL_VALVE_PRICE">#REF!</definedName>
    <definedName name="CODE" localSheetId="2">#REF!</definedName>
    <definedName name="CODE" localSheetId="1">#REF!</definedName>
    <definedName name="CODE" localSheetId="0">#REF!</definedName>
    <definedName name="CODE" localSheetId="4">#REF!</definedName>
    <definedName name="CODE" localSheetId="3">#REF!</definedName>
    <definedName name="CODE" localSheetId="5">#REF!</definedName>
    <definedName name="CODE">#REF!</definedName>
    <definedName name="CODE_AFGIS" localSheetId="2">#REF!</definedName>
    <definedName name="CODE_AFGIS" localSheetId="1">#REF!</definedName>
    <definedName name="CODE_AFGIS" localSheetId="0">#REF!</definedName>
    <definedName name="CODE_AFGIS" localSheetId="4">#REF!</definedName>
    <definedName name="CODE_AFGIS" localSheetId="3">#REF!</definedName>
    <definedName name="CODE_AFGIS" localSheetId="5">#REF!</definedName>
    <definedName name="CODE_AFGIS">#REF!</definedName>
    <definedName name="CODE_B" localSheetId="2">#REF!</definedName>
    <definedName name="CODE_B" localSheetId="1">#REF!</definedName>
    <definedName name="CODE_B" localSheetId="0">#REF!</definedName>
    <definedName name="CODE_B" localSheetId="4">#REF!</definedName>
    <definedName name="CODE_B" localSheetId="3">#REF!</definedName>
    <definedName name="CODE_B" localSheetId="5">#REF!</definedName>
    <definedName name="CODE_B">#REF!</definedName>
    <definedName name="CODE_E" localSheetId="2">#REF!</definedName>
    <definedName name="CODE_E" localSheetId="1">#REF!</definedName>
    <definedName name="CODE_E" localSheetId="0">#REF!</definedName>
    <definedName name="CODE_E" localSheetId="4">#REF!</definedName>
    <definedName name="CODE_E" localSheetId="3">#REF!</definedName>
    <definedName name="CODE_E" localSheetId="5">#REF!</definedName>
    <definedName name="CODE_E">#REF!</definedName>
    <definedName name="CODE_F" localSheetId="2">#REF!</definedName>
    <definedName name="CODE_F" localSheetId="1">#REF!</definedName>
    <definedName name="CODE_F" localSheetId="0">#REF!</definedName>
    <definedName name="CODE_F" localSheetId="4">#REF!</definedName>
    <definedName name="CODE_F" localSheetId="3">#REF!</definedName>
    <definedName name="CODE_F" localSheetId="5">#REF!</definedName>
    <definedName name="CODE_F">#REF!</definedName>
    <definedName name="CODE_MPA" localSheetId="2">#REF!</definedName>
    <definedName name="CODE_MPA" localSheetId="1">#REF!</definedName>
    <definedName name="CODE_MPA" localSheetId="0">#REF!</definedName>
    <definedName name="CODE_MPA" localSheetId="4">#REF!</definedName>
    <definedName name="CODE_MPA" localSheetId="3">#REF!</definedName>
    <definedName name="CODE_MPA" localSheetId="5">#REF!</definedName>
    <definedName name="CODE_MPA">#REF!</definedName>
    <definedName name="CODE_P" localSheetId="2">#REF!</definedName>
    <definedName name="CODE_P" localSheetId="1">#REF!</definedName>
    <definedName name="CODE_P" localSheetId="0">#REF!</definedName>
    <definedName name="CODE_P" localSheetId="4">#REF!</definedName>
    <definedName name="CODE_P" localSheetId="3">#REF!</definedName>
    <definedName name="CODE_P" localSheetId="5">#REF!</definedName>
    <definedName name="CODE_P">#REF!</definedName>
    <definedName name="code_q" localSheetId="2">#REF!</definedName>
    <definedName name="code_q" localSheetId="1">#REF!</definedName>
    <definedName name="code_q" localSheetId="0">#REF!</definedName>
    <definedName name="code_q" localSheetId="4">#REF!</definedName>
    <definedName name="code_q" localSheetId="3">#REF!</definedName>
    <definedName name="code_q" localSheetId="5">#REF!</definedName>
    <definedName name="code_q">#REF!</definedName>
    <definedName name="CODE_S" localSheetId="2">#REF!</definedName>
    <definedName name="CODE_S" localSheetId="1">#REF!</definedName>
    <definedName name="CODE_S" localSheetId="0">#REF!</definedName>
    <definedName name="CODE_S" localSheetId="4">#REF!</definedName>
    <definedName name="CODE_S" localSheetId="3">#REF!</definedName>
    <definedName name="CODE_S" localSheetId="5">#REF!</definedName>
    <definedName name="CODE_S">#REF!</definedName>
    <definedName name="COFFEE" localSheetId="2">#REF!</definedName>
    <definedName name="COFFEE" localSheetId="1">#REF!</definedName>
    <definedName name="COFFEE" localSheetId="0">#REF!</definedName>
    <definedName name="COFFEE" localSheetId="4">#REF!</definedName>
    <definedName name="COFFEE" localSheetId="3">#REF!</definedName>
    <definedName name="COFFEE" localSheetId="5">#REF!</definedName>
    <definedName name="COFFEE">#REF!</definedName>
    <definedName name="Col_Sched" localSheetId="2">#REF!</definedName>
    <definedName name="Col_Sched" localSheetId="1">#REF!</definedName>
    <definedName name="Col_Sched" localSheetId="0">#REF!</definedName>
    <definedName name="Col_Sched" localSheetId="4">#REF!</definedName>
    <definedName name="Col_Sched" localSheetId="3">#REF!</definedName>
    <definedName name="Col_Sched" localSheetId="5">#REF!</definedName>
    <definedName name="Col_Sched">#REF!</definedName>
    <definedName name="Columns" localSheetId="0">#REF!</definedName>
    <definedName name="Columns" localSheetId="4">#REF!</definedName>
    <definedName name="Columns" localSheetId="3">#REF!</definedName>
    <definedName name="Columns" localSheetId="5">#REF!</definedName>
    <definedName name="Columns">#REF!</definedName>
    <definedName name="Columns1" localSheetId="0">#REF!</definedName>
    <definedName name="Columns1" localSheetId="4">#REF!</definedName>
    <definedName name="Columns1" localSheetId="3">#REF!</definedName>
    <definedName name="Columns1" localSheetId="5">#REF!</definedName>
    <definedName name="Columns1">#REF!</definedName>
    <definedName name="COM" localSheetId="2">#REF!</definedName>
    <definedName name="COM" localSheetId="1">#REF!</definedName>
    <definedName name="COM" localSheetId="0">#REF!</definedName>
    <definedName name="COM" localSheetId="4">#REF!</definedName>
    <definedName name="COM" localSheetId="3">#REF!</definedName>
    <definedName name="COM" localSheetId="5">#REF!</definedName>
    <definedName name="COM">#REF!</definedName>
    <definedName name="COMM_UOM" localSheetId="4">#REF!,#REF!,#REF!,#REF!,#REF!,#REF!,#REF!</definedName>
    <definedName name="COMM_UOM" localSheetId="3">#REF!,#REF!,#REF!,#REF!,#REF!,#REF!,#REF!</definedName>
    <definedName name="COMM_UOM" localSheetId="5">#REF!,#REF!,#REF!,#REF!,#REF!,#REF!,#REF!</definedName>
    <definedName name="COMM_UOM">#REF!,#REF!,#REF!,#REF!,#REF!,#REF!,#REF!</definedName>
    <definedName name="COMMCODE" localSheetId="4">#REF!,#REF!,#REF!,#REF!,#REF!,#REF!,#REF!</definedName>
    <definedName name="COMMCODE" localSheetId="3">#REF!,#REF!,#REF!,#REF!,#REF!,#REF!,#REF!</definedName>
    <definedName name="COMMCODE" localSheetId="5">#REF!,#REF!,#REF!,#REF!,#REF!,#REF!,#REF!</definedName>
    <definedName name="COMMCODE">#REF!,#REF!,#REF!,#REF!,#REF!,#REF!,#REF!</definedName>
    <definedName name="Communication_FTTH__UTT_ONU" localSheetId="4">#REF!</definedName>
    <definedName name="Communication_FTTH__UTT_ONU" localSheetId="3">#REF!</definedName>
    <definedName name="Communication_FTTH__UTT_ONU" localSheetId="5">#REF!</definedName>
    <definedName name="Communication_FTTH__UTT_ONU">#REF!</definedName>
    <definedName name="Communication_FTTH_UTT_ODF_FDB" localSheetId="4">#REF!</definedName>
    <definedName name="Communication_FTTH_UTT_ODF_FDB" localSheetId="3">#REF!</definedName>
    <definedName name="Communication_FTTH_UTT_ODF_FDB" localSheetId="5">#REF!</definedName>
    <definedName name="Communication_FTTH_UTT_ODF_FDB">#REF!</definedName>
    <definedName name="companies" localSheetId="4">#REF!</definedName>
    <definedName name="companies" localSheetId="3">#REF!</definedName>
    <definedName name="companies" localSheetId="5">#REF!</definedName>
    <definedName name="companies">#REF!</definedName>
    <definedName name="Company" localSheetId="2">#REF!</definedName>
    <definedName name="Company" localSheetId="1">#REF!</definedName>
    <definedName name="Company" localSheetId="0">#REF!</definedName>
    <definedName name="Company" localSheetId="4">#REF!</definedName>
    <definedName name="Company" localSheetId="3">#REF!</definedName>
    <definedName name="Company" localSheetId="5">#REF!</definedName>
    <definedName name="Company">#REF!</definedName>
    <definedName name="COMPARISON" localSheetId="2">#REF!</definedName>
    <definedName name="COMPARISON" localSheetId="1">#REF!</definedName>
    <definedName name="COMPARISON" localSheetId="0">#REF!</definedName>
    <definedName name="COMPARISON" localSheetId="4">#REF!</definedName>
    <definedName name="COMPARISON" localSheetId="3">#REF!</definedName>
    <definedName name="COMPARISON" localSheetId="5">#REF!</definedName>
    <definedName name="COMPARISON">#REF!</definedName>
    <definedName name="Computer_01" localSheetId="2">#REF!</definedName>
    <definedName name="Computer_01" localSheetId="1">#REF!</definedName>
    <definedName name="Computer_01" localSheetId="0">#REF!</definedName>
    <definedName name="Computer_01" localSheetId="4">#REF!</definedName>
    <definedName name="Computer_01" localSheetId="3">#REF!</definedName>
    <definedName name="Computer_01" localSheetId="5">#REF!</definedName>
    <definedName name="Computer_01">#REF!</definedName>
    <definedName name="Computer_02" localSheetId="2">#REF!</definedName>
    <definedName name="Computer_02" localSheetId="1">#REF!</definedName>
    <definedName name="Computer_02" localSheetId="0">#REF!</definedName>
    <definedName name="Computer_02" localSheetId="4">#REF!</definedName>
    <definedName name="Computer_02" localSheetId="3">#REF!</definedName>
    <definedName name="Computer_02" localSheetId="5">#REF!</definedName>
    <definedName name="Computer_02">#REF!</definedName>
    <definedName name="Computer_03" localSheetId="2">#REF!</definedName>
    <definedName name="Computer_03" localSheetId="1">#REF!</definedName>
    <definedName name="Computer_03" localSheetId="0">#REF!</definedName>
    <definedName name="Computer_03" localSheetId="4">#REF!</definedName>
    <definedName name="Computer_03" localSheetId="3">#REF!</definedName>
    <definedName name="Computer_03" localSheetId="5">#REF!</definedName>
    <definedName name="Computer_03">#REF!</definedName>
    <definedName name="Conc_1" localSheetId="2">#REF!</definedName>
    <definedName name="Conc_1" localSheetId="1">#REF!</definedName>
    <definedName name="Conc_1" localSheetId="0">#REF!</definedName>
    <definedName name="Conc_1" localSheetId="4">#REF!</definedName>
    <definedName name="Conc_1" localSheetId="3">#REF!</definedName>
    <definedName name="Conc_1" localSheetId="5">#REF!</definedName>
    <definedName name="Conc_1">#REF!</definedName>
    <definedName name="Conc_10" localSheetId="2">#REF!</definedName>
    <definedName name="Conc_10" localSheetId="1">#REF!</definedName>
    <definedName name="Conc_10" localSheetId="0">#REF!</definedName>
    <definedName name="Conc_10" localSheetId="4">#REF!</definedName>
    <definedName name="Conc_10" localSheetId="3">#REF!</definedName>
    <definedName name="Conc_10" localSheetId="5">#REF!</definedName>
    <definedName name="Conc_10">#REF!</definedName>
    <definedName name="Conc_100" localSheetId="2">#REF!</definedName>
    <definedName name="Conc_100" localSheetId="1">#REF!</definedName>
    <definedName name="Conc_100" localSheetId="0">#REF!</definedName>
    <definedName name="Conc_100" localSheetId="4">#REF!</definedName>
    <definedName name="Conc_100" localSheetId="3">#REF!</definedName>
    <definedName name="Conc_100" localSheetId="5">#REF!</definedName>
    <definedName name="Conc_100">#REF!</definedName>
    <definedName name="Conc_20" localSheetId="2">#REF!</definedName>
    <definedName name="Conc_20" localSheetId="1">#REF!</definedName>
    <definedName name="Conc_20" localSheetId="0">#REF!</definedName>
    <definedName name="Conc_20" localSheetId="4">#REF!</definedName>
    <definedName name="Conc_20" localSheetId="3">#REF!</definedName>
    <definedName name="Conc_20" localSheetId="5">#REF!</definedName>
    <definedName name="Conc_20">#REF!</definedName>
    <definedName name="Conc_24" localSheetId="2">#REF!</definedName>
    <definedName name="Conc_24" localSheetId="1">#REF!</definedName>
    <definedName name="Conc_24" localSheetId="0">#REF!</definedName>
    <definedName name="Conc_24" localSheetId="4">#REF!</definedName>
    <definedName name="Conc_24" localSheetId="3">#REF!</definedName>
    <definedName name="Conc_24" localSheetId="5">#REF!</definedName>
    <definedName name="Conc_24">#REF!</definedName>
    <definedName name="Conc_30" localSheetId="2">#REF!</definedName>
    <definedName name="Conc_30" localSheetId="1">#REF!</definedName>
    <definedName name="Conc_30" localSheetId="0">#REF!</definedName>
    <definedName name="Conc_30" localSheetId="4">#REF!</definedName>
    <definedName name="Conc_30" localSheetId="3">#REF!</definedName>
    <definedName name="Conc_30" localSheetId="5">#REF!</definedName>
    <definedName name="Conc_30">#REF!</definedName>
    <definedName name="Conc_40" localSheetId="2">#REF!</definedName>
    <definedName name="Conc_40" localSheetId="1">#REF!</definedName>
    <definedName name="Conc_40" localSheetId="0">#REF!</definedName>
    <definedName name="Conc_40" localSheetId="4">#REF!</definedName>
    <definedName name="Conc_40" localSheetId="3">#REF!</definedName>
    <definedName name="Conc_40" localSheetId="5">#REF!</definedName>
    <definedName name="Conc_40">#REF!</definedName>
    <definedName name="Conc_50" localSheetId="2">#REF!</definedName>
    <definedName name="Conc_50" localSheetId="1">#REF!</definedName>
    <definedName name="Conc_50" localSheetId="0">#REF!</definedName>
    <definedName name="Conc_50" localSheetId="4">#REF!</definedName>
    <definedName name="Conc_50" localSheetId="3">#REF!</definedName>
    <definedName name="Conc_50" localSheetId="5">#REF!</definedName>
    <definedName name="Conc_50">#REF!</definedName>
    <definedName name="Conc_60" localSheetId="2">#REF!</definedName>
    <definedName name="Conc_60" localSheetId="1">#REF!</definedName>
    <definedName name="Conc_60" localSheetId="0">#REF!</definedName>
    <definedName name="Conc_60" localSheetId="4">#REF!</definedName>
    <definedName name="Conc_60" localSheetId="3">#REF!</definedName>
    <definedName name="Conc_60" localSheetId="5">#REF!</definedName>
    <definedName name="Conc_60">#REF!</definedName>
    <definedName name="Conc_70" localSheetId="2">#REF!</definedName>
    <definedName name="Conc_70" localSheetId="1">#REF!</definedName>
    <definedName name="Conc_70" localSheetId="0">#REF!</definedName>
    <definedName name="Conc_70" localSheetId="4">#REF!</definedName>
    <definedName name="Conc_70" localSheetId="3">#REF!</definedName>
    <definedName name="Conc_70" localSheetId="5">#REF!</definedName>
    <definedName name="Conc_70">#REF!</definedName>
    <definedName name="Conc_80" localSheetId="2">#REF!</definedName>
    <definedName name="Conc_80" localSheetId="1">#REF!</definedName>
    <definedName name="Conc_80" localSheetId="0">#REF!</definedName>
    <definedName name="Conc_80" localSheetId="4">#REF!</definedName>
    <definedName name="Conc_80" localSheetId="3">#REF!</definedName>
    <definedName name="Conc_80" localSheetId="5">#REF!</definedName>
    <definedName name="Conc_80">#REF!</definedName>
    <definedName name="Conc_90" localSheetId="2">#REF!</definedName>
    <definedName name="Conc_90" localSheetId="1">#REF!</definedName>
    <definedName name="Conc_90" localSheetId="0">#REF!</definedName>
    <definedName name="Conc_90" localSheetId="4">#REF!</definedName>
    <definedName name="Conc_90" localSheetId="3">#REF!</definedName>
    <definedName name="Conc_90" localSheetId="5">#REF!</definedName>
    <definedName name="Conc_90">#REF!</definedName>
    <definedName name="CONCC10RATE" localSheetId="4">#REF!</definedName>
    <definedName name="CONCC10RATE" localSheetId="3">#REF!</definedName>
    <definedName name="CONCC10RATE" localSheetId="5">#REF!</definedName>
    <definedName name="CONCC10RATE">#REF!</definedName>
    <definedName name="CONCC20T5RATE" localSheetId="4">#REF!</definedName>
    <definedName name="CONCC20T5RATE" localSheetId="3">#REF!</definedName>
    <definedName name="CONCC20T5RATE" localSheetId="5">#REF!</definedName>
    <definedName name="CONCC20T5RATE">#REF!</definedName>
    <definedName name="CONCC25RATE" localSheetId="4">#REF!</definedName>
    <definedName name="CONCC25RATE" localSheetId="3">#REF!</definedName>
    <definedName name="CONCC25RATE" localSheetId="5">#REF!</definedName>
    <definedName name="CONCC25RATE">#REF!</definedName>
    <definedName name="CONCC25T5RATE" localSheetId="4">#REF!</definedName>
    <definedName name="CONCC25T5RATE" localSheetId="3">#REF!</definedName>
    <definedName name="CONCC25T5RATE" localSheetId="5">#REF!</definedName>
    <definedName name="CONCC25T5RATE">#REF!</definedName>
    <definedName name="CONCC8RATE" localSheetId="4">#REF!</definedName>
    <definedName name="CONCC8RATE" localSheetId="3">#REF!</definedName>
    <definedName name="CONCC8RATE" localSheetId="5">#REF!</definedName>
    <definedName name="CONCC8RATE">#REF!</definedName>
    <definedName name="CONCRETEC10" localSheetId="4">#REF!</definedName>
    <definedName name="CONCRETEC10" localSheetId="3">#REF!</definedName>
    <definedName name="CONCRETEC10" localSheetId="5">#REF!</definedName>
    <definedName name="CONCRETEC10">#REF!</definedName>
    <definedName name="CONCRETEC20T5" localSheetId="4">#REF!</definedName>
    <definedName name="CONCRETEC20T5" localSheetId="3">#REF!</definedName>
    <definedName name="CONCRETEC20T5" localSheetId="5">#REF!</definedName>
    <definedName name="CONCRETEC20T5">#REF!</definedName>
    <definedName name="CONCRETEC25" localSheetId="4">#REF!</definedName>
    <definedName name="CONCRETEC25" localSheetId="3">#REF!</definedName>
    <definedName name="CONCRETEC25" localSheetId="5">#REF!</definedName>
    <definedName name="CONCRETEC25">#REF!</definedName>
    <definedName name="CONCRETEC25T5" localSheetId="4">#REF!</definedName>
    <definedName name="CONCRETEC25T5" localSheetId="3">#REF!</definedName>
    <definedName name="CONCRETEC25T5" localSheetId="5">#REF!</definedName>
    <definedName name="CONCRETEC25T5">#REF!</definedName>
    <definedName name="CONCRETEC8" localSheetId="4">#REF!</definedName>
    <definedName name="CONCRETEC8" localSheetId="3">#REF!</definedName>
    <definedName name="CONCRETEC8" localSheetId="5">#REF!</definedName>
    <definedName name="CONCRETEC8">#REF!</definedName>
    <definedName name="CONCWASTE" localSheetId="4">#REF!</definedName>
    <definedName name="CONCWASTE" localSheetId="3">#REF!</definedName>
    <definedName name="CONCWASTE" localSheetId="5">#REF!</definedName>
    <definedName name="CONCWASTE">#REF!</definedName>
    <definedName name="CONCWST" localSheetId="4">#REF!</definedName>
    <definedName name="CONCWST" localSheetId="3">#REF!</definedName>
    <definedName name="CONCWST" localSheetId="5">#REF!</definedName>
    <definedName name="CONCWST">#REF!</definedName>
    <definedName name="COND_PRICING" localSheetId="2">#REF!</definedName>
    <definedName name="COND_PRICING" localSheetId="1">#REF!</definedName>
    <definedName name="COND_PRICING" localSheetId="0">#REF!</definedName>
    <definedName name="COND_PRICING" localSheetId="4">#REF!</definedName>
    <definedName name="COND_PRICING" localSheetId="3">#REF!</definedName>
    <definedName name="COND_PRICING" localSheetId="5">#REF!</definedName>
    <definedName name="COND_PRICING">#REF!</definedName>
    <definedName name="condition">#N/A</definedName>
    <definedName name="CONDUIT" localSheetId="2">#REF!</definedName>
    <definedName name="CONDUIT" localSheetId="1">#REF!</definedName>
    <definedName name="CONDUIT" localSheetId="0">#REF!</definedName>
    <definedName name="CONDUIT" localSheetId="4">#REF!</definedName>
    <definedName name="CONDUIT" localSheetId="3">#REF!</definedName>
    <definedName name="CONDUIT" localSheetId="5">#REF!</definedName>
    <definedName name="CONDUIT">#REF!</definedName>
    <definedName name="CONS" localSheetId="0">#REF!</definedName>
    <definedName name="CONS" localSheetId="4">#REF!</definedName>
    <definedName name="CONS" localSheetId="3">#REF!</definedName>
    <definedName name="CONS" localSheetId="5">#REF!</definedName>
    <definedName name="CONS">#REF!</definedName>
    <definedName name="Cons_Hrs" localSheetId="2">#REF!</definedName>
    <definedName name="Cons_Hrs" localSheetId="1">#REF!</definedName>
    <definedName name="Cons_Hrs" localSheetId="0">#REF!</definedName>
    <definedName name="Cons_Hrs" localSheetId="4">#REF!</definedName>
    <definedName name="Cons_Hrs" localSheetId="3">#REF!</definedName>
    <definedName name="Cons_Hrs" localSheetId="5">#REF!</definedName>
    <definedName name="Cons_Hrs">#REF!</definedName>
    <definedName name="Cons_Rev" localSheetId="2">#REF!</definedName>
    <definedName name="Cons_Rev" localSheetId="1">#REF!</definedName>
    <definedName name="Cons_Rev" localSheetId="0">#REF!</definedName>
    <definedName name="Cons_Rev" localSheetId="4">#REF!</definedName>
    <definedName name="Cons_Rev" localSheetId="3">#REF!</definedName>
    <definedName name="Cons_Rev" localSheetId="5">#REF!</definedName>
    <definedName name="Cons_Rev">#REF!</definedName>
    <definedName name="CONST_BASIS" localSheetId="2">#REF!</definedName>
    <definedName name="CONST_BASIS" localSheetId="1">#REF!</definedName>
    <definedName name="CONST_BASIS" localSheetId="0">#REF!</definedName>
    <definedName name="CONST_BASIS" localSheetId="4">#REF!</definedName>
    <definedName name="CONST_BASIS" localSheetId="3">#REF!</definedName>
    <definedName name="CONST_BASIS" localSheetId="5">#REF!</definedName>
    <definedName name="CONST_BASIS">#REF!</definedName>
    <definedName name="Const_period" localSheetId="2">#REF!</definedName>
    <definedName name="Const_period" localSheetId="1">#REF!</definedName>
    <definedName name="Const_period" localSheetId="0">#REF!</definedName>
    <definedName name="Const_period" localSheetId="4">#REF!</definedName>
    <definedName name="Const_period" localSheetId="3">#REF!</definedName>
    <definedName name="Const_period" localSheetId="5">#REF!</definedName>
    <definedName name="Const_period">#REF!</definedName>
    <definedName name="Construction_period_weeks" localSheetId="4">#REF!</definedName>
    <definedName name="Construction_period_weeks" localSheetId="3">#REF!</definedName>
    <definedName name="Construction_period_weeks" localSheetId="5">#REF!</definedName>
    <definedName name="Construction_period_weeks">#REF!</definedName>
    <definedName name="Cont" localSheetId="4">#REF!</definedName>
    <definedName name="Cont" localSheetId="3">#REF!</definedName>
    <definedName name="Cont" localSheetId="5">#REF!</definedName>
    <definedName name="Cont">#REF!</definedName>
    <definedName name="CONTINGENCY" localSheetId="4">#REF!</definedName>
    <definedName name="CONTINGENCY" localSheetId="3">#REF!</definedName>
    <definedName name="CONTINGENCY" localSheetId="5">#REF!</definedName>
    <definedName name="CONTINGENCY">#REF!</definedName>
    <definedName name="Contract" localSheetId="4">#REF!</definedName>
    <definedName name="Contract" localSheetId="3">#REF!</definedName>
    <definedName name="Contract" localSheetId="5">#REF!</definedName>
    <definedName name="Contract">#REF!</definedName>
    <definedName name="contracts" localSheetId="4">#REF!</definedName>
    <definedName name="contracts" localSheetId="3">#REF!</definedName>
    <definedName name="contracts" localSheetId="5">#REF!</definedName>
    <definedName name="contracts">#REF!</definedName>
    <definedName name="Contribution_OP" localSheetId="4">#REF!</definedName>
    <definedName name="Contribution_OP" localSheetId="3">#REF!</definedName>
    <definedName name="Contribution_OP" localSheetId="5">#REF!</definedName>
    <definedName name="Contribution_OP">#REF!</definedName>
    <definedName name="Control_system" localSheetId="4">#REF!</definedName>
    <definedName name="Control_system" localSheetId="3">#REF!</definedName>
    <definedName name="Control_system" localSheetId="5">#REF!</definedName>
    <definedName name="Control_system">#REF!</definedName>
    <definedName name="Conv" localSheetId="2">#REF!</definedName>
    <definedName name="Conv" localSheetId="1">#REF!</definedName>
    <definedName name="Conv" localSheetId="0">#REF!</definedName>
    <definedName name="Conv" localSheetId="4">#REF!</definedName>
    <definedName name="Conv" localSheetId="3">#REF!</definedName>
    <definedName name="Conv" localSheetId="5">#REF!</definedName>
    <definedName name="Conv">#REF!</definedName>
    <definedName name="ConventionGIA" localSheetId="2">#REF!</definedName>
    <definedName name="ConventionGIA" localSheetId="1">#REF!</definedName>
    <definedName name="ConventionGIA" localSheetId="0">#REF!</definedName>
    <definedName name="ConventionGIA" localSheetId="4">#REF!</definedName>
    <definedName name="ConventionGIA" localSheetId="3">#REF!</definedName>
    <definedName name="ConventionGIA" localSheetId="5">#REF!</definedName>
    <definedName name="ConventionGIA">#REF!</definedName>
    <definedName name="COPP" localSheetId="2">#REF!</definedName>
    <definedName name="COPP" localSheetId="1">#REF!</definedName>
    <definedName name="COPP" localSheetId="0">#REF!</definedName>
    <definedName name="COPP" localSheetId="4">#REF!</definedName>
    <definedName name="COPP" localSheetId="3">#REF!</definedName>
    <definedName name="COPP" localSheetId="5">#REF!</definedName>
    <definedName name="COPP">#REF!</definedName>
    <definedName name="COPPER_PRICE" localSheetId="2">#REF!</definedName>
    <definedName name="COPPER_PRICE" localSheetId="1">#REF!</definedName>
    <definedName name="COPPER_PRICE" localSheetId="0">#REF!</definedName>
    <definedName name="COPPER_PRICE" localSheetId="4">#REF!</definedName>
    <definedName name="COPPER_PRICE" localSheetId="3">#REF!</definedName>
    <definedName name="COPPER_PRICE" localSheetId="5">#REF!</definedName>
    <definedName name="COPPER_PRICE">#REF!</definedName>
    <definedName name="copy_this" localSheetId="2">#REF!</definedName>
    <definedName name="copy_this" localSheetId="1">#REF!</definedName>
    <definedName name="copy_this" localSheetId="0">#REF!</definedName>
    <definedName name="copy_this" localSheetId="4">#REF!</definedName>
    <definedName name="copy_this" localSheetId="3">#REF!</definedName>
    <definedName name="copy_this" localSheetId="5">#REF!</definedName>
    <definedName name="copy_this">#REF!</definedName>
    <definedName name="COPYRIGHT" localSheetId="4">#REF!</definedName>
    <definedName name="COPYRIGHT" localSheetId="3">#REF!</definedName>
    <definedName name="COPYRIGHT" localSheetId="5">#REF!</definedName>
    <definedName name="COPYRIGHT">#REF!</definedName>
    <definedName name="CORDailyAdjustment" localSheetId="4">#REF!</definedName>
    <definedName name="CORDailyAdjustment" localSheetId="3">#REF!</definedName>
    <definedName name="CORDailyAdjustment" localSheetId="5">#REF!</definedName>
    <definedName name="CORDailyAdjustment">#REF!</definedName>
    <definedName name="CORHourlyAdjustment" localSheetId="4">#REF!</definedName>
    <definedName name="CORHourlyAdjustment" localSheetId="3">#REF!</definedName>
    <definedName name="CORHourlyAdjustment" localSheetId="5">#REF!</definedName>
    <definedName name="CORHourlyAdjustment">#REF!</definedName>
    <definedName name="CORRESPONDENCE_LOG" localSheetId="2">#REF!</definedName>
    <definedName name="CORRESPONDENCE_LOG" localSheetId="1">#REF!</definedName>
    <definedName name="CORRESPONDENCE_LOG" localSheetId="0">#REF!</definedName>
    <definedName name="CORRESPONDENCE_LOG" localSheetId="4">#REF!</definedName>
    <definedName name="CORRESPONDENCE_LOG" localSheetId="3">#REF!</definedName>
    <definedName name="CORRESPONDENCE_LOG" localSheetId="5">#REF!</definedName>
    <definedName name="CORRESPONDENCE_LOG">#REF!</definedName>
    <definedName name="CORRoundID" localSheetId="0">#REF!</definedName>
    <definedName name="CORRoundID" localSheetId="4">#REF!</definedName>
    <definedName name="CORRoundID" localSheetId="3">#REF!</definedName>
    <definedName name="CORRoundID" localSheetId="5">#REF!</definedName>
    <definedName name="CORRoundID">#REF!</definedName>
    <definedName name="CORWeeklyAdjustment" localSheetId="4">#REF!</definedName>
    <definedName name="CORWeeklyAdjustment" localSheetId="3">#REF!</definedName>
    <definedName name="CORWeeklyAdjustment" localSheetId="5">#REF!</definedName>
    <definedName name="CORWeeklyAdjustment">#REF!</definedName>
    <definedName name="CORYear01" localSheetId="4">#REF!</definedName>
    <definedName name="CORYear01" localSheetId="3">#REF!</definedName>
    <definedName name="CORYear01" localSheetId="5">#REF!</definedName>
    <definedName name="CORYear01">#REF!</definedName>
    <definedName name="CORYear02" localSheetId="4">#REF!</definedName>
    <definedName name="CORYear02" localSheetId="3">#REF!</definedName>
    <definedName name="CORYear02" localSheetId="5">#REF!</definedName>
    <definedName name="CORYear02">#REF!</definedName>
    <definedName name="CORYear03" localSheetId="4">#REF!</definedName>
    <definedName name="CORYear03" localSheetId="3">#REF!</definedName>
    <definedName name="CORYear03" localSheetId="5">#REF!</definedName>
    <definedName name="CORYear03">#REF!</definedName>
    <definedName name="CORYear04" localSheetId="4">#REF!</definedName>
    <definedName name="CORYear04" localSheetId="3">#REF!</definedName>
    <definedName name="CORYear04" localSheetId="5">#REF!</definedName>
    <definedName name="CORYear04">#REF!</definedName>
    <definedName name="CORYear05" localSheetId="4">#REF!</definedName>
    <definedName name="CORYear05" localSheetId="3">#REF!</definedName>
    <definedName name="CORYear05" localSheetId="5">#REF!</definedName>
    <definedName name="CORYear05">#REF!</definedName>
    <definedName name="CORYear06" localSheetId="4">#REF!</definedName>
    <definedName name="CORYear06" localSheetId="3">#REF!</definedName>
    <definedName name="CORYear06" localSheetId="5">#REF!</definedName>
    <definedName name="CORYear06">#REF!</definedName>
    <definedName name="CORYear07" localSheetId="4">#REF!</definedName>
    <definedName name="CORYear07" localSheetId="3">#REF!</definedName>
    <definedName name="CORYear07" localSheetId="5">#REF!</definedName>
    <definedName name="CORYear07">#REF!</definedName>
    <definedName name="CORYear08" localSheetId="4">#REF!</definedName>
    <definedName name="CORYear08" localSheetId="3">#REF!</definedName>
    <definedName name="CORYear08" localSheetId="5">#REF!</definedName>
    <definedName name="CORYear08">#REF!</definedName>
    <definedName name="CORYear09" localSheetId="4">#REF!</definedName>
    <definedName name="CORYear09" localSheetId="3">#REF!</definedName>
    <definedName name="CORYear09" localSheetId="5">#REF!</definedName>
    <definedName name="CORYear09">#REF!</definedName>
    <definedName name="CORYear10" localSheetId="4">#REF!</definedName>
    <definedName name="CORYear10" localSheetId="3">#REF!</definedName>
    <definedName name="CORYear10" localSheetId="5">#REF!</definedName>
    <definedName name="CORYear10">#REF!</definedName>
    <definedName name="COS" localSheetId="4">#REF!</definedName>
    <definedName name="COS" localSheetId="3">#REF!</definedName>
    <definedName name="COS" localSheetId="5">#REF!</definedName>
    <definedName name="COS">#REF!</definedName>
    <definedName name="Cost" localSheetId="4">#REF!</definedName>
    <definedName name="Cost" localSheetId="3">#REF!</definedName>
    <definedName name="Cost" localSheetId="5">#REF!</definedName>
    <definedName name="Cost">#REF!</definedName>
    <definedName name="COST_C" localSheetId="4">#REF!</definedName>
    <definedName name="COST_C" localSheetId="3">#REF!</definedName>
    <definedName name="COST_C" localSheetId="5">#REF!</definedName>
    <definedName name="COST_C">#REF!</definedName>
    <definedName name="Cost_Differential" localSheetId="4">#REF!</definedName>
    <definedName name="Cost_Differential" localSheetId="3">#REF!</definedName>
    <definedName name="Cost_Differential" localSheetId="5">#REF!</definedName>
    <definedName name="Cost_Differential">#REF!</definedName>
    <definedName name="COSTCOMP10" localSheetId="2">#REF!</definedName>
    <definedName name="COSTCOMP10" localSheetId="1">#REF!</definedName>
    <definedName name="COSTCOMP10" localSheetId="0">#REF!</definedName>
    <definedName name="COSTCOMP10" localSheetId="4">#REF!</definedName>
    <definedName name="COSTCOMP10" localSheetId="3">#REF!</definedName>
    <definedName name="COSTCOMP10" localSheetId="5">#REF!</definedName>
    <definedName name="COSTCOMP10">#REF!</definedName>
    <definedName name="COSTCOMP11" localSheetId="2">#REF!</definedName>
    <definedName name="COSTCOMP11" localSheetId="1">#REF!</definedName>
    <definedName name="COSTCOMP11" localSheetId="0">#REF!</definedName>
    <definedName name="COSTCOMP11" localSheetId="4">#REF!</definedName>
    <definedName name="COSTCOMP11" localSheetId="3">#REF!</definedName>
    <definedName name="COSTCOMP11" localSheetId="5">#REF!</definedName>
    <definedName name="COSTCOMP11">#REF!</definedName>
    <definedName name="COSTS_A" localSheetId="4">#REF!</definedName>
    <definedName name="COSTS_A" localSheetId="3">#REF!</definedName>
    <definedName name="COSTS_A" localSheetId="5">#REF!</definedName>
    <definedName name="COSTS_A">#REF!</definedName>
    <definedName name="COUNT_FV1_GF__Damp_Proofing" localSheetId="2">#REF!</definedName>
    <definedName name="COUNT_FV1_GF__Damp_Proofing" localSheetId="1">#REF!</definedName>
    <definedName name="COUNT_FV1_GF__Damp_Proofing" localSheetId="0">#REF!</definedName>
    <definedName name="COUNT_FV1_GF__Damp_Proofing" localSheetId="4">#REF!</definedName>
    <definedName name="COUNT_FV1_GF__Damp_Proofing" localSheetId="3">#REF!</definedName>
    <definedName name="COUNT_FV1_GF__Damp_Proofing" localSheetId="5">#REF!</definedName>
    <definedName name="COUNT_FV1_GF__Damp_Proofing">#REF!</definedName>
    <definedName name="COUNT_FV1_Mez__Damp_Proofing" localSheetId="2">#REF!</definedName>
    <definedName name="COUNT_FV1_Mez__Damp_Proofing" localSheetId="1">#REF!</definedName>
    <definedName name="COUNT_FV1_Mez__Damp_Proofing" localSheetId="0">#REF!</definedName>
    <definedName name="COUNT_FV1_Mez__Damp_Proofing" localSheetId="4">#REF!</definedName>
    <definedName name="COUNT_FV1_Mez__Damp_Proofing" localSheetId="3">#REF!</definedName>
    <definedName name="COUNT_FV1_Mez__Damp_Proofing" localSheetId="5">#REF!</definedName>
    <definedName name="COUNT_FV1_Mez__Damp_Proofing">#REF!</definedName>
    <definedName name="COUNT_FV1_P01__Damp_Proofing" localSheetId="2">#REF!</definedName>
    <definedName name="COUNT_FV1_P01__Damp_Proofing" localSheetId="1">#REF!</definedName>
    <definedName name="COUNT_FV1_P01__Damp_Proofing" localSheetId="0">#REF!</definedName>
    <definedName name="COUNT_FV1_P01__Damp_Proofing" localSheetId="4">#REF!</definedName>
    <definedName name="COUNT_FV1_P01__Damp_Proofing" localSheetId="3">#REF!</definedName>
    <definedName name="COUNT_FV1_P01__Damp_Proofing" localSheetId="5">#REF!</definedName>
    <definedName name="COUNT_FV1_P01__Damp_Proofing">#REF!</definedName>
    <definedName name="COUNT_FV1_P02__Damp_Proofing___Omission" localSheetId="2">#REF!</definedName>
    <definedName name="COUNT_FV1_P02__Damp_Proofing___Omission" localSheetId="1">#REF!</definedName>
    <definedName name="COUNT_FV1_P02__Damp_Proofing___Omission" localSheetId="0">#REF!</definedName>
    <definedName name="COUNT_FV1_P02__Damp_Proofing___Omission" localSheetId="4">#REF!</definedName>
    <definedName name="COUNT_FV1_P02__Damp_Proofing___Omission" localSheetId="3">#REF!</definedName>
    <definedName name="COUNT_FV1_P02__Damp_Proofing___Omission" localSheetId="5">#REF!</definedName>
    <definedName name="COUNT_FV1_P02__Damp_Proofing___Omission">#REF!</definedName>
    <definedName name="COUNT_FV1_P03__Damp_Proofing___Omission" localSheetId="2">#REF!</definedName>
    <definedName name="COUNT_FV1_P03__Damp_Proofing___Omission" localSheetId="1">#REF!</definedName>
    <definedName name="COUNT_FV1_P03__Damp_Proofing___Omission" localSheetId="0">#REF!</definedName>
    <definedName name="COUNT_FV1_P03__Damp_Proofing___Omission" localSheetId="4">#REF!</definedName>
    <definedName name="COUNT_FV1_P03__Damp_Proofing___Omission" localSheetId="3">#REF!</definedName>
    <definedName name="COUNT_FV1_P03__Damp_Proofing___Omission" localSheetId="5">#REF!</definedName>
    <definedName name="COUNT_FV1_P03__Damp_Proofing___Omission">#REF!</definedName>
    <definedName name="COUNT_FV1_P04__Damp_Proofing___Omission" localSheetId="2">#REF!</definedName>
    <definedName name="COUNT_FV1_P04__Damp_Proofing___Omission" localSheetId="1">#REF!</definedName>
    <definedName name="COUNT_FV1_P04__Damp_Proofing___Omission" localSheetId="0">#REF!</definedName>
    <definedName name="COUNT_FV1_P04__Damp_Proofing___Omission" localSheetId="4">#REF!</definedName>
    <definedName name="COUNT_FV1_P04__Damp_Proofing___Omission" localSheetId="3">#REF!</definedName>
    <definedName name="COUNT_FV1_P04__Damp_Proofing___Omission" localSheetId="5">#REF!</definedName>
    <definedName name="COUNT_FV1_P04__Damp_Proofing___Omission">#REF!</definedName>
    <definedName name="COUNT_FV1_P05__Damp_Proofing___Omission" localSheetId="2">#REF!</definedName>
    <definedName name="COUNT_FV1_P05__Damp_Proofing___Omission" localSheetId="1">#REF!</definedName>
    <definedName name="COUNT_FV1_P05__Damp_Proofing___Omission" localSheetId="0">#REF!</definedName>
    <definedName name="COUNT_FV1_P05__Damp_Proofing___Omission" localSheetId="4">#REF!</definedName>
    <definedName name="COUNT_FV1_P05__Damp_Proofing___Omission" localSheetId="3">#REF!</definedName>
    <definedName name="COUNT_FV1_P05__Damp_Proofing___Omission" localSheetId="5">#REF!</definedName>
    <definedName name="COUNT_FV1_P05__Damp_Proofing___Omission">#REF!</definedName>
    <definedName name="COUNT_FV1_P10__Damp_Proofing" localSheetId="2">#REF!</definedName>
    <definedName name="COUNT_FV1_P10__Damp_Proofing" localSheetId="1">#REF!</definedName>
    <definedName name="COUNT_FV1_P10__Damp_Proofing" localSheetId="0">#REF!</definedName>
    <definedName name="COUNT_FV1_P10__Damp_Proofing" localSheetId="4">#REF!</definedName>
    <definedName name="COUNT_FV1_P10__Damp_Proofing" localSheetId="3">#REF!</definedName>
    <definedName name="COUNT_FV1_P10__Damp_Proofing" localSheetId="5">#REF!</definedName>
    <definedName name="COUNT_FV1_P10__Damp_Proofing">#REF!</definedName>
    <definedName name="COUNT_FV2_GF__Damp_Proofing" localSheetId="2">#REF!</definedName>
    <definedName name="COUNT_FV2_GF__Damp_Proofing" localSheetId="1">#REF!</definedName>
    <definedName name="COUNT_FV2_GF__Damp_Proofing" localSheetId="0">#REF!</definedName>
    <definedName name="COUNT_FV2_GF__Damp_Proofing" localSheetId="4">#REF!</definedName>
    <definedName name="COUNT_FV2_GF__Damp_Proofing" localSheetId="3">#REF!</definedName>
    <definedName name="COUNT_FV2_GF__Damp_Proofing" localSheetId="5">#REF!</definedName>
    <definedName name="COUNT_FV2_GF__Damp_Proofing">#REF!</definedName>
    <definedName name="COUNT_FV2_Mez__Damp_Proofing" localSheetId="2">#REF!</definedName>
    <definedName name="COUNT_FV2_Mez__Damp_Proofing" localSheetId="1">#REF!</definedName>
    <definedName name="COUNT_FV2_Mez__Damp_Proofing" localSheetId="0">#REF!</definedName>
    <definedName name="COUNT_FV2_Mez__Damp_Proofing" localSheetId="4">#REF!</definedName>
    <definedName name="COUNT_FV2_Mez__Damp_Proofing" localSheetId="3">#REF!</definedName>
    <definedName name="COUNT_FV2_Mez__Damp_Proofing" localSheetId="5">#REF!</definedName>
    <definedName name="COUNT_FV2_Mez__Damp_Proofing">#REF!</definedName>
    <definedName name="COUNT_FV2_P01__Damp_Proofing" localSheetId="2">#REF!</definedName>
    <definedName name="COUNT_FV2_P01__Damp_Proofing" localSheetId="1">#REF!</definedName>
    <definedName name="COUNT_FV2_P01__Damp_Proofing" localSheetId="0">#REF!</definedName>
    <definedName name="COUNT_FV2_P01__Damp_Proofing" localSheetId="4">#REF!</definedName>
    <definedName name="COUNT_FV2_P01__Damp_Proofing" localSheetId="3">#REF!</definedName>
    <definedName name="COUNT_FV2_P01__Damp_Proofing" localSheetId="5">#REF!</definedName>
    <definedName name="COUNT_FV2_P01__Damp_Proofing">#REF!</definedName>
    <definedName name="COUNT_FV2_P02__Damp_Proofing" localSheetId="2">#REF!</definedName>
    <definedName name="COUNT_FV2_P02__Damp_Proofing" localSheetId="1">#REF!</definedName>
    <definedName name="COUNT_FV2_P02__Damp_Proofing" localSheetId="0">#REF!</definedName>
    <definedName name="COUNT_FV2_P02__Damp_Proofing" localSheetId="4">#REF!</definedName>
    <definedName name="COUNT_FV2_P02__Damp_Proofing" localSheetId="3">#REF!</definedName>
    <definedName name="COUNT_FV2_P02__Damp_Proofing" localSheetId="5">#REF!</definedName>
    <definedName name="COUNT_FV2_P02__Damp_Proofing">#REF!</definedName>
    <definedName name="COUNT_FV2_P02__Damp_Proofing___Omission" localSheetId="2">#REF!</definedName>
    <definedName name="COUNT_FV2_P02__Damp_Proofing___Omission" localSheetId="1">#REF!</definedName>
    <definedName name="COUNT_FV2_P02__Damp_Proofing___Omission" localSheetId="0">#REF!</definedName>
    <definedName name="COUNT_FV2_P02__Damp_Proofing___Omission" localSheetId="4">#REF!</definedName>
    <definedName name="COUNT_FV2_P02__Damp_Proofing___Omission" localSheetId="3">#REF!</definedName>
    <definedName name="COUNT_FV2_P02__Damp_Proofing___Omission" localSheetId="5">#REF!</definedName>
    <definedName name="COUNT_FV2_P02__Damp_Proofing___Omission">#REF!</definedName>
    <definedName name="COUNT_FV2_P03__Damp_Proofing" localSheetId="2">#REF!</definedName>
    <definedName name="COUNT_FV2_P03__Damp_Proofing" localSheetId="1">#REF!</definedName>
    <definedName name="COUNT_FV2_P03__Damp_Proofing" localSheetId="0">#REF!</definedName>
    <definedName name="COUNT_FV2_P03__Damp_Proofing" localSheetId="4">#REF!</definedName>
    <definedName name="COUNT_FV2_P03__Damp_Proofing" localSheetId="3">#REF!</definedName>
    <definedName name="COUNT_FV2_P03__Damp_Proofing" localSheetId="5">#REF!</definedName>
    <definedName name="COUNT_FV2_P03__Damp_Proofing">#REF!</definedName>
    <definedName name="COUNT_FV2_P03__Damp_Proofing___Omission" localSheetId="2">#REF!</definedName>
    <definedName name="COUNT_FV2_P03__Damp_Proofing___Omission" localSheetId="1">#REF!</definedName>
    <definedName name="COUNT_FV2_P03__Damp_Proofing___Omission" localSheetId="0">#REF!</definedName>
    <definedName name="COUNT_FV2_P03__Damp_Proofing___Omission" localSheetId="4">#REF!</definedName>
    <definedName name="COUNT_FV2_P03__Damp_Proofing___Omission" localSheetId="3">#REF!</definedName>
    <definedName name="COUNT_FV2_P03__Damp_Proofing___Omission" localSheetId="5">#REF!</definedName>
    <definedName name="COUNT_FV2_P03__Damp_Proofing___Omission">#REF!</definedName>
    <definedName name="COUNT_FV2_P04__Damp_Proofing" localSheetId="2">#REF!</definedName>
    <definedName name="COUNT_FV2_P04__Damp_Proofing" localSheetId="1">#REF!</definedName>
    <definedName name="COUNT_FV2_P04__Damp_Proofing" localSheetId="0">#REF!</definedName>
    <definedName name="COUNT_FV2_P04__Damp_Proofing" localSheetId="4">#REF!</definedName>
    <definedName name="COUNT_FV2_P04__Damp_Proofing" localSheetId="3">#REF!</definedName>
    <definedName name="COUNT_FV2_P04__Damp_Proofing" localSheetId="5">#REF!</definedName>
    <definedName name="COUNT_FV2_P04__Damp_Proofing">#REF!</definedName>
    <definedName name="COUNT_FV2_P04__Damp_Proofing___Omission" localSheetId="2">#REF!</definedName>
    <definedName name="COUNT_FV2_P04__Damp_Proofing___Omission" localSheetId="1">#REF!</definedName>
    <definedName name="COUNT_FV2_P04__Damp_Proofing___Omission" localSheetId="0">#REF!</definedName>
    <definedName name="COUNT_FV2_P04__Damp_Proofing___Omission" localSheetId="4">#REF!</definedName>
    <definedName name="COUNT_FV2_P04__Damp_Proofing___Omission" localSheetId="3">#REF!</definedName>
    <definedName name="COUNT_FV2_P04__Damp_Proofing___Omission" localSheetId="5">#REF!</definedName>
    <definedName name="COUNT_FV2_P04__Damp_Proofing___Omission">#REF!</definedName>
    <definedName name="COUNT_FV2_P05__Damp_Proofing" localSheetId="2">#REF!</definedName>
    <definedName name="COUNT_FV2_P05__Damp_Proofing" localSheetId="1">#REF!</definedName>
    <definedName name="COUNT_FV2_P05__Damp_Proofing" localSheetId="0">#REF!</definedName>
    <definedName name="COUNT_FV2_P05__Damp_Proofing" localSheetId="4">#REF!</definedName>
    <definedName name="COUNT_FV2_P05__Damp_Proofing" localSheetId="3">#REF!</definedName>
    <definedName name="COUNT_FV2_P05__Damp_Proofing" localSheetId="5">#REF!</definedName>
    <definedName name="COUNT_FV2_P05__Damp_Proofing">#REF!</definedName>
    <definedName name="COUNT_FV2_P05__Damp_Proofing___Omission" localSheetId="2">#REF!</definedName>
    <definedName name="COUNT_FV2_P05__Damp_Proofing___Omission" localSheetId="1">#REF!</definedName>
    <definedName name="COUNT_FV2_P05__Damp_Proofing___Omission" localSheetId="0">#REF!</definedName>
    <definedName name="COUNT_FV2_P05__Damp_Proofing___Omission" localSheetId="4">#REF!</definedName>
    <definedName name="COUNT_FV2_P05__Damp_Proofing___Omission" localSheetId="3">#REF!</definedName>
    <definedName name="COUNT_FV2_P05__Damp_Proofing___Omission" localSheetId="5">#REF!</definedName>
    <definedName name="COUNT_FV2_P05__Damp_Proofing___Omission">#REF!</definedName>
    <definedName name="COUNT_FV2_P06__Damp_Proofing" localSheetId="2">#REF!</definedName>
    <definedName name="COUNT_FV2_P06__Damp_Proofing" localSheetId="1">#REF!</definedName>
    <definedName name="COUNT_FV2_P06__Damp_Proofing" localSheetId="0">#REF!</definedName>
    <definedName name="COUNT_FV2_P06__Damp_Proofing" localSheetId="4">#REF!</definedName>
    <definedName name="COUNT_FV2_P06__Damp_Proofing" localSheetId="3">#REF!</definedName>
    <definedName name="COUNT_FV2_P06__Damp_Proofing" localSheetId="5">#REF!</definedName>
    <definedName name="COUNT_FV2_P06__Damp_Proofing">#REF!</definedName>
    <definedName name="COUNT_FV2_P06__Damp_Proofing___Omission" localSheetId="2">#REF!</definedName>
    <definedName name="COUNT_FV2_P06__Damp_Proofing___Omission" localSheetId="1">#REF!</definedName>
    <definedName name="COUNT_FV2_P06__Damp_Proofing___Omission" localSheetId="0">#REF!</definedName>
    <definedName name="COUNT_FV2_P06__Damp_Proofing___Omission" localSheetId="4">#REF!</definedName>
    <definedName name="COUNT_FV2_P06__Damp_Proofing___Omission" localSheetId="3">#REF!</definedName>
    <definedName name="COUNT_FV2_P06__Damp_Proofing___Omission" localSheetId="5">#REF!</definedName>
    <definedName name="COUNT_FV2_P06__Damp_Proofing___Omission">#REF!</definedName>
    <definedName name="COUNT_FV2_P07__Damp_Proofing" localSheetId="2">#REF!</definedName>
    <definedName name="COUNT_FV2_P07__Damp_Proofing" localSheetId="1">#REF!</definedName>
    <definedName name="COUNT_FV2_P07__Damp_Proofing" localSheetId="0">#REF!</definedName>
    <definedName name="COUNT_FV2_P07__Damp_Proofing" localSheetId="4">#REF!</definedName>
    <definedName name="COUNT_FV2_P07__Damp_Proofing" localSheetId="3">#REF!</definedName>
    <definedName name="COUNT_FV2_P07__Damp_Proofing" localSheetId="5">#REF!</definedName>
    <definedName name="COUNT_FV2_P07__Damp_Proofing">#REF!</definedName>
    <definedName name="COUNT_FV2_P07__Damp_Proofing___Omission" localSheetId="2">#REF!</definedName>
    <definedName name="COUNT_FV2_P07__Damp_Proofing___Omission" localSheetId="1">#REF!</definedName>
    <definedName name="COUNT_FV2_P07__Damp_Proofing___Omission" localSheetId="0">#REF!</definedName>
    <definedName name="COUNT_FV2_P07__Damp_Proofing___Omission" localSheetId="4">#REF!</definedName>
    <definedName name="COUNT_FV2_P07__Damp_Proofing___Omission" localSheetId="3">#REF!</definedName>
    <definedName name="COUNT_FV2_P07__Damp_Proofing___Omission" localSheetId="5">#REF!</definedName>
    <definedName name="COUNT_FV2_P07__Damp_Proofing___Omission">#REF!</definedName>
    <definedName name="COUNT_FV2_P08__Damp_Proofing" localSheetId="2">#REF!</definedName>
    <definedName name="COUNT_FV2_P08__Damp_Proofing" localSheetId="1">#REF!</definedName>
    <definedName name="COUNT_FV2_P08__Damp_Proofing" localSheetId="0">#REF!</definedName>
    <definedName name="COUNT_FV2_P08__Damp_Proofing" localSheetId="4">#REF!</definedName>
    <definedName name="COUNT_FV2_P08__Damp_Proofing" localSheetId="3">#REF!</definedName>
    <definedName name="COUNT_FV2_P08__Damp_Proofing" localSheetId="5">#REF!</definedName>
    <definedName name="COUNT_FV2_P08__Damp_Proofing">#REF!</definedName>
    <definedName name="COUNT_FV2_P08__Damp_Proofing___Omission" localSheetId="2">#REF!</definedName>
    <definedName name="COUNT_FV2_P08__Damp_Proofing___Omission" localSheetId="1">#REF!</definedName>
    <definedName name="COUNT_FV2_P08__Damp_Proofing___Omission" localSheetId="0">#REF!</definedName>
    <definedName name="COUNT_FV2_P08__Damp_Proofing___Omission" localSheetId="4">#REF!</definedName>
    <definedName name="COUNT_FV2_P08__Damp_Proofing___Omission" localSheetId="3">#REF!</definedName>
    <definedName name="COUNT_FV2_P08__Damp_Proofing___Omission" localSheetId="5">#REF!</definedName>
    <definedName name="COUNT_FV2_P08__Damp_Proofing___Omission">#REF!</definedName>
    <definedName name="COUNT_FV2_P09__Damp_Proofing" localSheetId="2">#REF!</definedName>
    <definedName name="COUNT_FV2_P09__Damp_Proofing" localSheetId="1">#REF!</definedName>
    <definedName name="COUNT_FV2_P09__Damp_Proofing" localSheetId="0">#REF!</definedName>
    <definedName name="COUNT_FV2_P09__Damp_Proofing" localSheetId="4">#REF!</definedName>
    <definedName name="COUNT_FV2_P09__Damp_Proofing" localSheetId="3">#REF!</definedName>
    <definedName name="COUNT_FV2_P09__Damp_Proofing" localSheetId="5">#REF!</definedName>
    <definedName name="COUNT_FV2_P09__Damp_Proofing">#REF!</definedName>
    <definedName name="COUNT_FV2_P10__Damp_Proofing" localSheetId="2">#REF!</definedName>
    <definedName name="COUNT_FV2_P10__Damp_Proofing" localSheetId="1">#REF!</definedName>
    <definedName name="COUNT_FV2_P10__Damp_Proofing" localSheetId="0">#REF!</definedName>
    <definedName name="COUNT_FV2_P10__Damp_Proofing" localSheetId="4">#REF!</definedName>
    <definedName name="COUNT_FV2_P10__Damp_Proofing" localSheetId="3">#REF!</definedName>
    <definedName name="COUNT_FV2_P10__Damp_Proofing" localSheetId="5">#REF!</definedName>
    <definedName name="COUNT_FV2_P10__Damp_Proofing">#REF!</definedName>
    <definedName name="COUNT_FV3_GF__Damp_Proofing" localSheetId="2">#REF!</definedName>
    <definedName name="COUNT_FV3_GF__Damp_Proofing" localSheetId="1">#REF!</definedName>
    <definedName name="COUNT_FV3_GF__Damp_Proofing" localSheetId="0">#REF!</definedName>
    <definedName name="COUNT_FV3_GF__Damp_Proofing" localSheetId="4">#REF!</definedName>
    <definedName name="COUNT_FV3_GF__Damp_Proofing" localSheetId="3">#REF!</definedName>
    <definedName name="COUNT_FV3_GF__Damp_Proofing" localSheetId="5">#REF!</definedName>
    <definedName name="COUNT_FV3_GF__Damp_Proofing">#REF!</definedName>
    <definedName name="COUNT_FV3_Mez__Damp_Proofing" localSheetId="2">#REF!</definedName>
    <definedName name="COUNT_FV3_Mez__Damp_Proofing" localSheetId="1">#REF!</definedName>
    <definedName name="COUNT_FV3_Mez__Damp_Proofing" localSheetId="0">#REF!</definedName>
    <definedName name="COUNT_FV3_Mez__Damp_Proofing" localSheetId="4">#REF!</definedName>
    <definedName name="COUNT_FV3_Mez__Damp_Proofing" localSheetId="3">#REF!</definedName>
    <definedName name="COUNT_FV3_Mez__Damp_Proofing" localSheetId="5">#REF!</definedName>
    <definedName name="COUNT_FV3_Mez__Damp_Proofing">#REF!</definedName>
    <definedName name="COUNT_FV3_P02__Damp_Proofing" localSheetId="2">#REF!</definedName>
    <definedName name="COUNT_FV3_P02__Damp_Proofing" localSheetId="1">#REF!</definedName>
    <definedName name="COUNT_FV3_P02__Damp_Proofing" localSheetId="0">#REF!</definedName>
    <definedName name="COUNT_FV3_P02__Damp_Proofing" localSheetId="4">#REF!</definedName>
    <definedName name="COUNT_FV3_P02__Damp_Proofing" localSheetId="3">#REF!</definedName>
    <definedName name="COUNT_FV3_P02__Damp_Proofing" localSheetId="5">#REF!</definedName>
    <definedName name="COUNT_FV3_P02__Damp_Proofing">#REF!</definedName>
    <definedName name="COUNT_FV3_P02__Damp_Proofing___Omission" localSheetId="2">#REF!</definedName>
    <definedName name="COUNT_FV3_P02__Damp_Proofing___Omission" localSheetId="1">#REF!</definedName>
    <definedName name="COUNT_FV3_P02__Damp_Proofing___Omission" localSheetId="0">#REF!</definedName>
    <definedName name="COUNT_FV3_P02__Damp_Proofing___Omission" localSheetId="4">#REF!</definedName>
    <definedName name="COUNT_FV3_P02__Damp_Proofing___Omission" localSheetId="3">#REF!</definedName>
    <definedName name="COUNT_FV3_P02__Damp_Proofing___Omission" localSheetId="5">#REF!</definedName>
    <definedName name="COUNT_FV3_P02__Damp_Proofing___Omission">#REF!</definedName>
    <definedName name="COUNT_FV3_P03__Damp_Proofing___Omission" localSheetId="2">#REF!</definedName>
    <definedName name="COUNT_FV3_P03__Damp_Proofing___Omission" localSheetId="1">#REF!</definedName>
    <definedName name="COUNT_FV3_P03__Damp_Proofing___Omission" localSheetId="0">#REF!</definedName>
    <definedName name="COUNT_FV3_P03__Damp_Proofing___Omission" localSheetId="4">#REF!</definedName>
    <definedName name="COUNT_FV3_P03__Damp_Proofing___Omission" localSheetId="3">#REF!</definedName>
    <definedName name="COUNT_FV3_P03__Damp_Proofing___Omission" localSheetId="5">#REF!</definedName>
    <definedName name="COUNT_FV3_P03__Damp_Proofing___Omission">#REF!</definedName>
    <definedName name="COUNT_FV3_P04__Damp_Proofing___Omission" localSheetId="2">#REF!</definedName>
    <definedName name="COUNT_FV3_P04__Damp_Proofing___Omission" localSheetId="1">#REF!</definedName>
    <definedName name="COUNT_FV3_P04__Damp_Proofing___Omission" localSheetId="0">#REF!</definedName>
    <definedName name="COUNT_FV3_P04__Damp_Proofing___Omission" localSheetId="4">#REF!</definedName>
    <definedName name="COUNT_FV3_P04__Damp_Proofing___Omission" localSheetId="3">#REF!</definedName>
    <definedName name="COUNT_FV3_P04__Damp_Proofing___Omission" localSheetId="5">#REF!</definedName>
    <definedName name="COUNT_FV3_P04__Damp_Proofing___Omission">#REF!</definedName>
    <definedName name="COUNT_FV3_P05__Damp_Proofing___Omission" localSheetId="2">#REF!</definedName>
    <definedName name="COUNT_FV3_P05__Damp_Proofing___Omission" localSheetId="1">#REF!</definedName>
    <definedName name="COUNT_FV3_P05__Damp_Proofing___Omission" localSheetId="0">#REF!</definedName>
    <definedName name="COUNT_FV3_P05__Damp_Proofing___Omission" localSheetId="4">#REF!</definedName>
    <definedName name="COUNT_FV3_P05__Damp_Proofing___Omission" localSheetId="3">#REF!</definedName>
    <definedName name="COUNT_FV3_P05__Damp_Proofing___Omission" localSheetId="5">#REF!</definedName>
    <definedName name="COUNT_FV3_P05__Damp_Proofing___Omission">#REF!</definedName>
    <definedName name="COUNT_FV3_P06__Damp_Proofing___Omission" localSheetId="2">#REF!</definedName>
    <definedName name="COUNT_FV3_P06__Damp_Proofing___Omission" localSheetId="1">#REF!</definedName>
    <definedName name="COUNT_FV3_P06__Damp_Proofing___Omission" localSheetId="0">#REF!</definedName>
    <definedName name="COUNT_FV3_P06__Damp_Proofing___Omission" localSheetId="4">#REF!</definedName>
    <definedName name="COUNT_FV3_P06__Damp_Proofing___Omission" localSheetId="3">#REF!</definedName>
    <definedName name="COUNT_FV3_P06__Damp_Proofing___Omission" localSheetId="5">#REF!</definedName>
    <definedName name="COUNT_FV3_P06__Damp_Proofing___Omission">#REF!</definedName>
    <definedName name="COUNT_FV3_P07__Damp_Proofing___Omission" localSheetId="2">#REF!</definedName>
    <definedName name="COUNT_FV3_P07__Damp_Proofing___Omission" localSheetId="1">#REF!</definedName>
    <definedName name="COUNT_FV3_P07__Damp_Proofing___Omission" localSheetId="0">#REF!</definedName>
    <definedName name="COUNT_FV3_P07__Damp_Proofing___Omission" localSheetId="4">#REF!</definedName>
    <definedName name="COUNT_FV3_P07__Damp_Proofing___Omission" localSheetId="3">#REF!</definedName>
    <definedName name="COUNT_FV3_P07__Damp_Proofing___Omission" localSheetId="5">#REF!</definedName>
    <definedName name="COUNT_FV3_P07__Damp_Proofing___Omission">#REF!</definedName>
    <definedName name="COUNT_FV3_P08__Damp_Proofing___Omission" localSheetId="2">#REF!</definedName>
    <definedName name="COUNT_FV3_P08__Damp_Proofing___Omission" localSheetId="1">#REF!</definedName>
    <definedName name="COUNT_FV3_P08__Damp_Proofing___Omission" localSheetId="0">#REF!</definedName>
    <definedName name="COUNT_FV3_P08__Damp_Proofing___Omission" localSheetId="4">#REF!</definedName>
    <definedName name="COUNT_FV3_P08__Damp_Proofing___Omission" localSheetId="3">#REF!</definedName>
    <definedName name="COUNT_FV3_P08__Damp_Proofing___Omission" localSheetId="5">#REF!</definedName>
    <definedName name="COUNT_FV3_P08__Damp_Proofing___Omission">#REF!</definedName>
    <definedName name="COUNT_FV3_P09__Damp_Proofing" localSheetId="2">#REF!</definedName>
    <definedName name="COUNT_FV3_P09__Damp_Proofing" localSheetId="1">#REF!</definedName>
    <definedName name="COUNT_FV3_P09__Damp_Proofing" localSheetId="0">#REF!</definedName>
    <definedName name="COUNT_FV3_P09__Damp_Proofing" localSheetId="4">#REF!</definedName>
    <definedName name="COUNT_FV3_P09__Damp_Proofing" localSheetId="3">#REF!</definedName>
    <definedName name="COUNT_FV3_P09__Damp_Proofing" localSheetId="5">#REF!</definedName>
    <definedName name="COUNT_FV3_P09__Damp_Proofing">#REF!</definedName>
    <definedName name="COUNT_FV3_P09__Damp_Proofing___Omission" localSheetId="2">#REF!</definedName>
    <definedName name="COUNT_FV3_P09__Damp_Proofing___Omission" localSheetId="1">#REF!</definedName>
    <definedName name="COUNT_FV3_P09__Damp_Proofing___Omission" localSheetId="0">#REF!</definedName>
    <definedName name="COUNT_FV3_P09__Damp_Proofing___Omission" localSheetId="4">#REF!</definedName>
    <definedName name="COUNT_FV3_P09__Damp_Proofing___Omission" localSheetId="3">#REF!</definedName>
    <definedName name="COUNT_FV3_P09__Damp_Proofing___Omission" localSheetId="5">#REF!</definedName>
    <definedName name="COUNT_FV3_P09__Damp_Proofing___Omission">#REF!</definedName>
    <definedName name="COUNT_FV3_P10__Damp_Proofing" localSheetId="2">#REF!</definedName>
    <definedName name="COUNT_FV3_P10__Damp_Proofing" localSheetId="1">#REF!</definedName>
    <definedName name="COUNT_FV3_P10__Damp_Proofing" localSheetId="0">#REF!</definedName>
    <definedName name="COUNT_FV3_P10__Damp_Proofing" localSheetId="4">#REF!</definedName>
    <definedName name="COUNT_FV3_P10__Damp_Proofing" localSheetId="3">#REF!</definedName>
    <definedName name="COUNT_FV3_P10__Damp_Proofing" localSheetId="5">#REF!</definedName>
    <definedName name="COUNT_FV3_P10__Damp_Proofing">#REF!</definedName>
    <definedName name="COUNT_RANGE">#N/A</definedName>
    <definedName name="COUNTER" localSheetId="0">#REF!</definedName>
    <definedName name="COUNTER" localSheetId="4">#REF!</definedName>
    <definedName name="COUNTER" localSheetId="3">#REF!</definedName>
    <definedName name="COUNTER" localSheetId="5">#REF!</definedName>
    <definedName name="COUNTER">#REF!</definedName>
    <definedName name="Country" localSheetId="2">#REF!</definedName>
    <definedName name="Country" localSheetId="1">#REF!</definedName>
    <definedName name="Country" localSheetId="0">#REF!</definedName>
    <definedName name="Country" localSheetId="4">#REF!</definedName>
    <definedName name="Country" localSheetId="3">#REF!</definedName>
    <definedName name="Country" localSheetId="5">#REF!</definedName>
    <definedName name="Country">#REF!</definedName>
    <definedName name="COVER" localSheetId="2">#REF!</definedName>
    <definedName name="COVER" localSheetId="1">#REF!</definedName>
    <definedName name="COVER" localSheetId="0">#REF!</definedName>
    <definedName name="COVER" localSheetId="4">#REF!</definedName>
    <definedName name="COVER" localSheetId="3">#REF!</definedName>
    <definedName name="COVER" localSheetId="5">#REF!</definedName>
    <definedName name="COVER">#REF!</definedName>
    <definedName name="Cover1" localSheetId="4">#REF!</definedName>
    <definedName name="Cover1" localSheetId="3">#REF!</definedName>
    <definedName name="Cover1" localSheetId="5">#REF!</definedName>
    <definedName name="Cover1">#REF!</definedName>
    <definedName name="COWC" localSheetId="4">#REF!</definedName>
    <definedName name="COWC" localSheetId="3">#REF!</definedName>
    <definedName name="COWC" localSheetId="5">#REF!</definedName>
    <definedName name="COWC">#REF!</definedName>
    <definedName name="cp" localSheetId="2">#REF!</definedName>
    <definedName name="cp" localSheetId="1">#REF!</definedName>
    <definedName name="cp" localSheetId="0">#REF!</definedName>
    <definedName name="cp" localSheetId="4">#REF!</definedName>
    <definedName name="cp" localSheetId="3">#REF!</definedName>
    <definedName name="cp" localSheetId="5">#REF!</definedName>
    <definedName name="cp">#REF!</definedName>
    <definedName name="CPLG" localSheetId="2">#REF!</definedName>
    <definedName name="CPLG" localSheetId="1">#REF!</definedName>
    <definedName name="CPLG" localSheetId="0">#REF!</definedName>
    <definedName name="CPLG" localSheetId="4">#REF!</definedName>
    <definedName name="CPLG" localSheetId="3">#REF!</definedName>
    <definedName name="CPLG" localSheetId="5">#REF!</definedName>
    <definedName name="CPLG">#REF!</definedName>
    <definedName name="CreativeOff" localSheetId="4">#REF!</definedName>
    <definedName name="CreativeOff" localSheetId="3">#REF!</definedName>
    <definedName name="CreativeOff" localSheetId="5">#REF!</definedName>
    <definedName name="CreativeOff">#REF!</definedName>
    <definedName name="CreativeOff1st" localSheetId="4">#REF!</definedName>
    <definedName name="CreativeOff1st" localSheetId="3">#REF!</definedName>
    <definedName name="CreativeOff1st" localSheetId="5">#REF!</definedName>
    <definedName name="CreativeOff1st">#REF!</definedName>
    <definedName name="CreativeOff2nd" localSheetId="4">#REF!</definedName>
    <definedName name="CreativeOff2nd" localSheetId="3">#REF!</definedName>
    <definedName name="CreativeOff2nd" localSheetId="5">#REF!</definedName>
    <definedName name="CreativeOff2nd">#REF!</definedName>
    <definedName name="CreativeOff3rd" localSheetId="4">#REF!</definedName>
    <definedName name="CreativeOff3rd" localSheetId="3">#REF!</definedName>
    <definedName name="CreativeOff3rd" localSheetId="5">#REF!</definedName>
    <definedName name="CreativeOff3rd">#REF!</definedName>
    <definedName name="CreativeOffArea" localSheetId="4">#REF!</definedName>
    <definedName name="CreativeOffArea" localSheetId="3">#REF!</definedName>
    <definedName name="CreativeOffArea" localSheetId="5">#REF!</definedName>
    <definedName name="CreativeOffArea">#REF!</definedName>
    <definedName name="CreativeWork" localSheetId="4">#REF!</definedName>
    <definedName name="CreativeWork" localSheetId="3">#REF!</definedName>
    <definedName name="CreativeWork" localSheetId="5">#REF!</definedName>
    <definedName name="CreativeWork">#REF!</definedName>
    <definedName name="CreativeWork1st" localSheetId="4">#REF!</definedName>
    <definedName name="CreativeWork1st" localSheetId="3">#REF!</definedName>
    <definedName name="CreativeWork1st" localSheetId="5">#REF!</definedName>
    <definedName name="CreativeWork1st">#REF!</definedName>
    <definedName name="CreativeWork2nd" localSheetId="4">#REF!</definedName>
    <definedName name="CreativeWork2nd" localSheetId="3">#REF!</definedName>
    <definedName name="CreativeWork2nd" localSheetId="5">#REF!</definedName>
    <definedName name="CreativeWork2nd">#REF!</definedName>
    <definedName name="CreativeWorkArea" localSheetId="4">#REF!</definedName>
    <definedName name="CreativeWorkArea" localSheetId="3">#REF!</definedName>
    <definedName name="CreativeWorkArea" localSheetId="5">#REF!</definedName>
    <definedName name="CreativeWorkArea">#REF!</definedName>
    <definedName name="CRIT_VALVE" localSheetId="2">#REF!</definedName>
    <definedName name="CRIT_VALVE" localSheetId="1">#REF!</definedName>
    <definedName name="CRIT_VALVE" localSheetId="0">#REF!</definedName>
    <definedName name="CRIT_VALVE" localSheetId="4">#REF!</definedName>
    <definedName name="CRIT_VALVE" localSheetId="3">#REF!</definedName>
    <definedName name="CRIT_VALVE" localSheetId="5">#REF!</definedName>
    <definedName name="CRIT_VALVE">#REF!</definedName>
    <definedName name="_xlnm.Criteria" localSheetId="2">#REF!</definedName>
    <definedName name="_xlnm.Criteria" localSheetId="1">#REF!</definedName>
    <definedName name="_xlnm.Criteria" localSheetId="0">#REF!</definedName>
    <definedName name="_xlnm.Criteria" localSheetId="4">#REF!</definedName>
    <definedName name="_xlnm.Criteria" localSheetId="3">#REF!</definedName>
    <definedName name="_xlnm.Criteria" localSheetId="5">#REF!</definedName>
    <definedName name="_xlnm.Criteria">#REF!</definedName>
    <definedName name="Criteria_MI" localSheetId="2">#REF!</definedName>
    <definedName name="Criteria_MI" localSheetId="1">#REF!</definedName>
    <definedName name="Criteria_MI" localSheetId="0">#REF!</definedName>
    <definedName name="Criteria_MI" localSheetId="4">#REF!</definedName>
    <definedName name="Criteria_MI" localSheetId="3">#REF!</definedName>
    <definedName name="Criteria_MI" localSheetId="5">#REF!</definedName>
    <definedName name="Criteria_MI">#REF!</definedName>
    <definedName name="crusher" localSheetId="4">#REF!</definedName>
    <definedName name="crusher" localSheetId="3">#REF!</definedName>
    <definedName name="crusher" localSheetId="5">#REF!</definedName>
    <definedName name="crusher">#REF!</definedName>
    <definedName name="CS">#N/A</definedName>
    <definedName name="CS_">#N/A</definedName>
    <definedName name="CS__">#N/A</definedName>
    <definedName name="ct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localSheetId="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localSheetId="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localSheetId="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U_ADJ" localSheetId="2">#REF!</definedName>
    <definedName name="CU_ADJ" localSheetId="1">#REF!</definedName>
    <definedName name="CU_ADJ" localSheetId="0">#REF!</definedName>
    <definedName name="CU_ADJ" localSheetId="4">#REF!</definedName>
    <definedName name="CU_ADJ" localSheetId="3">#REF!</definedName>
    <definedName name="CU_ADJ" localSheetId="5">#REF!</definedName>
    <definedName name="CU_ADJ">#REF!</definedName>
    <definedName name="CU_ADJ_MV" localSheetId="2">#REF!</definedName>
    <definedName name="CU_ADJ_MV" localSheetId="1">#REF!</definedName>
    <definedName name="CU_ADJ_MV" localSheetId="0">#REF!</definedName>
    <definedName name="CU_ADJ_MV" localSheetId="4">#REF!</definedName>
    <definedName name="CU_ADJ_MV" localSheetId="3">#REF!</definedName>
    <definedName name="CU_ADJ_MV" localSheetId="5">#REF!</definedName>
    <definedName name="CU_ADJ_MV">#REF!</definedName>
    <definedName name="Cum_Int" localSheetId="2">#REF!</definedName>
    <definedName name="Cum_Int" localSheetId="1">#REF!</definedName>
    <definedName name="Cum_Int" localSheetId="0">#REF!</definedName>
    <definedName name="Cum_Int" localSheetId="4">#REF!</definedName>
    <definedName name="Cum_Int" localSheetId="3">#REF!</definedName>
    <definedName name="Cum_Int" localSheetId="5">#REF!</definedName>
    <definedName name="Cum_Int">#REF!</definedName>
    <definedName name="curr" localSheetId="4">#REF!</definedName>
    <definedName name="curr" localSheetId="3">#REF!</definedName>
    <definedName name="curr" localSheetId="5">#REF!</definedName>
    <definedName name="curr">#REF!</definedName>
    <definedName name="CURR45" localSheetId="4">#REF!</definedName>
    <definedName name="CURR45" localSheetId="3">#REF!</definedName>
    <definedName name="CURR45" localSheetId="5">#REF!</definedName>
    <definedName name="CURR45">#REF!</definedName>
    <definedName name="currency" localSheetId="4">#REF!</definedName>
    <definedName name="currency" localSheetId="3">#REF!</definedName>
    <definedName name="currency" localSheetId="5">#REF!</definedName>
    <definedName name="currency">#REF!</definedName>
    <definedName name="CurrencyName" localSheetId="2">#REF!</definedName>
    <definedName name="CurrencyName" localSheetId="1">#REF!</definedName>
    <definedName name="CurrencyName" localSheetId="0">#REF!</definedName>
    <definedName name="CurrencyName" localSheetId="4">#REF!</definedName>
    <definedName name="CurrencyName" localSheetId="3">#REF!</definedName>
    <definedName name="CurrencyName" localSheetId="5">#REF!</definedName>
    <definedName name="CurrencyName">#REF!</definedName>
    <definedName name="CUSTOM1_FV1_GF__Damp_Proofing" localSheetId="2">#REF!</definedName>
    <definedName name="CUSTOM1_FV1_GF__Damp_Proofing" localSheetId="1">#REF!</definedName>
    <definedName name="CUSTOM1_FV1_GF__Damp_Proofing" localSheetId="0">#REF!</definedName>
    <definedName name="CUSTOM1_FV1_GF__Damp_Proofing" localSheetId="4">#REF!</definedName>
    <definedName name="CUSTOM1_FV1_GF__Damp_Proofing" localSheetId="3">#REF!</definedName>
    <definedName name="CUSTOM1_FV1_GF__Damp_Proofing" localSheetId="5">#REF!</definedName>
    <definedName name="CUSTOM1_FV1_GF__Damp_Proofing">#REF!</definedName>
    <definedName name="CUSTOM1_FV1_Mez__Damp_Proofing" localSheetId="2">#REF!</definedName>
    <definedName name="CUSTOM1_FV1_Mez__Damp_Proofing" localSheetId="1">#REF!</definedName>
    <definedName name="CUSTOM1_FV1_Mez__Damp_Proofing" localSheetId="0">#REF!</definedName>
    <definedName name="CUSTOM1_FV1_Mez__Damp_Proofing" localSheetId="4">#REF!</definedName>
    <definedName name="CUSTOM1_FV1_Mez__Damp_Proofing" localSheetId="3">#REF!</definedName>
    <definedName name="CUSTOM1_FV1_Mez__Damp_Proofing" localSheetId="5">#REF!</definedName>
    <definedName name="CUSTOM1_FV1_Mez__Damp_Proofing">#REF!</definedName>
    <definedName name="CUSTOM1_FV1_P01__Damp_Proofing" localSheetId="2">#REF!</definedName>
    <definedName name="CUSTOM1_FV1_P01__Damp_Proofing" localSheetId="1">#REF!</definedName>
    <definedName name="CUSTOM1_FV1_P01__Damp_Proofing" localSheetId="0">#REF!</definedName>
    <definedName name="CUSTOM1_FV1_P01__Damp_Proofing" localSheetId="4">#REF!</definedName>
    <definedName name="CUSTOM1_FV1_P01__Damp_Proofing" localSheetId="3">#REF!</definedName>
    <definedName name="CUSTOM1_FV1_P01__Damp_Proofing" localSheetId="5">#REF!</definedName>
    <definedName name="CUSTOM1_FV1_P01__Damp_Proofing">#REF!</definedName>
    <definedName name="CUSTOM1_FV1_P02__Damp_Proofing___Omission" localSheetId="2">#REF!</definedName>
    <definedName name="CUSTOM1_FV1_P02__Damp_Proofing___Omission" localSheetId="1">#REF!</definedName>
    <definedName name="CUSTOM1_FV1_P02__Damp_Proofing___Omission" localSheetId="0">#REF!</definedName>
    <definedName name="CUSTOM1_FV1_P02__Damp_Proofing___Omission" localSheetId="4">#REF!</definedName>
    <definedName name="CUSTOM1_FV1_P02__Damp_Proofing___Omission" localSheetId="3">#REF!</definedName>
    <definedName name="CUSTOM1_FV1_P02__Damp_Proofing___Omission" localSheetId="5">#REF!</definedName>
    <definedName name="CUSTOM1_FV1_P02__Damp_Proofing___Omission">#REF!</definedName>
    <definedName name="CUSTOM1_FV1_P03__Damp_Proofing___Omission" localSheetId="2">#REF!</definedName>
    <definedName name="CUSTOM1_FV1_P03__Damp_Proofing___Omission" localSheetId="1">#REF!</definedName>
    <definedName name="CUSTOM1_FV1_P03__Damp_Proofing___Omission" localSheetId="0">#REF!</definedName>
    <definedName name="CUSTOM1_FV1_P03__Damp_Proofing___Omission" localSheetId="4">#REF!</definedName>
    <definedName name="CUSTOM1_FV1_P03__Damp_Proofing___Omission" localSheetId="3">#REF!</definedName>
    <definedName name="CUSTOM1_FV1_P03__Damp_Proofing___Omission" localSheetId="5">#REF!</definedName>
    <definedName name="CUSTOM1_FV1_P03__Damp_Proofing___Omission">#REF!</definedName>
    <definedName name="CUSTOM1_FV1_P04__Damp_Proofing___Omission" localSheetId="2">#REF!</definedName>
    <definedName name="CUSTOM1_FV1_P04__Damp_Proofing___Omission" localSheetId="1">#REF!</definedName>
    <definedName name="CUSTOM1_FV1_P04__Damp_Proofing___Omission" localSheetId="0">#REF!</definedName>
    <definedName name="CUSTOM1_FV1_P04__Damp_Proofing___Omission" localSheetId="4">#REF!</definedName>
    <definedName name="CUSTOM1_FV1_P04__Damp_Proofing___Omission" localSheetId="3">#REF!</definedName>
    <definedName name="CUSTOM1_FV1_P04__Damp_Proofing___Omission" localSheetId="5">#REF!</definedName>
    <definedName name="CUSTOM1_FV1_P04__Damp_Proofing___Omission">#REF!</definedName>
    <definedName name="CUSTOM1_FV1_P05__Damp_Proofing___Omission" localSheetId="2">#REF!</definedName>
    <definedName name="CUSTOM1_FV1_P05__Damp_Proofing___Omission" localSheetId="1">#REF!</definedName>
    <definedName name="CUSTOM1_FV1_P05__Damp_Proofing___Omission" localSheetId="0">#REF!</definedName>
    <definedName name="CUSTOM1_FV1_P05__Damp_Proofing___Omission" localSheetId="4">#REF!</definedName>
    <definedName name="CUSTOM1_FV1_P05__Damp_Proofing___Omission" localSheetId="3">#REF!</definedName>
    <definedName name="CUSTOM1_FV1_P05__Damp_Proofing___Omission" localSheetId="5">#REF!</definedName>
    <definedName name="CUSTOM1_FV1_P05__Damp_Proofing___Omission">#REF!</definedName>
    <definedName name="CUSTOM1_FV1_P10__Damp_Proofing" localSheetId="2">#REF!</definedName>
    <definedName name="CUSTOM1_FV1_P10__Damp_Proofing" localSheetId="1">#REF!</definedName>
    <definedName name="CUSTOM1_FV1_P10__Damp_Proofing" localSheetId="0">#REF!</definedName>
    <definedName name="CUSTOM1_FV1_P10__Damp_Proofing" localSheetId="4">#REF!</definedName>
    <definedName name="CUSTOM1_FV1_P10__Damp_Proofing" localSheetId="3">#REF!</definedName>
    <definedName name="CUSTOM1_FV1_P10__Damp_Proofing" localSheetId="5">#REF!</definedName>
    <definedName name="CUSTOM1_FV1_P10__Damp_Proofing">#REF!</definedName>
    <definedName name="CUSTOM1_FV2_GF__Damp_Proofing" localSheetId="2">#REF!</definedName>
    <definedName name="CUSTOM1_FV2_GF__Damp_Proofing" localSheetId="1">#REF!</definedName>
    <definedName name="CUSTOM1_FV2_GF__Damp_Proofing" localSheetId="0">#REF!</definedName>
    <definedName name="CUSTOM1_FV2_GF__Damp_Proofing" localSheetId="4">#REF!</definedName>
    <definedName name="CUSTOM1_FV2_GF__Damp_Proofing" localSheetId="3">#REF!</definedName>
    <definedName name="CUSTOM1_FV2_GF__Damp_Proofing" localSheetId="5">#REF!</definedName>
    <definedName name="CUSTOM1_FV2_GF__Damp_Proofing">#REF!</definedName>
    <definedName name="CUSTOM1_FV2_Mez__Damp_Proofing" localSheetId="2">#REF!</definedName>
    <definedName name="CUSTOM1_FV2_Mez__Damp_Proofing" localSheetId="1">#REF!</definedName>
    <definedName name="CUSTOM1_FV2_Mez__Damp_Proofing" localSheetId="0">#REF!</definedName>
    <definedName name="CUSTOM1_FV2_Mez__Damp_Proofing" localSheetId="4">#REF!</definedName>
    <definedName name="CUSTOM1_FV2_Mez__Damp_Proofing" localSheetId="3">#REF!</definedName>
    <definedName name="CUSTOM1_FV2_Mez__Damp_Proofing" localSheetId="5">#REF!</definedName>
    <definedName name="CUSTOM1_FV2_Mez__Damp_Proofing">#REF!</definedName>
    <definedName name="CUSTOM1_FV2_P01__Damp_Proofing" localSheetId="2">#REF!</definedName>
    <definedName name="CUSTOM1_FV2_P01__Damp_Proofing" localSheetId="1">#REF!</definedName>
    <definedName name="CUSTOM1_FV2_P01__Damp_Proofing" localSheetId="0">#REF!</definedName>
    <definedName name="CUSTOM1_FV2_P01__Damp_Proofing" localSheetId="4">#REF!</definedName>
    <definedName name="CUSTOM1_FV2_P01__Damp_Proofing" localSheetId="3">#REF!</definedName>
    <definedName name="CUSTOM1_FV2_P01__Damp_Proofing" localSheetId="5">#REF!</definedName>
    <definedName name="CUSTOM1_FV2_P01__Damp_Proofing">#REF!</definedName>
    <definedName name="CUSTOM1_FV2_P02__Damp_Proofing" localSheetId="2">#REF!</definedName>
    <definedName name="CUSTOM1_FV2_P02__Damp_Proofing" localSheetId="1">#REF!</definedName>
    <definedName name="CUSTOM1_FV2_P02__Damp_Proofing" localSheetId="0">#REF!</definedName>
    <definedName name="CUSTOM1_FV2_P02__Damp_Proofing" localSheetId="4">#REF!</definedName>
    <definedName name="CUSTOM1_FV2_P02__Damp_Proofing" localSheetId="3">#REF!</definedName>
    <definedName name="CUSTOM1_FV2_P02__Damp_Proofing" localSheetId="5">#REF!</definedName>
    <definedName name="CUSTOM1_FV2_P02__Damp_Proofing">#REF!</definedName>
    <definedName name="CUSTOM1_FV2_P02__Damp_Proofing___Omission" localSheetId="2">#REF!</definedName>
    <definedName name="CUSTOM1_FV2_P02__Damp_Proofing___Omission" localSheetId="1">#REF!</definedName>
    <definedName name="CUSTOM1_FV2_P02__Damp_Proofing___Omission" localSheetId="0">#REF!</definedName>
    <definedName name="CUSTOM1_FV2_P02__Damp_Proofing___Omission" localSheetId="4">#REF!</definedName>
    <definedName name="CUSTOM1_FV2_P02__Damp_Proofing___Omission" localSheetId="3">#REF!</definedName>
    <definedName name="CUSTOM1_FV2_P02__Damp_Proofing___Omission" localSheetId="5">#REF!</definedName>
    <definedName name="CUSTOM1_FV2_P02__Damp_Proofing___Omission">#REF!</definedName>
    <definedName name="CUSTOM1_FV2_P03__Damp_Proofing" localSheetId="2">#REF!</definedName>
    <definedName name="CUSTOM1_FV2_P03__Damp_Proofing" localSheetId="1">#REF!</definedName>
    <definedName name="CUSTOM1_FV2_P03__Damp_Proofing" localSheetId="0">#REF!</definedName>
    <definedName name="CUSTOM1_FV2_P03__Damp_Proofing" localSheetId="4">#REF!</definedName>
    <definedName name="CUSTOM1_FV2_P03__Damp_Proofing" localSheetId="3">#REF!</definedName>
    <definedName name="CUSTOM1_FV2_P03__Damp_Proofing" localSheetId="5">#REF!</definedName>
    <definedName name="CUSTOM1_FV2_P03__Damp_Proofing">#REF!</definedName>
    <definedName name="CUSTOM1_FV2_P03__Damp_Proofing___Omission" localSheetId="2">#REF!</definedName>
    <definedName name="CUSTOM1_FV2_P03__Damp_Proofing___Omission" localSheetId="1">#REF!</definedName>
    <definedName name="CUSTOM1_FV2_P03__Damp_Proofing___Omission" localSheetId="0">#REF!</definedName>
    <definedName name="CUSTOM1_FV2_P03__Damp_Proofing___Omission" localSheetId="4">#REF!</definedName>
    <definedName name="CUSTOM1_FV2_P03__Damp_Proofing___Omission" localSheetId="3">#REF!</definedName>
    <definedName name="CUSTOM1_FV2_P03__Damp_Proofing___Omission" localSheetId="5">#REF!</definedName>
    <definedName name="CUSTOM1_FV2_P03__Damp_Proofing___Omission">#REF!</definedName>
    <definedName name="CUSTOM1_FV2_P04__Damp_Proofing" localSheetId="2">#REF!</definedName>
    <definedName name="CUSTOM1_FV2_P04__Damp_Proofing" localSheetId="1">#REF!</definedName>
    <definedName name="CUSTOM1_FV2_P04__Damp_Proofing" localSheetId="0">#REF!</definedName>
    <definedName name="CUSTOM1_FV2_P04__Damp_Proofing" localSheetId="4">#REF!</definedName>
    <definedName name="CUSTOM1_FV2_P04__Damp_Proofing" localSheetId="3">#REF!</definedName>
    <definedName name="CUSTOM1_FV2_P04__Damp_Proofing" localSheetId="5">#REF!</definedName>
    <definedName name="CUSTOM1_FV2_P04__Damp_Proofing">#REF!</definedName>
    <definedName name="CUSTOM1_FV2_P04__Damp_Proofing___Omission" localSheetId="2">#REF!</definedName>
    <definedName name="CUSTOM1_FV2_P04__Damp_Proofing___Omission" localSheetId="1">#REF!</definedName>
    <definedName name="CUSTOM1_FV2_P04__Damp_Proofing___Omission" localSheetId="0">#REF!</definedName>
    <definedName name="CUSTOM1_FV2_P04__Damp_Proofing___Omission" localSheetId="4">#REF!</definedName>
    <definedName name="CUSTOM1_FV2_P04__Damp_Proofing___Omission" localSheetId="3">#REF!</definedName>
    <definedName name="CUSTOM1_FV2_P04__Damp_Proofing___Omission" localSheetId="5">#REF!</definedName>
    <definedName name="CUSTOM1_FV2_P04__Damp_Proofing___Omission">#REF!</definedName>
    <definedName name="CUSTOM1_FV2_P05__Damp_Proofing" localSheetId="2">#REF!</definedName>
    <definedName name="CUSTOM1_FV2_P05__Damp_Proofing" localSheetId="1">#REF!</definedName>
    <definedName name="CUSTOM1_FV2_P05__Damp_Proofing" localSheetId="0">#REF!</definedName>
    <definedName name="CUSTOM1_FV2_P05__Damp_Proofing" localSheetId="4">#REF!</definedName>
    <definedName name="CUSTOM1_FV2_P05__Damp_Proofing" localSheetId="3">#REF!</definedName>
    <definedName name="CUSTOM1_FV2_P05__Damp_Proofing" localSheetId="5">#REF!</definedName>
    <definedName name="CUSTOM1_FV2_P05__Damp_Proofing">#REF!</definedName>
    <definedName name="CUSTOM1_FV2_P05__Damp_Proofing___Omission" localSheetId="2">#REF!</definedName>
    <definedName name="CUSTOM1_FV2_P05__Damp_Proofing___Omission" localSheetId="1">#REF!</definedName>
    <definedName name="CUSTOM1_FV2_P05__Damp_Proofing___Omission" localSheetId="0">#REF!</definedName>
    <definedName name="CUSTOM1_FV2_P05__Damp_Proofing___Omission" localSheetId="4">#REF!</definedName>
    <definedName name="CUSTOM1_FV2_P05__Damp_Proofing___Omission" localSheetId="3">#REF!</definedName>
    <definedName name="CUSTOM1_FV2_P05__Damp_Proofing___Omission" localSheetId="5">#REF!</definedName>
    <definedName name="CUSTOM1_FV2_P05__Damp_Proofing___Omission">#REF!</definedName>
    <definedName name="CUSTOM1_FV2_P06__Damp_Proofing" localSheetId="2">#REF!</definedName>
    <definedName name="CUSTOM1_FV2_P06__Damp_Proofing" localSheetId="1">#REF!</definedName>
    <definedName name="CUSTOM1_FV2_P06__Damp_Proofing" localSheetId="0">#REF!</definedName>
    <definedName name="CUSTOM1_FV2_P06__Damp_Proofing" localSheetId="4">#REF!</definedName>
    <definedName name="CUSTOM1_FV2_P06__Damp_Proofing" localSheetId="3">#REF!</definedName>
    <definedName name="CUSTOM1_FV2_P06__Damp_Proofing" localSheetId="5">#REF!</definedName>
    <definedName name="CUSTOM1_FV2_P06__Damp_Proofing">#REF!</definedName>
    <definedName name="CUSTOM1_FV2_P06__Damp_Proofing___Omission" localSheetId="2">#REF!</definedName>
    <definedName name="CUSTOM1_FV2_P06__Damp_Proofing___Omission" localSheetId="1">#REF!</definedName>
    <definedName name="CUSTOM1_FV2_P06__Damp_Proofing___Omission" localSheetId="0">#REF!</definedName>
    <definedName name="CUSTOM1_FV2_P06__Damp_Proofing___Omission" localSheetId="4">#REF!</definedName>
    <definedName name="CUSTOM1_FV2_P06__Damp_Proofing___Omission" localSheetId="3">#REF!</definedName>
    <definedName name="CUSTOM1_FV2_P06__Damp_Proofing___Omission" localSheetId="5">#REF!</definedName>
    <definedName name="CUSTOM1_FV2_P06__Damp_Proofing___Omission">#REF!</definedName>
    <definedName name="CUSTOM1_FV2_P07__Damp_Proofing" localSheetId="2">#REF!</definedName>
    <definedName name="CUSTOM1_FV2_P07__Damp_Proofing" localSheetId="1">#REF!</definedName>
    <definedName name="CUSTOM1_FV2_P07__Damp_Proofing" localSheetId="0">#REF!</definedName>
    <definedName name="CUSTOM1_FV2_P07__Damp_Proofing" localSheetId="4">#REF!</definedName>
    <definedName name="CUSTOM1_FV2_P07__Damp_Proofing" localSheetId="3">#REF!</definedName>
    <definedName name="CUSTOM1_FV2_P07__Damp_Proofing" localSheetId="5">#REF!</definedName>
    <definedName name="CUSTOM1_FV2_P07__Damp_Proofing">#REF!</definedName>
    <definedName name="CUSTOM1_FV2_P07__Damp_Proofing___Omission" localSheetId="2">#REF!</definedName>
    <definedName name="CUSTOM1_FV2_P07__Damp_Proofing___Omission" localSheetId="1">#REF!</definedName>
    <definedName name="CUSTOM1_FV2_P07__Damp_Proofing___Omission" localSheetId="0">#REF!</definedName>
    <definedName name="CUSTOM1_FV2_P07__Damp_Proofing___Omission" localSheetId="4">#REF!</definedName>
    <definedName name="CUSTOM1_FV2_P07__Damp_Proofing___Omission" localSheetId="3">#REF!</definedName>
    <definedName name="CUSTOM1_FV2_P07__Damp_Proofing___Omission" localSheetId="5">#REF!</definedName>
    <definedName name="CUSTOM1_FV2_P07__Damp_Proofing___Omission">#REF!</definedName>
    <definedName name="CUSTOM1_FV2_P08__Damp_Proofing" localSheetId="2">#REF!</definedName>
    <definedName name="CUSTOM1_FV2_P08__Damp_Proofing" localSheetId="1">#REF!</definedName>
    <definedName name="CUSTOM1_FV2_P08__Damp_Proofing" localSheetId="0">#REF!</definedName>
    <definedName name="CUSTOM1_FV2_P08__Damp_Proofing" localSheetId="4">#REF!</definedName>
    <definedName name="CUSTOM1_FV2_P08__Damp_Proofing" localSheetId="3">#REF!</definedName>
    <definedName name="CUSTOM1_FV2_P08__Damp_Proofing" localSheetId="5">#REF!</definedName>
    <definedName name="CUSTOM1_FV2_P08__Damp_Proofing">#REF!</definedName>
    <definedName name="CUSTOM1_FV2_P08__Damp_Proofing___Omission" localSheetId="2">#REF!</definedName>
    <definedName name="CUSTOM1_FV2_P08__Damp_Proofing___Omission" localSheetId="1">#REF!</definedName>
    <definedName name="CUSTOM1_FV2_P08__Damp_Proofing___Omission" localSheetId="0">#REF!</definedName>
    <definedName name="CUSTOM1_FV2_P08__Damp_Proofing___Omission" localSheetId="4">#REF!</definedName>
    <definedName name="CUSTOM1_FV2_P08__Damp_Proofing___Omission" localSheetId="3">#REF!</definedName>
    <definedName name="CUSTOM1_FV2_P08__Damp_Proofing___Omission" localSheetId="5">#REF!</definedName>
    <definedName name="CUSTOM1_FV2_P08__Damp_Proofing___Omission">#REF!</definedName>
    <definedName name="CUSTOM1_FV2_P09__Damp_Proofing" localSheetId="2">#REF!</definedName>
    <definedName name="CUSTOM1_FV2_P09__Damp_Proofing" localSheetId="1">#REF!</definedName>
    <definedName name="CUSTOM1_FV2_P09__Damp_Proofing" localSheetId="0">#REF!</definedName>
    <definedName name="CUSTOM1_FV2_P09__Damp_Proofing" localSheetId="4">#REF!</definedName>
    <definedName name="CUSTOM1_FV2_P09__Damp_Proofing" localSheetId="3">#REF!</definedName>
    <definedName name="CUSTOM1_FV2_P09__Damp_Proofing" localSheetId="5">#REF!</definedName>
    <definedName name="CUSTOM1_FV2_P09__Damp_Proofing">#REF!</definedName>
    <definedName name="CUSTOM1_FV2_P10__Damp_Proofing" localSheetId="2">#REF!</definedName>
    <definedName name="CUSTOM1_FV2_P10__Damp_Proofing" localSheetId="1">#REF!</definedName>
    <definedName name="CUSTOM1_FV2_P10__Damp_Proofing" localSheetId="0">#REF!</definedName>
    <definedName name="CUSTOM1_FV2_P10__Damp_Proofing" localSheetId="4">#REF!</definedName>
    <definedName name="CUSTOM1_FV2_P10__Damp_Proofing" localSheetId="3">#REF!</definedName>
    <definedName name="CUSTOM1_FV2_P10__Damp_Proofing" localSheetId="5">#REF!</definedName>
    <definedName name="CUSTOM1_FV2_P10__Damp_Proofing">#REF!</definedName>
    <definedName name="CUSTOM1_FV3_GF__Damp_Proofing" localSheetId="2">#REF!</definedName>
    <definedName name="CUSTOM1_FV3_GF__Damp_Proofing" localSheetId="1">#REF!</definedName>
    <definedName name="CUSTOM1_FV3_GF__Damp_Proofing" localSheetId="0">#REF!</definedName>
    <definedName name="CUSTOM1_FV3_GF__Damp_Proofing" localSheetId="4">#REF!</definedName>
    <definedName name="CUSTOM1_FV3_GF__Damp_Proofing" localSheetId="3">#REF!</definedName>
    <definedName name="CUSTOM1_FV3_GF__Damp_Proofing" localSheetId="5">#REF!</definedName>
    <definedName name="CUSTOM1_FV3_GF__Damp_Proofing">#REF!</definedName>
    <definedName name="CUSTOM1_FV3_Mez__Damp_Proofing" localSheetId="2">#REF!</definedName>
    <definedName name="CUSTOM1_FV3_Mez__Damp_Proofing" localSheetId="1">#REF!</definedName>
    <definedName name="CUSTOM1_FV3_Mez__Damp_Proofing" localSheetId="0">#REF!</definedName>
    <definedName name="CUSTOM1_FV3_Mez__Damp_Proofing" localSheetId="4">#REF!</definedName>
    <definedName name="CUSTOM1_FV3_Mez__Damp_Proofing" localSheetId="3">#REF!</definedName>
    <definedName name="CUSTOM1_FV3_Mez__Damp_Proofing" localSheetId="5">#REF!</definedName>
    <definedName name="CUSTOM1_FV3_Mez__Damp_Proofing">#REF!</definedName>
    <definedName name="CUSTOM1_FV3_P02__Damp_Proofing" localSheetId="2">#REF!</definedName>
    <definedName name="CUSTOM1_FV3_P02__Damp_Proofing" localSheetId="1">#REF!</definedName>
    <definedName name="CUSTOM1_FV3_P02__Damp_Proofing" localSheetId="0">#REF!</definedName>
    <definedName name="CUSTOM1_FV3_P02__Damp_Proofing" localSheetId="4">#REF!</definedName>
    <definedName name="CUSTOM1_FV3_P02__Damp_Proofing" localSheetId="3">#REF!</definedName>
    <definedName name="CUSTOM1_FV3_P02__Damp_Proofing" localSheetId="5">#REF!</definedName>
    <definedName name="CUSTOM1_FV3_P02__Damp_Proofing">#REF!</definedName>
    <definedName name="CUSTOM1_FV3_P02__Damp_Proofing___Omission" localSheetId="2">#REF!</definedName>
    <definedName name="CUSTOM1_FV3_P02__Damp_Proofing___Omission" localSheetId="1">#REF!</definedName>
    <definedName name="CUSTOM1_FV3_P02__Damp_Proofing___Omission" localSheetId="0">#REF!</definedName>
    <definedName name="CUSTOM1_FV3_P02__Damp_Proofing___Omission" localSheetId="4">#REF!</definedName>
    <definedName name="CUSTOM1_FV3_P02__Damp_Proofing___Omission" localSheetId="3">#REF!</definedName>
    <definedName name="CUSTOM1_FV3_P02__Damp_Proofing___Omission" localSheetId="5">#REF!</definedName>
    <definedName name="CUSTOM1_FV3_P02__Damp_Proofing___Omission">#REF!</definedName>
    <definedName name="CUSTOM1_FV3_P03__Damp_Proofing___Omission" localSheetId="2">#REF!</definedName>
    <definedName name="CUSTOM1_FV3_P03__Damp_Proofing___Omission" localSheetId="1">#REF!</definedName>
    <definedName name="CUSTOM1_FV3_P03__Damp_Proofing___Omission" localSheetId="0">#REF!</definedName>
    <definedName name="CUSTOM1_FV3_P03__Damp_Proofing___Omission" localSheetId="4">#REF!</definedName>
    <definedName name="CUSTOM1_FV3_P03__Damp_Proofing___Omission" localSheetId="3">#REF!</definedName>
    <definedName name="CUSTOM1_FV3_P03__Damp_Proofing___Omission" localSheetId="5">#REF!</definedName>
    <definedName name="CUSTOM1_FV3_P03__Damp_Proofing___Omission">#REF!</definedName>
    <definedName name="CUSTOM1_FV3_P04__Damp_Proofing___Omission" localSheetId="2">#REF!</definedName>
    <definedName name="CUSTOM1_FV3_P04__Damp_Proofing___Omission" localSheetId="1">#REF!</definedName>
    <definedName name="CUSTOM1_FV3_P04__Damp_Proofing___Omission" localSheetId="0">#REF!</definedName>
    <definedName name="CUSTOM1_FV3_P04__Damp_Proofing___Omission" localSheetId="4">#REF!</definedName>
    <definedName name="CUSTOM1_FV3_P04__Damp_Proofing___Omission" localSheetId="3">#REF!</definedName>
    <definedName name="CUSTOM1_FV3_P04__Damp_Proofing___Omission" localSheetId="5">#REF!</definedName>
    <definedName name="CUSTOM1_FV3_P04__Damp_Proofing___Omission">#REF!</definedName>
    <definedName name="CUSTOM1_FV3_P05__Damp_Proofing___Omission" localSheetId="2">#REF!</definedName>
    <definedName name="CUSTOM1_FV3_P05__Damp_Proofing___Omission" localSheetId="1">#REF!</definedName>
    <definedName name="CUSTOM1_FV3_P05__Damp_Proofing___Omission" localSheetId="0">#REF!</definedName>
    <definedName name="CUSTOM1_FV3_P05__Damp_Proofing___Omission" localSheetId="4">#REF!</definedName>
    <definedName name="CUSTOM1_FV3_P05__Damp_Proofing___Omission" localSheetId="3">#REF!</definedName>
    <definedName name="CUSTOM1_FV3_P05__Damp_Proofing___Omission" localSheetId="5">#REF!</definedName>
    <definedName name="CUSTOM1_FV3_P05__Damp_Proofing___Omission">#REF!</definedName>
    <definedName name="CUSTOM1_FV3_P06__Damp_Proofing___Omission" localSheetId="2">#REF!</definedName>
    <definedName name="CUSTOM1_FV3_P06__Damp_Proofing___Omission" localSheetId="1">#REF!</definedName>
    <definedName name="CUSTOM1_FV3_P06__Damp_Proofing___Omission" localSheetId="0">#REF!</definedName>
    <definedName name="CUSTOM1_FV3_P06__Damp_Proofing___Omission" localSheetId="4">#REF!</definedName>
    <definedName name="CUSTOM1_FV3_P06__Damp_Proofing___Omission" localSheetId="3">#REF!</definedName>
    <definedName name="CUSTOM1_FV3_P06__Damp_Proofing___Omission" localSheetId="5">#REF!</definedName>
    <definedName name="CUSTOM1_FV3_P06__Damp_Proofing___Omission">#REF!</definedName>
    <definedName name="CUSTOM1_FV3_P07__Damp_Proofing___Omission" localSheetId="2">#REF!</definedName>
    <definedName name="CUSTOM1_FV3_P07__Damp_Proofing___Omission" localSheetId="1">#REF!</definedName>
    <definedName name="CUSTOM1_FV3_P07__Damp_Proofing___Omission" localSheetId="0">#REF!</definedName>
    <definedName name="CUSTOM1_FV3_P07__Damp_Proofing___Omission" localSheetId="4">#REF!</definedName>
    <definedName name="CUSTOM1_FV3_P07__Damp_Proofing___Omission" localSheetId="3">#REF!</definedName>
    <definedName name="CUSTOM1_FV3_P07__Damp_Proofing___Omission" localSheetId="5">#REF!</definedName>
    <definedName name="CUSTOM1_FV3_P07__Damp_Proofing___Omission">#REF!</definedName>
    <definedName name="CUSTOM1_FV3_P08__Damp_Proofing___Omission" localSheetId="2">#REF!</definedName>
    <definedName name="CUSTOM1_FV3_P08__Damp_Proofing___Omission" localSheetId="1">#REF!</definedName>
    <definedName name="CUSTOM1_FV3_P08__Damp_Proofing___Omission" localSheetId="0">#REF!</definedName>
    <definedName name="CUSTOM1_FV3_P08__Damp_Proofing___Omission" localSheetId="4">#REF!</definedName>
    <definedName name="CUSTOM1_FV3_P08__Damp_Proofing___Omission" localSheetId="3">#REF!</definedName>
    <definedName name="CUSTOM1_FV3_P08__Damp_Proofing___Omission" localSheetId="5">#REF!</definedName>
    <definedName name="CUSTOM1_FV3_P08__Damp_Proofing___Omission">#REF!</definedName>
    <definedName name="CUSTOM1_FV3_P09__Damp_Proofing" localSheetId="2">#REF!</definedName>
    <definedName name="CUSTOM1_FV3_P09__Damp_Proofing" localSheetId="1">#REF!</definedName>
    <definedName name="CUSTOM1_FV3_P09__Damp_Proofing" localSheetId="0">#REF!</definedName>
    <definedName name="CUSTOM1_FV3_P09__Damp_Proofing" localSheetId="4">#REF!</definedName>
    <definedName name="CUSTOM1_FV3_P09__Damp_Proofing" localSheetId="3">#REF!</definedName>
    <definedName name="CUSTOM1_FV3_P09__Damp_Proofing" localSheetId="5">#REF!</definedName>
    <definedName name="CUSTOM1_FV3_P09__Damp_Proofing">#REF!</definedName>
    <definedName name="CUSTOM1_FV3_P09__Damp_Proofing___Omission" localSheetId="2">#REF!</definedName>
    <definedName name="CUSTOM1_FV3_P09__Damp_Proofing___Omission" localSheetId="1">#REF!</definedName>
    <definedName name="CUSTOM1_FV3_P09__Damp_Proofing___Omission" localSheetId="0">#REF!</definedName>
    <definedName name="CUSTOM1_FV3_P09__Damp_Proofing___Omission" localSheetId="4">#REF!</definedName>
    <definedName name="CUSTOM1_FV3_P09__Damp_Proofing___Omission" localSheetId="3">#REF!</definedName>
    <definedName name="CUSTOM1_FV3_P09__Damp_Proofing___Omission" localSheetId="5">#REF!</definedName>
    <definedName name="CUSTOM1_FV3_P09__Damp_Proofing___Omission">#REF!</definedName>
    <definedName name="CUSTOM1_FV3_P10__Damp_Proofing" localSheetId="2">#REF!</definedName>
    <definedName name="CUSTOM1_FV3_P10__Damp_Proofing" localSheetId="1">#REF!</definedName>
    <definedName name="CUSTOM1_FV3_P10__Damp_Proofing" localSheetId="0">#REF!</definedName>
    <definedName name="CUSTOM1_FV3_P10__Damp_Proofing" localSheetId="4">#REF!</definedName>
    <definedName name="CUSTOM1_FV3_P10__Damp_Proofing" localSheetId="3">#REF!</definedName>
    <definedName name="CUSTOM1_FV3_P10__Damp_Proofing" localSheetId="5">#REF!</definedName>
    <definedName name="CUSTOM1_FV3_P10__Damp_Proofing">#REF!</definedName>
    <definedName name="CUSTOM2_FV1_GF__Damp_Proofing" localSheetId="2">#REF!</definedName>
    <definedName name="CUSTOM2_FV1_GF__Damp_Proofing" localSheetId="1">#REF!</definedName>
    <definedName name="CUSTOM2_FV1_GF__Damp_Proofing" localSheetId="0">#REF!</definedName>
    <definedName name="CUSTOM2_FV1_GF__Damp_Proofing" localSheetId="4">#REF!</definedName>
    <definedName name="CUSTOM2_FV1_GF__Damp_Proofing" localSheetId="3">#REF!</definedName>
    <definedName name="CUSTOM2_FV1_GF__Damp_Proofing" localSheetId="5">#REF!</definedName>
    <definedName name="CUSTOM2_FV1_GF__Damp_Proofing">#REF!</definedName>
    <definedName name="CUSTOM2_FV1_Mez__Damp_Proofing" localSheetId="2">#REF!</definedName>
    <definedName name="CUSTOM2_FV1_Mez__Damp_Proofing" localSheetId="1">#REF!</definedName>
    <definedName name="CUSTOM2_FV1_Mez__Damp_Proofing" localSheetId="0">#REF!</definedName>
    <definedName name="CUSTOM2_FV1_Mez__Damp_Proofing" localSheetId="4">#REF!</definedName>
    <definedName name="CUSTOM2_FV1_Mez__Damp_Proofing" localSheetId="3">#REF!</definedName>
    <definedName name="CUSTOM2_FV1_Mez__Damp_Proofing" localSheetId="5">#REF!</definedName>
    <definedName name="CUSTOM2_FV1_Mez__Damp_Proofing">#REF!</definedName>
    <definedName name="CUSTOM2_FV1_P01__Damp_Proofing" localSheetId="2">#REF!</definedName>
    <definedName name="CUSTOM2_FV1_P01__Damp_Proofing" localSheetId="1">#REF!</definedName>
    <definedName name="CUSTOM2_FV1_P01__Damp_Proofing" localSheetId="0">#REF!</definedName>
    <definedName name="CUSTOM2_FV1_P01__Damp_Proofing" localSheetId="4">#REF!</definedName>
    <definedName name="CUSTOM2_FV1_P01__Damp_Proofing" localSheetId="3">#REF!</definedName>
    <definedName name="CUSTOM2_FV1_P01__Damp_Proofing" localSheetId="5">#REF!</definedName>
    <definedName name="CUSTOM2_FV1_P01__Damp_Proofing">#REF!</definedName>
    <definedName name="CUSTOM2_FV1_P02__Damp_Proofing___Omission" localSheetId="2">#REF!</definedName>
    <definedName name="CUSTOM2_FV1_P02__Damp_Proofing___Omission" localSheetId="1">#REF!</definedName>
    <definedName name="CUSTOM2_FV1_P02__Damp_Proofing___Omission" localSheetId="0">#REF!</definedName>
    <definedName name="CUSTOM2_FV1_P02__Damp_Proofing___Omission" localSheetId="4">#REF!</definedName>
    <definedName name="CUSTOM2_FV1_P02__Damp_Proofing___Omission" localSheetId="3">#REF!</definedName>
    <definedName name="CUSTOM2_FV1_P02__Damp_Proofing___Omission" localSheetId="5">#REF!</definedName>
    <definedName name="CUSTOM2_FV1_P02__Damp_Proofing___Omission">#REF!</definedName>
    <definedName name="CUSTOM2_FV1_P03__Damp_Proofing___Omission" localSheetId="2">#REF!</definedName>
    <definedName name="CUSTOM2_FV1_P03__Damp_Proofing___Omission" localSheetId="1">#REF!</definedName>
    <definedName name="CUSTOM2_FV1_P03__Damp_Proofing___Omission" localSheetId="0">#REF!</definedName>
    <definedName name="CUSTOM2_FV1_P03__Damp_Proofing___Omission" localSheetId="4">#REF!</definedName>
    <definedName name="CUSTOM2_FV1_P03__Damp_Proofing___Omission" localSheetId="3">#REF!</definedName>
    <definedName name="CUSTOM2_FV1_P03__Damp_Proofing___Omission" localSheetId="5">#REF!</definedName>
    <definedName name="CUSTOM2_FV1_P03__Damp_Proofing___Omission">#REF!</definedName>
    <definedName name="CUSTOM2_FV1_P04__Damp_Proofing___Omission" localSheetId="2">#REF!</definedName>
    <definedName name="CUSTOM2_FV1_P04__Damp_Proofing___Omission" localSheetId="1">#REF!</definedName>
    <definedName name="CUSTOM2_FV1_P04__Damp_Proofing___Omission" localSheetId="0">#REF!</definedName>
    <definedName name="CUSTOM2_FV1_P04__Damp_Proofing___Omission" localSheetId="4">#REF!</definedName>
    <definedName name="CUSTOM2_FV1_P04__Damp_Proofing___Omission" localSheetId="3">#REF!</definedName>
    <definedName name="CUSTOM2_FV1_P04__Damp_Proofing___Omission" localSheetId="5">#REF!</definedName>
    <definedName name="CUSTOM2_FV1_P04__Damp_Proofing___Omission">#REF!</definedName>
    <definedName name="CUSTOM2_FV1_P05__Damp_Proofing___Omission" localSheetId="2">#REF!</definedName>
    <definedName name="CUSTOM2_FV1_P05__Damp_Proofing___Omission" localSheetId="1">#REF!</definedName>
    <definedName name="CUSTOM2_FV1_P05__Damp_Proofing___Omission" localSheetId="0">#REF!</definedName>
    <definedName name="CUSTOM2_FV1_P05__Damp_Proofing___Omission" localSheetId="4">#REF!</definedName>
    <definedName name="CUSTOM2_FV1_P05__Damp_Proofing___Omission" localSheetId="3">#REF!</definedName>
    <definedName name="CUSTOM2_FV1_P05__Damp_Proofing___Omission" localSheetId="5">#REF!</definedName>
    <definedName name="CUSTOM2_FV1_P05__Damp_Proofing___Omission">#REF!</definedName>
    <definedName name="CUSTOM2_FV1_P10__Damp_Proofing" localSheetId="2">#REF!</definedName>
    <definedName name="CUSTOM2_FV1_P10__Damp_Proofing" localSheetId="1">#REF!</definedName>
    <definedName name="CUSTOM2_FV1_P10__Damp_Proofing" localSheetId="0">#REF!</definedName>
    <definedName name="CUSTOM2_FV1_P10__Damp_Proofing" localSheetId="4">#REF!</definedName>
    <definedName name="CUSTOM2_FV1_P10__Damp_Proofing" localSheetId="3">#REF!</definedName>
    <definedName name="CUSTOM2_FV1_P10__Damp_Proofing" localSheetId="5">#REF!</definedName>
    <definedName name="CUSTOM2_FV1_P10__Damp_Proofing">#REF!</definedName>
    <definedName name="CUSTOM2_FV2_GF__Damp_Proofing" localSheetId="2">#REF!</definedName>
    <definedName name="CUSTOM2_FV2_GF__Damp_Proofing" localSheetId="1">#REF!</definedName>
    <definedName name="CUSTOM2_FV2_GF__Damp_Proofing" localSheetId="0">#REF!</definedName>
    <definedName name="CUSTOM2_FV2_GF__Damp_Proofing" localSheetId="4">#REF!</definedName>
    <definedName name="CUSTOM2_FV2_GF__Damp_Proofing" localSheetId="3">#REF!</definedName>
    <definedName name="CUSTOM2_FV2_GF__Damp_Proofing" localSheetId="5">#REF!</definedName>
    <definedName name="CUSTOM2_FV2_GF__Damp_Proofing">#REF!</definedName>
    <definedName name="CUSTOM2_FV2_Mez__Damp_Proofing" localSheetId="2">#REF!</definedName>
    <definedName name="CUSTOM2_FV2_Mez__Damp_Proofing" localSheetId="1">#REF!</definedName>
    <definedName name="CUSTOM2_FV2_Mez__Damp_Proofing" localSheetId="0">#REF!</definedName>
    <definedName name="CUSTOM2_FV2_Mez__Damp_Proofing" localSheetId="4">#REF!</definedName>
    <definedName name="CUSTOM2_FV2_Mez__Damp_Proofing" localSheetId="3">#REF!</definedName>
    <definedName name="CUSTOM2_FV2_Mez__Damp_Proofing" localSheetId="5">#REF!</definedName>
    <definedName name="CUSTOM2_FV2_Mez__Damp_Proofing">#REF!</definedName>
    <definedName name="CUSTOM2_FV2_P01__Damp_Proofing" localSheetId="2">#REF!</definedName>
    <definedName name="CUSTOM2_FV2_P01__Damp_Proofing" localSheetId="1">#REF!</definedName>
    <definedName name="CUSTOM2_FV2_P01__Damp_Proofing" localSheetId="0">#REF!</definedName>
    <definedName name="CUSTOM2_FV2_P01__Damp_Proofing" localSheetId="4">#REF!</definedName>
    <definedName name="CUSTOM2_FV2_P01__Damp_Proofing" localSheetId="3">#REF!</definedName>
    <definedName name="CUSTOM2_FV2_P01__Damp_Proofing" localSheetId="5">#REF!</definedName>
    <definedName name="CUSTOM2_FV2_P01__Damp_Proofing">#REF!</definedName>
    <definedName name="CUSTOM2_FV2_P02__Damp_Proofing" localSheetId="2">#REF!</definedName>
    <definedName name="CUSTOM2_FV2_P02__Damp_Proofing" localSheetId="1">#REF!</definedName>
    <definedName name="CUSTOM2_FV2_P02__Damp_Proofing" localSheetId="0">#REF!</definedName>
    <definedName name="CUSTOM2_FV2_P02__Damp_Proofing" localSheetId="4">#REF!</definedName>
    <definedName name="CUSTOM2_FV2_P02__Damp_Proofing" localSheetId="3">#REF!</definedName>
    <definedName name="CUSTOM2_FV2_P02__Damp_Proofing" localSheetId="5">#REF!</definedName>
    <definedName name="CUSTOM2_FV2_P02__Damp_Proofing">#REF!</definedName>
    <definedName name="CUSTOM2_FV2_P02__Damp_Proofing___Omission" localSheetId="2">#REF!</definedName>
    <definedName name="CUSTOM2_FV2_P02__Damp_Proofing___Omission" localSheetId="1">#REF!</definedName>
    <definedName name="CUSTOM2_FV2_P02__Damp_Proofing___Omission" localSheetId="0">#REF!</definedName>
    <definedName name="CUSTOM2_FV2_P02__Damp_Proofing___Omission" localSheetId="4">#REF!</definedName>
    <definedName name="CUSTOM2_FV2_P02__Damp_Proofing___Omission" localSheetId="3">#REF!</definedName>
    <definedName name="CUSTOM2_FV2_P02__Damp_Proofing___Omission" localSheetId="5">#REF!</definedName>
    <definedName name="CUSTOM2_FV2_P02__Damp_Proofing___Omission">#REF!</definedName>
    <definedName name="CUSTOM2_FV2_P03__Damp_Proofing" localSheetId="2">#REF!</definedName>
    <definedName name="CUSTOM2_FV2_P03__Damp_Proofing" localSheetId="1">#REF!</definedName>
    <definedName name="CUSTOM2_FV2_P03__Damp_Proofing" localSheetId="0">#REF!</definedName>
    <definedName name="CUSTOM2_FV2_P03__Damp_Proofing" localSheetId="4">#REF!</definedName>
    <definedName name="CUSTOM2_FV2_P03__Damp_Proofing" localSheetId="3">#REF!</definedName>
    <definedName name="CUSTOM2_FV2_P03__Damp_Proofing" localSheetId="5">#REF!</definedName>
    <definedName name="CUSTOM2_FV2_P03__Damp_Proofing">#REF!</definedName>
    <definedName name="CUSTOM2_FV2_P03__Damp_Proofing___Omission" localSheetId="2">#REF!</definedName>
    <definedName name="CUSTOM2_FV2_P03__Damp_Proofing___Omission" localSheetId="1">#REF!</definedName>
    <definedName name="CUSTOM2_FV2_P03__Damp_Proofing___Omission" localSheetId="0">#REF!</definedName>
    <definedName name="CUSTOM2_FV2_P03__Damp_Proofing___Omission" localSheetId="4">#REF!</definedName>
    <definedName name="CUSTOM2_FV2_P03__Damp_Proofing___Omission" localSheetId="3">#REF!</definedName>
    <definedName name="CUSTOM2_FV2_P03__Damp_Proofing___Omission" localSheetId="5">#REF!</definedName>
    <definedName name="CUSTOM2_FV2_P03__Damp_Proofing___Omission">#REF!</definedName>
    <definedName name="CUSTOM2_FV2_P04__Damp_Proofing" localSheetId="2">#REF!</definedName>
    <definedName name="CUSTOM2_FV2_P04__Damp_Proofing" localSheetId="1">#REF!</definedName>
    <definedName name="CUSTOM2_FV2_P04__Damp_Proofing" localSheetId="0">#REF!</definedName>
    <definedName name="CUSTOM2_FV2_P04__Damp_Proofing" localSheetId="4">#REF!</definedName>
    <definedName name="CUSTOM2_FV2_P04__Damp_Proofing" localSheetId="3">#REF!</definedName>
    <definedName name="CUSTOM2_FV2_P04__Damp_Proofing" localSheetId="5">#REF!</definedName>
    <definedName name="CUSTOM2_FV2_P04__Damp_Proofing">#REF!</definedName>
    <definedName name="CUSTOM2_FV2_P04__Damp_Proofing___Omission" localSheetId="2">#REF!</definedName>
    <definedName name="CUSTOM2_FV2_P04__Damp_Proofing___Omission" localSheetId="1">#REF!</definedName>
    <definedName name="CUSTOM2_FV2_P04__Damp_Proofing___Omission" localSheetId="0">#REF!</definedName>
    <definedName name="CUSTOM2_FV2_P04__Damp_Proofing___Omission" localSheetId="4">#REF!</definedName>
    <definedName name="CUSTOM2_FV2_P04__Damp_Proofing___Omission" localSheetId="3">#REF!</definedName>
    <definedName name="CUSTOM2_FV2_P04__Damp_Proofing___Omission" localSheetId="5">#REF!</definedName>
    <definedName name="CUSTOM2_FV2_P04__Damp_Proofing___Omission">#REF!</definedName>
    <definedName name="CUSTOM2_FV2_P05__Damp_Proofing" localSheetId="2">#REF!</definedName>
    <definedName name="CUSTOM2_FV2_P05__Damp_Proofing" localSheetId="1">#REF!</definedName>
    <definedName name="CUSTOM2_FV2_P05__Damp_Proofing" localSheetId="0">#REF!</definedName>
    <definedName name="CUSTOM2_FV2_P05__Damp_Proofing" localSheetId="4">#REF!</definedName>
    <definedName name="CUSTOM2_FV2_P05__Damp_Proofing" localSheetId="3">#REF!</definedName>
    <definedName name="CUSTOM2_FV2_P05__Damp_Proofing" localSheetId="5">#REF!</definedName>
    <definedName name="CUSTOM2_FV2_P05__Damp_Proofing">#REF!</definedName>
    <definedName name="CUSTOM2_FV2_P05__Damp_Proofing___Omission" localSheetId="2">#REF!</definedName>
    <definedName name="CUSTOM2_FV2_P05__Damp_Proofing___Omission" localSheetId="1">#REF!</definedName>
    <definedName name="CUSTOM2_FV2_P05__Damp_Proofing___Omission" localSheetId="0">#REF!</definedName>
    <definedName name="CUSTOM2_FV2_P05__Damp_Proofing___Omission" localSheetId="4">#REF!</definedName>
    <definedName name="CUSTOM2_FV2_P05__Damp_Proofing___Omission" localSheetId="3">#REF!</definedName>
    <definedName name="CUSTOM2_FV2_P05__Damp_Proofing___Omission" localSheetId="5">#REF!</definedName>
    <definedName name="CUSTOM2_FV2_P05__Damp_Proofing___Omission">#REF!</definedName>
    <definedName name="CUSTOM2_FV2_P06__Damp_Proofing" localSheetId="2">#REF!</definedName>
    <definedName name="CUSTOM2_FV2_P06__Damp_Proofing" localSheetId="1">#REF!</definedName>
    <definedName name="CUSTOM2_FV2_P06__Damp_Proofing" localSheetId="0">#REF!</definedName>
    <definedName name="CUSTOM2_FV2_P06__Damp_Proofing" localSheetId="4">#REF!</definedName>
    <definedName name="CUSTOM2_FV2_P06__Damp_Proofing" localSheetId="3">#REF!</definedName>
    <definedName name="CUSTOM2_FV2_P06__Damp_Proofing" localSheetId="5">#REF!</definedName>
    <definedName name="CUSTOM2_FV2_P06__Damp_Proofing">#REF!</definedName>
    <definedName name="CUSTOM2_FV2_P06__Damp_Proofing___Omission" localSheetId="2">#REF!</definedName>
    <definedName name="CUSTOM2_FV2_P06__Damp_Proofing___Omission" localSheetId="1">#REF!</definedName>
    <definedName name="CUSTOM2_FV2_P06__Damp_Proofing___Omission" localSheetId="0">#REF!</definedName>
    <definedName name="CUSTOM2_FV2_P06__Damp_Proofing___Omission" localSheetId="4">#REF!</definedName>
    <definedName name="CUSTOM2_FV2_P06__Damp_Proofing___Omission" localSheetId="3">#REF!</definedName>
    <definedName name="CUSTOM2_FV2_P06__Damp_Proofing___Omission" localSheetId="5">#REF!</definedName>
    <definedName name="CUSTOM2_FV2_P06__Damp_Proofing___Omission">#REF!</definedName>
    <definedName name="CUSTOM2_FV2_P07__Damp_Proofing" localSheetId="2">#REF!</definedName>
    <definedName name="CUSTOM2_FV2_P07__Damp_Proofing" localSheetId="1">#REF!</definedName>
    <definedName name="CUSTOM2_FV2_P07__Damp_Proofing" localSheetId="0">#REF!</definedName>
    <definedName name="CUSTOM2_FV2_P07__Damp_Proofing" localSheetId="4">#REF!</definedName>
    <definedName name="CUSTOM2_FV2_P07__Damp_Proofing" localSheetId="3">#REF!</definedName>
    <definedName name="CUSTOM2_FV2_P07__Damp_Proofing" localSheetId="5">#REF!</definedName>
    <definedName name="CUSTOM2_FV2_P07__Damp_Proofing">#REF!</definedName>
    <definedName name="CUSTOM2_FV2_P07__Damp_Proofing___Omission" localSheetId="2">#REF!</definedName>
    <definedName name="CUSTOM2_FV2_P07__Damp_Proofing___Omission" localSheetId="1">#REF!</definedName>
    <definedName name="CUSTOM2_FV2_P07__Damp_Proofing___Omission" localSheetId="0">#REF!</definedName>
    <definedName name="CUSTOM2_FV2_P07__Damp_Proofing___Omission" localSheetId="4">#REF!</definedName>
    <definedName name="CUSTOM2_FV2_P07__Damp_Proofing___Omission" localSheetId="3">#REF!</definedName>
    <definedName name="CUSTOM2_FV2_P07__Damp_Proofing___Omission" localSheetId="5">#REF!</definedName>
    <definedName name="CUSTOM2_FV2_P07__Damp_Proofing___Omission">#REF!</definedName>
    <definedName name="CUSTOM2_FV2_P08__Damp_Proofing" localSheetId="2">#REF!</definedName>
    <definedName name="CUSTOM2_FV2_P08__Damp_Proofing" localSheetId="1">#REF!</definedName>
    <definedName name="CUSTOM2_FV2_P08__Damp_Proofing" localSheetId="0">#REF!</definedName>
    <definedName name="CUSTOM2_FV2_P08__Damp_Proofing" localSheetId="4">#REF!</definedName>
    <definedName name="CUSTOM2_FV2_P08__Damp_Proofing" localSheetId="3">#REF!</definedName>
    <definedName name="CUSTOM2_FV2_P08__Damp_Proofing" localSheetId="5">#REF!</definedName>
    <definedName name="CUSTOM2_FV2_P08__Damp_Proofing">#REF!</definedName>
    <definedName name="CUSTOM2_FV2_P08__Damp_Proofing___Omission" localSheetId="2">#REF!</definedName>
    <definedName name="CUSTOM2_FV2_P08__Damp_Proofing___Omission" localSheetId="1">#REF!</definedName>
    <definedName name="CUSTOM2_FV2_P08__Damp_Proofing___Omission" localSheetId="0">#REF!</definedName>
    <definedName name="CUSTOM2_FV2_P08__Damp_Proofing___Omission" localSheetId="4">#REF!</definedName>
    <definedName name="CUSTOM2_FV2_P08__Damp_Proofing___Omission" localSheetId="3">#REF!</definedName>
    <definedName name="CUSTOM2_FV2_P08__Damp_Proofing___Omission" localSheetId="5">#REF!</definedName>
    <definedName name="CUSTOM2_FV2_P08__Damp_Proofing___Omission">#REF!</definedName>
    <definedName name="CUSTOM2_FV2_P09__Damp_Proofing" localSheetId="2">#REF!</definedName>
    <definedName name="CUSTOM2_FV2_P09__Damp_Proofing" localSheetId="1">#REF!</definedName>
    <definedName name="CUSTOM2_FV2_P09__Damp_Proofing" localSheetId="0">#REF!</definedName>
    <definedName name="CUSTOM2_FV2_P09__Damp_Proofing" localSheetId="4">#REF!</definedName>
    <definedName name="CUSTOM2_FV2_P09__Damp_Proofing" localSheetId="3">#REF!</definedName>
    <definedName name="CUSTOM2_FV2_P09__Damp_Proofing" localSheetId="5">#REF!</definedName>
    <definedName name="CUSTOM2_FV2_P09__Damp_Proofing">#REF!</definedName>
    <definedName name="CUSTOM2_FV2_P10__Damp_Proofing" localSheetId="2">#REF!</definedName>
    <definedName name="CUSTOM2_FV2_P10__Damp_Proofing" localSheetId="1">#REF!</definedName>
    <definedName name="CUSTOM2_FV2_P10__Damp_Proofing" localSheetId="0">#REF!</definedName>
    <definedName name="CUSTOM2_FV2_P10__Damp_Proofing" localSheetId="4">#REF!</definedName>
    <definedName name="CUSTOM2_FV2_P10__Damp_Proofing" localSheetId="3">#REF!</definedName>
    <definedName name="CUSTOM2_FV2_P10__Damp_Proofing" localSheetId="5">#REF!</definedName>
    <definedName name="CUSTOM2_FV2_P10__Damp_Proofing">#REF!</definedName>
    <definedName name="CUSTOM2_FV3_GF__Damp_Proofing" localSheetId="2">#REF!</definedName>
    <definedName name="CUSTOM2_FV3_GF__Damp_Proofing" localSheetId="1">#REF!</definedName>
    <definedName name="CUSTOM2_FV3_GF__Damp_Proofing" localSheetId="0">#REF!</definedName>
    <definedName name="CUSTOM2_FV3_GF__Damp_Proofing" localSheetId="4">#REF!</definedName>
    <definedName name="CUSTOM2_FV3_GF__Damp_Proofing" localSheetId="3">#REF!</definedName>
    <definedName name="CUSTOM2_FV3_GF__Damp_Proofing" localSheetId="5">#REF!</definedName>
    <definedName name="CUSTOM2_FV3_GF__Damp_Proofing">#REF!</definedName>
    <definedName name="CUSTOM2_FV3_Mez__Damp_Proofing" localSheetId="2">#REF!</definedName>
    <definedName name="CUSTOM2_FV3_Mez__Damp_Proofing" localSheetId="1">#REF!</definedName>
    <definedName name="CUSTOM2_FV3_Mez__Damp_Proofing" localSheetId="0">#REF!</definedName>
    <definedName name="CUSTOM2_FV3_Mez__Damp_Proofing" localSheetId="4">#REF!</definedName>
    <definedName name="CUSTOM2_FV3_Mez__Damp_Proofing" localSheetId="3">#REF!</definedName>
    <definedName name="CUSTOM2_FV3_Mez__Damp_Proofing" localSheetId="5">#REF!</definedName>
    <definedName name="CUSTOM2_FV3_Mez__Damp_Proofing">#REF!</definedName>
    <definedName name="CUSTOM2_FV3_P02__Damp_Proofing" localSheetId="2">#REF!</definedName>
    <definedName name="CUSTOM2_FV3_P02__Damp_Proofing" localSheetId="1">#REF!</definedName>
    <definedName name="CUSTOM2_FV3_P02__Damp_Proofing" localSheetId="0">#REF!</definedName>
    <definedName name="CUSTOM2_FV3_P02__Damp_Proofing" localSheetId="4">#REF!</definedName>
    <definedName name="CUSTOM2_FV3_P02__Damp_Proofing" localSheetId="3">#REF!</definedName>
    <definedName name="CUSTOM2_FV3_P02__Damp_Proofing" localSheetId="5">#REF!</definedName>
    <definedName name="CUSTOM2_FV3_P02__Damp_Proofing">#REF!</definedName>
    <definedName name="CUSTOM2_FV3_P02__Damp_Proofing___Omission" localSheetId="2">#REF!</definedName>
    <definedName name="CUSTOM2_FV3_P02__Damp_Proofing___Omission" localSheetId="1">#REF!</definedName>
    <definedName name="CUSTOM2_FV3_P02__Damp_Proofing___Omission" localSheetId="0">#REF!</definedName>
    <definedName name="CUSTOM2_FV3_P02__Damp_Proofing___Omission" localSheetId="4">#REF!</definedName>
    <definedName name="CUSTOM2_FV3_P02__Damp_Proofing___Omission" localSheetId="3">#REF!</definedName>
    <definedName name="CUSTOM2_FV3_P02__Damp_Proofing___Omission" localSheetId="5">#REF!</definedName>
    <definedName name="CUSTOM2_FV3_P02__Damp_Proofing___Omission">#REF!</definedName>
    <definedName name="CUSTOM2_FV3_P03__Damp_Proofing___Omission" localSheetId="2">#REF!</definedName>
    <definedName name="CUSTOM2_FV3_P03__Damp_Proofing___Omission" localSheetId="1">#REF!</definedName>
    <definedName name="CUSTOM2_FV3_P03__Damp_Proofing___Omission" localSheetId="0">#REF!</definedName>
    <definedName name="CUSTOM2_FV3_P03__Damp_Proofing___Omission" localSheetId="4">#REF!</definedName>
    <definedName name="CUSTOM2_FV3_P03__Damp_Proofing___Omission" localSheetId="3">#REF!</definedName>
    <definedName name="CUSTOM2_FV3_P03__Damp_Proofing___Omission" localSheetId="5">#REF!</definedName>
    <definedName name="CUSTOM2_FV3_P03__Damp_Proofing___Omission">#REF!</definedName>
    <definedName name="CUSTOM2_FV3_P04__Damp_Proofing___Omission" localSheetId="2">#REF!</definedName>
    <definedName name="CUSTOM2_FV3_P04__Damp_Proofing___Omission" localSheetId="1">#REF!</definedName>
    <definedName name="CUSTOM2_FV3_P04__Damp_Proofing___Omission" localSheetId="0">#REF!</definedName>
    <definedName name="CUSTOM2_FV3_P04__Damp_Proofing___Omission" localSheetId="4">#REF!</definedName>
    <definedName name="CUSTOM2_FV3_P04__Damp_Proofing___Omission" localSheetId="3">#REF!</definedName>
    <definedName name="CUSTOM2_FV3_P04__Damp_Proofing___Omission" localSheetId="5">#REF!</definedName>
    <definedName name="CUSTOM2_FV3_P04__Damp_Proofing___Omission">#REF!</definedName>
    <definedName name="CUSTOM2_FV3_P05__Damp_Proofing___Omission" localSheetId="2">#REF!</definedName>
    <definedName name="CUSTOM2_FV3_P05__Damp_Proofing___Omission" localSheetId="1">#REF!</definedName>
    <definedName name="CUSTOM2_FV3_P05__Damp_Proofing___Omission" localSheetId="0">#REF!</definedName>
    <definedName name="CUSTOM2_FV3_P05__Damp_Proofing___Omission" localSheetId="4">#REF!</definedName>
    <definedName name="CUSTOM2_FV3_P05__Damp_Proofing___Omission" localSheetId="3">#REF!</definedName>
    <definedName name="CUSTOM2_FV3_P05__Damp_Proofing___Omission" localSheetId="5">#REF!</definedName>
    <definedName name="CUSTOM2_FV3_P05__Damp_Proofing___Omission">#REF!</definedName>
    <definedName name="CUSTOM2_FV3_P06__Damp_Proofing___Omission" localSheetId="2">#REF!</definedName>
    <definedName name="CUSTOM2_FV3_P06__Damp_Proofing___Omission" localSheetId="1">#REF!</definedName>
    <definedName name="CUSTOM2_FV3_P06__Damp_Proofing___Omission" localSheetId="0">#REF!</definedName>
    <definedName name="CUSTOM2_FV3_P06__Damp_Proofing___Omission" localSheetId="4">#REF!</definedName>
    <definedName name="CUSTOM2_FV3_P06__Damp_Proofing___Omission" localSheetId="3">#REF!</definedName>
    <definedName name="CUSTOM2_FV3_P06__Damp_Proofing___Omission" localSheetId="5">#REF!</definedName>
    <definedName name="CUSTOM2_FV3_P06__Damp_Proofing___Omission">#REF!</definedName>
    <definedName name="CUSTOM2_FV3_P07__Damp_Proofing___Omission" localSheetId="2">#REF!</definedName>
    <definedName name="CUSTOM2_FV3_P07__Damp_Proofing___Omission" localSheetId="1">#REF!</definedName>
    <definedName name="CUSTOM2_FV3_P07__Damp_Proofing___Omission" localSheetId="0">#REF!</definedName>
    <definedName name="CUSTOM2_FV3_P07__Damp_Proofing___Omission" localSheetId="4">#REF!</definedName>
    <definedName name="CUSTOM2_FV3_P07__Damp_Proofing___Omission" localSheetId="3">#REF!</definedName>
    <definedName name="CUSTOM2_FV3_P07__Damp_Proofing___Omission" localSheetId="5">#REF!</definedName>
    <definedName name="CUSTOM2_FV3_P07__Damp_Proofing___Omission">#REF!</definedName>
    <definedName name="CUSTOM2_FV3_P08__Damp_Proofing___Omission" localSheetId="2">#REF!</definedName>
    <definedName name="CUSTOM2_FV3_P08__Damp_Proofing___Omission" localSheetId="1">#REF!</definedName>
    <definedName name="CUSTOM2_FV3_P08__Damp_Proofing___Omission" localSheetId="0">#REF!</definedName>
    <definedName name="CUSTOM2_FV3_P08__Damp_Proofing___Omission" localSheetId="4">#REF!</definedName>
    <definedName name="CUSTOM2_FV3_P08__Damp_Proofing___Omission" localSheetId="3">#REF!</definedName>
    <definedName name="CUSTOM2_FV3_P08__Damp_Proofing___Omission" localSheetId="5">#REF!</definedName>
    <definedName name="CUSTOM2_FV3_P08__Damp_Proofing___Omission">#REF!</definedName>
    <definedName name="CUSTOM2_FV3_P09__Damp_Proofing" localSheetId="2">#REF!</definedName>
    <definedName name="CUSTOM2_FV3_P09__Damp_Proofing" localSheetId="1">#REF!</definedName>
    <definedName name="CUSTOM2_FV3_P09__Damp_Proofing" localSheetId="0">#REF!</definedName>
    <definedName name="CUSTOM2_FV3_P09__Damp_Proofing" localSheetId="4">#REF!</definedName>
    <definedName name="CUSTOM2_FV3_P09__Damp_Proofing" localSheetId="3">#REF!</definedName>
    <definedName name="CUSTOM2_FV3_P09__Damp_Proofing" localSheetId="5">#REF!</definedName>
    <definedName name="CUSTOM2_FV3_P09__Damp_Proofing">#REF!</definedName>
    <definedName name="CUSTOM2_FV3_P09__Damp_Proofing___Omission" localSheetId="2">#REF!</definedName>
    <definedName name="CUSTOM2_FV3_P09__Damp_Proofing___Omission" localSheetId="1">#REF!</definedName>
    <definedName name="CUSTOM2_FV3_P09__Damp_Proofing___Omission" localSheetId="0">#REF!</definedName>
    <definedName name="CUSTOM2_FV3_P09__Damp_Proofing___Omission" localSheetId="4">#REF!</definedName>
    <definedName name="CUSTOM2_FV3_P09__Damp_Proofing___Omission" localSheetId="3">#REF!</definedName>
    <definedName name="CUSTOM2_FV3_P09__Damp_Proofing___Omission" localSheetId="5">#REF!</definedName>
    <definedName name="CUSTOM2_FV3_P09__Damp_Proofing___Omission">#REF!</definedName>
    <definedName name="CUSTOM2_FV3_P10__Damp_Proofing" localSheetId="2">#REF!</definedName>
    <definedName name="CUSTOM2_FV3_P10__Damp_Proofing" localSheetId="1">#REF!</definedName>
    <definedName name="CUSTOM2_FV3_P10__Damp_Proofing" localSheetId="0">#REF!</definedName>
    <definedName name="CUSTOM2_FV3_P10__Damp_Proofing" localSheetId="4">#REF!</definedName>
    <definedName name="CUSTOM2_FV3_P10__Damp_Proofing" localSheetId="3">#REF!</definedName>
    <definedName name="CUSTOM2_FV3_P10__Damp_Proofing" localSheetId="5">#REF!</definedName>
    <definedName name="CUSTOM2_FV3_P10__Damp_Proofing">#REF!</definedName>
    <definedName name="CUSTOM3_FV1_GF__Damp_Proofing" localSheetId="2">#REF!</definedName>
    <definedName name="CUSTOM3_FV1_GF__Damp_Proofing" localSheetId="1">#REF!</definedName>
    <definedName name="CUSTOM3_FV1_GF__Damp_Proofing" localSheetId="0">#REF!</definedName>
    <definedName name="CUSTOM3_FV1_GF__Damp_Proofing" localSheetId="4">#REF!</definedName>
    <definedName name="CUSTOM3_FV1_GF__Damp_Proofing" localSheetId="3">#REF!</definedName>
    <definedName name="CUSTOM3_FV1_GF__Damp_Proofing" localSheetId="5">#REF!</definedName>
    <definedName name="CUSTOM3_FV1_GF__Damp_Proofing">#REF!</definedName>
    <definedName name="CUSTOM3_FV1_Mez__Damp_Proofing" localSheetId="2">#REF!</definedName>
    <definedName name="CUSTOM3_FV1_Mez__Damp_Proofing" localSheetId="1">#REF!</definedName>
    <definedName name="CUSTOM3_FV1_Mez__Damp_Proofing" localSheetId="0">#REF!</definedName>
    <definedName name="CUSTOM3_FV1_Mez__Damp_Proofing" localSheetId="4">#REF!</definedName>
    <definedName name="CUSTOM3_FV1_Mez__Damp_Proofing" localSheetId="3">#REF!</definedName>
    <definedName name="CUSTOM3_FV1_Mez__Damp_Proofing" localSheetId="5">#REF!</definedName>
    <definedName name="CUSTOM3_FV1_Mez__Damp_Proofing">#REF!</definedName>
    <definedName name="CUSTOM3_FV1_P01__Damp_Proofing" localSheetId="2">#REF!</definedName>
    <definedName name="CUSTOM3_FV1_P01__Damp_Proofing" localSheetId="1">#REF!</definedName>
    <definedName name="CUSTOM3_FV1_P01__Damp_Proofing" localSheetId="0">#REF!</definedName>
    <definedName name="CUSTOM3_FV1_P01__Damp_Proofing" localSheetId="4">#REF!</definedName>
    <definedName name="CUSTOM3_FV1_P01__Damp_Proofing" localSheetId="3">#REF!</definedName>
    <definedName name="CUSTOM3_FV1_P01__Damp_Proofing" localSheetId="5">#REF!</definedName>
    <definedName name="CUSTOM3_FV1_P01__Damp_Proofing">#REF!</definedName>
    <definedName name="CUSTOM3_FV1_P02__Damp_Proofing___Omission" localSheetId="2">#REF!</definedName>
    <definedName name="CUSTOM3_FV1_P02__Damp_Proofing___Omission" localSheetId="1">#REF!</definedName>
    <definedName name="CUSTOM3_FV1_P02__Damp_Proofing___Omission" localSheetId="0">#REF!</definedName>
    <definedName name="CUSTOM3_FV1_P02__Damp_Proofing___Omission" localSheetId="4">#REF!</definedName>
    <definedName name="CUSTOM3_FV1_P02__Damp_Proofing___Omission" localSheetId="3">#REF!</definedName>
    <definedName name="CUSTOM3_FV1_P02__Damp_Proofing___Omission" localSheetId="5">#REF!</definedName>
    <definedName name="CUSTOM3_FV1_P02__Damp_Proofing___Omission">#REF!</definedName>
    <definedName name="CUSTOM3_FV1_P03__Damp_Proofing___Omission" localSheetId="2">#REF!</definedName>
    <definedName name="CUSTOM3_FV1_P03__Damp_Proofing___Omission" localSheetId="1">#REF!</definedName>
    <definedName name="CUSTOM3_FV1_P03__Damp_Proofing___Omission" localSheetId="0">#REF!</definedName>
    <definedName name="CUSTOM3_FV1_P03__Damp_Proofing___Omission" localSheetId="4">#REF!</definedName>
    <definedName name="CUSTOM3_FV1_P03__Damp_Proofing___Omission" localSheetId="3">#REF!</definedName>
    <definedName name="CUSTOM3_FV1_P03__Damp_Proofing___Omission" localSheetId="5">#REF!</definedName>
    <definedName name="CUSTOM3_FV1_P03__Damp_Proofing___Omission">#REF!</definedName>
    <definedName name="CUSTOM3_FV1_P04__Damp_Proofing___Omission" localSheetId="2">#REF!</definedName>
    <definedName name="CUSTOM3_FV1_P04__Damp_Proofing___Omission" localSheetId="1">#REF!</definedName>
    <definedName name="CUSTOM3_FV1_P04__Damp_Proofing___Omission" localSheetId="0">#REF!</definedName>
    <definedName name="CUSTOM3_FV1_P04__Damp_Proofing___Omission" localSheetId="4">#REF!</definedName>
    <definedName name="CUSTOM3_FV1_P04__Damp_Proofing___Omission" localSheetId="3">#REF!</definedName>
    <definedName name="CUSTOM3_FV1_P04__Damp_Proofing___Omission" localSheetId="5">#REF!</definedName>
    <definedName name="CUSTOM3_FV1_P04__Damp_Proofing___Omission">#REF!</definedName>
    <definedName name="CUSTOM3_FV1_P05__Damp_Proofing___Omission" localSheetId="2">#REF!</definedName>
    <definedName name="CUSTOM3_FV1_P05__Damp_Proofing___Omission" localSheetId="1">#REF!</definedName>
    <definedName name="CUSTOM3_FV1_P05__Damp_Proofing___Omission" localSheetId="0">#REF!</definedName>
    <definedName name="CUSTOM3_FV1_P05__Damp_Proofing___Omission" localSheetId="4">#REF!</definedName>
    <definedName name="CUSTOM3_FV1_P05__Damp_Proofing___Omission" localSheetId="3">#REF!</definedName>
    <definedName name="CUSTOM3_FV1_P05__Damp_Proofing___Omission" localSheetId="5">#REF!</definedName>
    <definedName name="CUSTOM3_FV1_P05__Damp_Proofing___Omission">#REF!</definedName>
    <definedName name="CUSTOM3_FV1_P10__Damp_Proofing" localSheetId="2">#REF!</definedName>
    <definedName name="CUSTOM3_FV1_P10__Damp_Proofing" localSheetId="1">#REF!</definedName>
    <definedName name="CUSTOM3_FV1_P10__Damp_Proofing" localSheetId="0">#REF!</definedName>
    <definedName name="CUSTOM3_FV1_P10__Damp_Proofing" localSheetId="4">#REF!</definedName>
    <definedName name="CUSTOM3_FV1_P10__Damp_Proofing" localSheetId="3">#REF!</definedName>
    <definedName name="CUSTOM3_FV1_P10__Damp_Proofing" localSheetId="5">#REF!</definedName>
    <definedName name="CUSTOM3_FV1_P10__Damp_Proofing">#REF!</definedName>
    <definedName name="CUSTOM3_FV2_GF__Damp_Proofing" localSheetId="2">#REF!</definedName>
    <definedName name="CUSTOM3_FV2_GF__Damp_Proofing" localSheetId="1">#REF!</definedName>
    <definedName name="CUSTOM3_FV2_GF__Damp_Proofing" localSheetId="0">#REF!</definedName>
    <definedName name="CUSTOM3_FV2_GF__Damp_Proofing" localSheetId="4">#REF!</definedName>
    <definedName name="CUSTOM3_FV2_GF__Damp_Proofing" localSheetId="3">#REF!</definedName>
    <definedName name="CUSTOM3_FV2_GF__Damp_Proofing" localSheetId="5">#REF!</definedName>
    <definedName name="CUSTOM3_FV2_GF__Damp_Proofing">#REF!</definedName>
    <definedName name="CUSTOM3_FV2_Mez__Damp_Proofing" localSheetId="2">#REF!</definedName>
    <definedName name="CUSTOM3_FV2_Mez__Damp_Proofing" localSheetId="1">#REF!</definedName>
    <definedName name="CUSTOM3_FV2_Mez__Damp_Proofing" localSheetId="0">#REF!</definedName>
    <definedName name="CUSTOM3_FV2_Mez__Damp_Proofing" localSheetId="4">#REF!</definedName>
    <definedName name="CUSTOM3_FV2_Mez__Damp_Proofing" localSheetId="3">#REF!</definedName>
    <definedName name="CUSTOM3_FV2_Mez__Damp_Proofing" localSheetId="5">#REF!</definedName>
    <definedName name="CUSTOM3_FV2_Mez__Damp_Proofing">#REF!</definedName>
    <definedName name="CUSTOM3_FV2_P01__Damp_Proofing" localSheetId="2">#REF!</definedName>
    <definedName name="CUSTOM3_FV2_P01__Damp_Proofing" localSheetId="1">#REF!</definedName>
    <definedName name="CUSTOM3_FV2_P01__Damp_Proofing" localSheetId="0">#REF!</definedName>
    <definedName name="CUSTOM3_FV2_P01__Damp_Proofing" localSheetId="4">#REF!</definedName>
    <definedName name="CUSTOM3_FV2_P01__Damp_Proofing" localSheetId="3">#REF!</definedName>
    <definedName name="CUSTOM3_FV2_P01__Damp_Proofing" localSheetId="5">#REF!</definedName>
    <definedName name="CUSTOM3_FV2_P01__Damp_Proofing">#REF!</definedName>
    <definedName name="CUSTOM3_FV2_P02__Damp_Proofing" localSheetId="2">#REF!</definedName>
    <definedName name="CUSTOM3_FV2_P02__Damp_Proofing" localSheetId="1">#REF!</definedName>
    <definedName name="CUSTOM3_FV2_P02__Damp_Proofing" localSheetId="0">#REF!</definedName>
    <definedName name="CUSTOM3_FV2_P02__Damp_Proofing" localSheetId="4">#REF!</definedName>
    <definedName name="CUSTOM3_FV2_P02__Damp_Proofing" localSheetId="3">#REF!</definedName>
    <definedName name="CUSTOM3_FV2_P02__Damp_Proofing" localSheetId="5">#REF!</definedName>
    <definedName name="CUSTOM3_FV2_P02__Damp_Proofing">#REF!</definedName>
    <definedName name="CUSTOM3_FV2_P02__Damp_Proofing___Omission" localSheetId="2">#REF!</definedName>
    <definedName name="CUSTOM3_FV2_P02__Damp_Proofing___Omission" localSheetId="1">#REF!</definedName>
    <definedName name="CUSTOM3_FV2_P02__Damp_Proofing___Omission" localSheetId="0">#REF!</definedName>
    <definedName name="CUSTOM3_FV2_P02__Damp_Proofing___Omission" localSheetId="4">#REF!</definedName>
    <definedName name="CUSTOM3_FV2_P02__Damp_Proofing___Omission" localSheetId="3">#REF!</definedName>
    <definedName name="CUSTOM3_FV2_P02__Damp_Proofing___Omission" localSheetId="5">#REF!</definedName>
    <definedName name="CUSTOM3_FV2_P02__Damp_Proofing___Omission">#REF!</definedName>
    <definedName name="CUSTOM3_FV2_P03__Damp_Proofing" localSheetId="2">#REF!</definedName>
    <definedName name="CUSTOM3_FV2_P03__Damp_Proofing" localSheetId="1">#REF!</definedName>
    <definedName name="CUSTOM3_FV2_P03__Damp_Proofing" localSheetId="0">#REF!</definedName>
    <definedName name="CUSTOM3_FV2_P03__Damp_Proofing" localSheetId="4">#REF!</definedName>
    <definedName name="CUSTOM3_FV2_P03__Damp_Proofing" localSheetId="3">#REF!</definedName>
    <definedName name="CUSTOM3_FV2_P03__Damp_Proofing" localSheetId="5">#REF!</definedName>
    <definedName name="CUSTOM3_FV2_P03__Damp_Proofing">#REF!</definedName>
    <definedName name="CUSTOM3_FV2_P03__Damp_Proofing___Omission" localSheetId="2">#REF!</definedName>
    <definedName name="CUSTOM3_FV2_P03__Damp_Proofing___Omission" localSheetId="1">#REF!</definedName>
    <definedName name="CUSTOM3_FV2_P03__Damp_Proofing___Omission" localSheetId="0">#REF!</definedName>
    <definedName name="CUSTOM3_FV2_P03__Damp_Proofing___Omission" localSheetId="4">#REF!</definedName>
    <definedName name="CUSTOM3_FV2_P03__Damp_Proofing___Omission" localSheetId="3">#REF!</definedName>
    <definedName name="CUSTOM3_FV2_P03__Damp_Proofing___Omission" localSheetId="5">#REF!</definedName>
    <definedName name="CUSTOM3_FV2_P03__Damp_Proofing___Omission">#REF!</definedName>
    <definedName name="CUSTOM3_FV2_P04__Damp_Proofing" localSheetId="2">#REF!</definedName>
    <definedName name="CUSTOM3_FV2_P04__Damp_Proofing" localSheetId="1">#REF!</definedName>
    <definedName name="CUSTOM3_FV2_P04__Damp_Proofing" localSheetId="0">#REF!</definedName>
    <definedName name="CUSTOM3_FV2_P04__Damp_Proofing" localSheetId="4">#REF!</definedName>
    <definedName name="CUSTOM3_FV2_P04__Damp_Proofing" localSheetId="3">#REF!</definedName>
    <definedName name="CUSTOM3_FV2_P04__Damp_Proofing" localSheetId="5">#REF!</definedName>
    <definedName name="CUSTOM3_FV2_P04__Damp_Proofing">#REF!</definedName>
    <definedName name="CUSTOM3_FV2_P04__Damp_Proofing___Omission" localSheetId="2">#REF!</definedName>
    <definedName name="CUSTOM3_FV2_P04__Damp_Proofing___Omission" localSheetId="1">#REF!</definedName>
    <definedName name="CUSTOM3_FV2_P04__Damp_Proofing___Omission" localSheetId="0">#REF!</definedName>
    <definedName name="CUSTOM3_FV2_P04__Damp_Proofing___Omission" localSheetId="4">#REF!</definedName>
    <definedName name="CUSTOM3_FV2_P04__Damp_Proofing___Omission" localSheetId="3">#REF!</definedName>
    <definedName name="CUSTOM3_FV2_P04__Damp_Proofing___Omission" localSheetId="5">#REF!</definedName>
    <definedName name="CUSTOM3_FV2_P04__Damp_Proofing___Omission">#REF!</definedName>
    <definedName name="CUSTOM3_FV2_P05__Damp_Proofing" localSheetId="2">#REF!</definedName>
    <definedName name="CUSTOM3_FV2_P05__Damp_Proofing" localSheetId="1">#REF!</definedName>
    <definedName name="CUSTOM3_FV2_P05__Damp_Proofing" localSheetId="0">#REF!</definedName>
    <definedName name="CUSTOM3_FV2_P05__Damp_Proofing" localSheetId="4">#REF!</definedName>
    <definedName name="CUSTOM3_FV2_P05__Damp_Proofing" localSheetId="3">#REF!</definedName>
    <definedName name="CUSTOM3_FV2_P05__Damp_Proofing" localSheetId="5">#REF!</definedName>
    <definedName name="CUSTOM3_FV2_P05__Damp_Proofing">#REF!</definedName>
    <definedName name="CUSTOM3_FV2_P05__Damp_Proofing___Omission" localSheetId="2">#REF!</definedName>
    <definedName name="CUSTOM3_FV2_P05__Damp_Proofing___Omission" localSheetId="1">#REF!</definedName>
    <definedName name="CUSTOM3_FV2_P05__Damp_Proofing___Omission" localSheetId="0">#REF!</definedName>
    <definedName name="CUSTOM3_FV2_P05__Damp_Proofing___Omission" localSheetId="4">#REF!</definedName>
    <definedName name="CUSTOM3_FV2_P05__Damp_Proofing___Omission" localSheetId="3">#REF!</definedName>
    <definedName name="CUSTOM3_FV2_P05__Damp_Proofing___Omission" localSheetId="5">#REF!</definedName>
    <definedName name="CUSTOM3_FV2_P05__Damp_Proofing___Omission">#REF!</definedName>
    <definedName name="CUSTOM3_FV2_P06__Damp_Proofing" localSheetId="2">#REF!</definedName>
    <definedName name="CUSTOM3_FV2_P06__Damp_Proofing" localSheetId="1">#REF!</definedName>
    <definedName name="CUSTOM3_FV2_P06__Damp_Proofing" localSheetId="0">#REF!</definedName>
    <definedName name="CUSTOM3_FV2_P06__Damp_Proofing" localSheetId="4">#REF!</definedName>
    <definedName name="CUSTOM3_FV2_P06__Damp_Proofing" localSheetId="3">#REF!</definedName>
    <definedName name="CUSTOM3_FV2_P06__Damp_Proofing" localSheetId="5">#REF!</definedName>
    <definedName name="CUSTOM3_FV2_P06__Damp_Proofing">#REF!</definedName>
    <definedName name="CUSTOM3_FV2_P06__Damp_Proofing___Omission" localSheetId="2">#REF!</definedName>
    <definedName name="CUSTOM3_FV2_P06__Damp_Proofing___Omission" localSheetId="1">#REF!</definedName>
    <definedName name="CUSTOM3_FV2_P06__Damp_Proofing___Omission" localSheetId="0">#REF!</definedName>
    <definedName name="CUSTOM3_FV2_P06__Damp_Proofing___Omission" localSheetId="4">#REF!</definedName>
    <definedName name="CUSTOM3_FV2_P06__Damp_Proofing___Omission" localSheetId="3">#REF!</definedName>
    <definedName name="CUSTOM3_FV2_P06__Damp_Proofing___Omission" localSheetId="5">#REF!</definedName>
    <definedName name="CUSTOM3_FV2_P06__Damp_Proofing___Omission">#REF!</definedName>
    <definedName name="CUSTOM3_FV2_P07__Damp_Proofing" localSheetId="2">#REF!</definedName>
    <definedName name="CUSTOM3_FV2_P07__Damp_Proofing" localSheetId="1">#REF!</definedName>
    <definedName name="CUSTOM3_FV2_P07__Damp_Proofing" localSheetId="0">#REF!</definedName>
    <definedName name="CUSTOM3_FV2_P07__Damp_Proofing" localSheetId="4">#REF!</definedName>
    <definedName name="CUSTOM3_FV2_P07__Damp_Proofing" localSheetId="3">#REF!</definedName>
    <definedName name="CUSTOM3_FV2_P07__Damp_Proofing" localSheetId="5">#REF!</definedName>
    <definedName name="CUSTOM3_FV2_P07__Damp_Proofing">#REF!</definedName>
    <definedName name="CUSTOM3_FV2_P07__Damp_Proofing___Omission" localSheetId="2">#REF!</definedName>
    <definedName name="CUSTOM3_FV2_P07__Damp_Proofing___Omission" localSheetId="1">#REF!</definedName>
    <definedName name="CUSTOM3_FV2_P07__Damp_Proofing___Omission" localSheetId="0">#REF!</definedName>
    <definedName name="CUSTOM3_FV2_P07__Damp_Proofing___Omission" localSheetId="4">#REF!</definedName>
    <definedName name="CUSTOM3_FV2_P07__Damp_Proofing___Omission" localSheetId="3">#REF!</definedName>
    <definedName name="CUSTOM3_FV2_P07__Damp_Proofing___Omission" localSheetId="5">#REF!</definedName>
    <definedName name="CUSTOM3_FV2_P07__Damp_Proofing___Omission">#REF!</definedName>
    <definedName name="CUSTOM3_FV2_P08__Damp_Proofing" localSheetId="2">#REF!</definedName>
    <definedName name="CUSTOM3_FV2_P08__Damp_Proofing" localSheetId="1">#REF!</definedName>
    <definedName name="CUSTOM3_FV2_P08__Damp_Proofing" localSheetId="0">#REF!</definedName>
    <definedName name="CUSTOM3_FV2_P08__Damp_Proofing" localSheetId="4">#REF!</definedName>
    <definedName name="CUSTOM3_FV2_P08__Damp_Proofing" localSheetId="3">#REF!</definedName>
    <definedName name="CUSTOM3_FV2_P08__Damp_Proofing" localSheetId="5">#REF!</definedName>
    <definedName name="CUSTOM3_FV2_P08__Damp_Proofing">#REF!</definedName>
    <definedName name="CUSTOM3_FV2_P08__Damp_Proofing___Omission" localSheetId="2">#REF!</definedName>
    <definedName name="CUSTOM3_FV2_P08__Damp_Proofing___Omission" localSheetId="1">#REF!</definedName>
    <definedName name="CUSTOM3_FV2_P08__Damp_Proofing___Omission" localSheetId="0">#REF!</definedName>
    <definedName name="CUSTOM3_FV2_P08__Damp_Proofing___Omission" localSheetId="4">#REF!</definedName>
    <definedName name="CUSTOM3_FV2_P08__Damp_Proofing___Omission" localSheetId="3">#REF!</definedName>
    <definedName name="CUSTOM3_FV2_P08__Damp_Proofing___Omission" localSheetId="5">#REF!</definedName>
    <definedName name="CUSTOM3_FV2_P08__Damp_Proofing___Omission">#REF!</definedName>
    <definedName name="CUSTOM3_FV2_P09__Damp_Proofing" localSheetId="2">#REF!</definedName>
    <definedName name="CUSTOM3_FV2_P09__Damp_Proofing" localSheetId="1">#REF!</definedName>
    <definedName name="CUSTOM3_FV2_P09__Damp_Proofing" localSheetId="0">#REF!</definedName>
    <definedName name="CUSTOM3_FV2_P09__Damp_Proofing" localSheetId="4">#REF!</definedName>
    <definedName name="CUSTOM3_FV2_P09__Damp_Proofing" localSheetId="3">#REF!</definedName>
    <definedName name="CUSTOM3_FV2_P09__Damp_Proofing" localSheetId="5">#REF!</definedName>
    <definedName name="CUSTOM3_FV2_P09__Damp_Proofing">#REF!</definedName>
    <definedName name="CUSTOM3_FV2_P10__Damp_Proofing" localSheetId="2">#REF!</definedName>
    <definedName name="CUSTOM3_FV2_P10__Damp_Proofing" localSheetId="1">#REF!</definedName>
    <definedName name="CUSTOM3_FV2_P10__Damp_Proofing" localSheetId="0">#REF!</definedName>
    <definedName name="CUSTOM3_FV2_P10__Damp_Proofing" localSheetId="4">#REF!</definedName>
    <definedName name="CUSTOM3_FV2_P10__Damp_Proofing" localSheetId="3">#REF!</definedName>
    <definedName name="CUSTOM3_FV2_P10__Damp_Proofing" localSheetId="5">#REF!</definedName>
    <definedName name="CUSTOM3_FV2_P10__Damp_Proofing">#REF!</definedName>
    <definedName name="CUSTOM3_FV3_GF__Damp_Proofing" localSheetId="2">#REF!</definedName>
    <definedName name="CUSTOM3_FV3_GF__Damp_Proofing" localSheetId="1">#REF!</definedName>
    <definedName name="CUSTOM3_FV3_GF__Damp_Proofing" localSheetId="0">#REF!</definedName>
    <definedName name="CUSTOM3_FV3_GF__Damp_Proofing" localSheetId="4">#REF!</definedName>
    <definedName name="CUSTOM3_FV3_GF__Damp_Proofing" localSheetId="3">#REF!</definedName>
    <definedName name="CUSTOM3_FV3_GF__Damp_Proofing" localSheetId="5">#REF!</definedName>
    <definedName name="CUSTOM3_FV3_GF__Damp_Proofing">#REF!</definedName>
    <definedName name="CUSTOM3_FV3_Mez__Damp_Proofing" localSheetId="2">#REF!</definedName>
    <definedName name="CUSTOM3_FV3_Mez__Damp_Proofing" localSheetId="1">#REF!</definedName>
    <definedName name="CUSTOM3_FV3_Mez__Damp_Proofing" localSheetId="0">#REF!</definedName>
    <definedName name="CUSTOM3_FV3_Mez__Damp_Proofing" localSheetId="4">#REF!</definedName>
    <definedName name="CUSTOM3_FV3_Mez__Damp_Proofing" localSheetId="3">#REF!</definedName>
    <definedName name="CUSTOM3_FV3_Mez__Damp_Proofing" localSheetId="5">#REF!</definedName>
    <definedName name="CUSTOM3_FV3_Mez__Damp_Proofing">#REF!</definedName>
    <definedName name="CUSTOM3_FV3_P02__Damp_Proofing" localSheetId="2">#REF!</definedName>
    <definedName name="CUSTOM3_FV3_P02__Damp_Proofing" localSheetId="1">#REF!</definedName>
    <definedName name="CUSTOM3_FV3_P02__Damp_Proofing" localSheetId="0">#REF!</definedName>
    <definedName name="CUSTOM3_FV3_P02__Damp_Proofing" localSheetId="4">#REF!</definedName>
    <definedName name="CUSTOM3_FV3_P02__Damp_Proofing" localSheetId="3">#REF!</definedName>
    <definedName name="CUSTOM3_FV3_P02__Damp_Proofing" localSheetId="5">#REF!</definedName>
    <definedName name="CUSTOM3_FV3_P02__Damp_Proofing">#REF!</definedName>
    <definedName name="CUSTOM3_FV3_P02__Damp_Proofing___Omission" localSheetId="2">#REF!</definedName>
    <definedName name="CUSTOM3_FV3_P02__Damp_Proofing___Omission" localSheetId="1">#REF!</definedName>
    <definedName name="CUSTOM3_FV3_P02__Damp_Proofing___Omission" localSheetId="0">#REF!</definedName>
    <definedName name="CUSTOM3_FV3_P02__Damp_Proofing___Omission" localSheetId="4">#REF!</definedName>
    <definedName name="CUSTOM3_FV3_P02__Damp_Proofing___Omission" localSheetId="3">#REF!</definedName>
    <definedName name="CUSTOM3_FV3_P02__Damp_Proofing___Omission" localSheetId="5">#REF!</definedName>
    <definedName name="CUSTOM3_FV3_P02__Damp_Proofing___Omission">#REF!</definedName>
    <definedName name="CUSTOM3_FV3_P03__Damp_Proofing___Omission" localSheetId="2">#REF!</definedName>
    <definedName name="CUSTOM3_FV3_P03__Damp_Proofing___Omission" localSheetId="1">#REF!</definedName>
    <definedName name="CUSTOM3_FV3_P03__Damp_Proofing___Omission" localSheetId="0">#REF!</definedName>
    <definedName name="CUSTOM3_FV3_P03__Damp_Proofing___Omission" localSheetId="4">#REF!</definedName>
    <definedName name="CUSTOM3_FV3_P03__Damp_Proofing___Omission" localSheetId="3">#REF!</definedName>
    <definedName name="CUSTOM3_FV3_P03__Damp_Proofing___Omission" localSheetId="5">#REF!</definedName>
    <definedName name="CUSTOM3_FV3_P03__Damp_Proofing___Omission">#REF!</definedName>
    <definedName name="CUSTOM3_FV3_P04__Damp_Proofing___Omission" localSheetId="2">#REF!</definedName>
    <definedName name="CUSTOM3_FV3_P04__Damp_Proofing___Omission" localSheetId="1">#REF!</definedName>
    <definedName name="CUSTOM3_FV3_P04__Damp_Proofing___Omission" localSheetId="0">#REF!</definedName>
    <definedName name="CUSTOM3_FV3_P04__Damp_Proofing___Omission" localSheetId="4">#REF!</definedName>
    <definedName name="CUSTOM3_FV3_P04__Damp_Proofing___Omission" localSheetId="3">#REF!</definedName>
    <definedName name="CUSTOM3_FV3_P04__Damp_Proofing___Omission" localSheetId="5">#REF!</definedName>
    <definedName name="CUSTOM3_FV3_P04__Damp_Proofing___Omission">#REF!</definedName>
    <definedName name="CUSTOM3_FV3_P05__Damp_Proofing___Omission" localSheetId="2">#REF!</definedName>
    <definedName name="CUSTOM3_FV3_P05__Damp_Proofing___Omission" localSheetId="1">#REF!</definedName>
    <definedName name="CUSTOM3_FV3_P05__Damp_Proofing___Omission" localSheetId="0">#REF!</definedName>
    <definedName name="CUSTOM3_FV3_P05__Damp_Proofing___Omission" localSheetId="4">#REF!</definedName>
    <definedName name="CUSTOM3_FV3_P05__Damp_Proofing___Omission" localSheetId="3">#REF!</definedName>
    <definedName name="CUSTOM3_FV3_P05__Damp_Proofing___Omission" localSheetId="5">#REF!</definedName>
    <definedName name="CUSTOM3_FV3_P05__Damp_Proofing___Omission">#REF!</definedName>
    <definedName name="CUSTOM3_FV3_P06__Damp_Proofing___Omission" localSheetId="2">#REF!</definedName>
    <definedName name="CUSTOM3_FV3_P06__Damp_Proofing___Omission" localSheetId="1">#REF!</definedName>
    <definedName name="CUSTOM3_FV3_P06__Damp_Proofing___Omission" localSheetId="0">#REF!</definedName>
    <definedName name="CUSTOM3_FV3_P06__Damp_Proofing___Omission" localSheetId="4">#REF!</definedName>
    <definedName name="CUSTOM3_FV3_P06__Damp_Proofing___Omission" localSheetId="3">#REF!</definedName>
    <definedName name="CUSTOM3_FV3_P06__Damp_Proofing___Omission" localSheetId="5">#REF!</definedName>
    <definedName name="CUSTOM3_FV3_P06__Damp_Proofing___Omission">#REF!</definedName>
    <definedName name="CUSTOM3_FV3_P07__Damp_Proofing___Omission" localSheetId="2">#REF!</definedName>
    <definedName name="CUSTOM3_FV3_P07__Damp_Proofing___Omission" localSheetId="1">#REF!</definedName>
    <definedName name="CUSTOM3_FV3_P07__Damp_Proofing___Omission" localSheetId="0">#REF!</definedName>
    <definedName name="CUSTOM3_FV3_P07__Damp_Proofing___Omission" localSheetId="4">#REF!</definedName>
    <definedName name="CUSTOM3_FV3_P07__Damp_Proofing___Omission" localSheetId="3">#REF!</definedName>
    <definedName name="CUSTOM3_FV3_P07__Damp_Proofing___Omission" localSheetId="5">#REF!</definedName>
    <definedName name="CUSTOM3_FV3_P07__Damp_Proofing___Omission">#REF!</definedName>
    <definedName name="CUSTOM3_FV3_P08__Damp_Proofing___Omission" localSheetId="2">#REF!</definedName>
    <definedName name="CUSTOM3_FV3_P08__Damp_Proofing___Omission" localSheetId="1">#REF!</definedName>
    <definedName name="CUSTOM3_FV3_P08__Damp_Proofing___Omission" localSheetId="0">#REF!</definedName>
    <definedName name="CUSTOM3_FV3_P08__Damp_Proofing___Omission" localSheetId="4">#REF!</definedName>
    <definedName name="CUSTOM3_FV3_P08__Damp_Proofing___Omission" localSheetId="3">#REF!</definedName>
    <definedName name="CUSTOM3_FV3_P08__Damp_Proofing___Omission" localSheetId="5">#REF!</definedName>
    <definedName name="CUSTOM3_FV3_P08__Damp_Proofing___Omission">#REF!</definedName>
    <definedName name="CUSTOM3_FV3_P09__Damp_Proofing" localSheetId="2">#REF!</definedName>
    <definedName name="CUSTOM3_FV3_P09__Damp_Proofing" localSheetId="1">#REF!</definedName>
    <definedName name="CUSTOM3_FV3_P09__Damp_Proofing" localSheetId="0">#REF!</definedName>
    <definedName name="CUSTOM3_FV3_P09__Damp_Proofing" localSheetId="4">#REF!</definedName>
    <definedName name="CUSTOM3_FV3_P09__Damp_Proofing" localSheetId="3">#REF!</definedName>
    <definedName name="CUSTOM3_FV3_P09__Damp_Proofing" localSheetId="5">#REF!</definedName>
    <definedName name="CUSTOM3_FV3_P09__Damp_Proofing">#REF!</definedName>
    <definedName name="CUSTOM3_FV3_P09__Damp_Proofing___Omission" localSheetId="2">#REF!</definedName>
    <definedName name="CUSTOM3_FV3_P09__Damp_Proofing___Omission" localSheetId="1">#REF!</definedName>
    <definedName name="CUSTOM3_FV3_P09__Damp_Proofing___Omission" localSheetId="0">#REF!</definedName>
    <definedName name="CUSTOM3_FV3_P09__Damp_Proofing___Omission" localSheetId="4">#REF!</definedName>
    <definedName name="CUSTOM3_FV3_P09__Damp_Proofing___Omission" localSheetId="3">#REF!</definedName>
    <definedName name="CUSTOM3_FV3_P09__Damp_Proofing___Omission" localSheetId="5">#REF!</definedName>
    <definedName name="CUSTOM3_FV3_P09__Damp_Proofing___Omission">#REF!</definedName>
    <definedName name="CUSTOM3_FV3_P10__Damp_Proofing" localSheetId="2">#REF!</definedName>
    <definedName name="CUSTOM3_FV3_P10__Damp_Proofing" localSheetId="1">#REF!</definedName>
    <definedName name="CUSTOM3_FV3_P10__Damp_Proofing" localSheetId="0">#REF!</definedName>
    <definedName name="CUSTOM3_FV3_P10__Damp_Proofing" localSheetId="4">#REF!</definedName>
    <definedName name="CUSTOM3_FV3_P10__Damp_Proofing" localSheetId="3">#REF!</definedName>
    <definedName name="CUSTOM3_FV3_P10__Damp_Proofing" localSheetId="5">#REF!</definedName>
    <definedName name="CUSTOM3_FV3_P10__Damp_Proofing">#REF!</definedName>
    <definedName name="CVL_FAC" localSheetId="2">#REF!</definedName>
    <definedName name="CVL_FAC" localSheetId="1">#REF!</definedName>
    <definedName name="CVL_FAC" localSheetId="0">#REF!</definedName>
    <definedName name="CVL_FAC" localSheetId="4">#REF!</definedName>
    <definedName name="CVL_FAC" localSheetId="3">#REF!</definedName>
    <definedName name="CVL_FAC" localSheetId="5">#REF!</definedName>
    <definedName name="CVL_FAC">#REF!</definedName>
    <definedName name="CY_1999" localSheetId="0">#REF!</definedName>
    <definedName name="CY_1999" localSheetId="4">#REF!</definedName>
    <definedName name="CY_1999" localSheetId="3">#REF!</definedName>
    <definedName name="CY_1999" localSheetId="5">#REF!</definedName>
    <definedName name="CY_1999">#REF!</definedName>
    <definedName name="CY_2000" localSheetId="0">#REF!</definedName>
    <definedName name="CY_2000" localSheetId="4">#REF!</definedName>
    <definedName name="CY_2000" localSheetId="3">#REF!</definedName>
    <definedName name="CY_2000" localSheetId="5">#REF!</definedName>
    <definedName name="CY_2000">#REF!</definedName>
    <definedName name="CY_2001" localSheetId="0">#REF!</definedName>
    <definedName name="CY_2001" localSheetId="4">#REF!</definedName>
    <definedName name="CY_2001" localSheetId="3">#REF!</definedName>
    <definedName name="CY_2001" localSheetId="5">#REF!</definedName>
    <definedName name="CY_2001">#REF!</definedName>
    <definedName name="CY_2002" localSheetId="0">#REF!</definedName>
    <definedName name="CY_2002" localSheetId="4">#REF!</definedName>
    <definedName name="CY_2002" localSheetId="3">#REF!</definedName>
    <definedName name="CY_2002" localSheetId="5">#REF!</definedName>
    <definedName name="CY_2002">#REF!</definedName>
    <definedName name="czvcxvx" localSheetId="4">#REF!</definedName>
    <definedName name="czvcxvx" localSheetId="3">#REF!</definedName>
    <definedName name="czvcxvx" localSheetId="5">#REF!</definedName>
    <definedName name="czvcxvx">#REF!</definedName>
    <definedName name="D" localSheetId="2">#REF!</definedName>
    <definedName name="D" localSheetId="1">#REF!</definedName>
    <definedName name="D" localSheetId="0">#REF!</definedName>
    <definedName name="D" localSheetId="4">#REF!</definedName>
    <definedName name="D" localSheetId="3">#REF!</definedName>
    <definedName name="D" localSheetId="5">#REF!</definedName>
    <definedName name="D">#REF!</definedName>
    <definedName name="D_C" localSheetId="2">#REF!</definedName>
    <definedName name="D_C" localSheetId="1">#REF!</definedName>
    <definedName name="D_C" localSheetId="0">#REF!</definedName>
    <definedName name="D_C" localSheetId="4">#REF!</definedName>
    <definedName name="D_C" localSheetId="3">#REF!</definedName>
    <definedName name="D_C" localSheetId="5">#REF!</definedName>
    <definedName name="D_C">#REF!</definedName>
    <definedName name="D_STATUS_DRGS" localSheetId="4">#REF!</definedName>
    <definedName name="D_STATUS_DRGS" localSheetId="3">#REF!</definedName>
    <definedName name="D_STATUS_DRGS" localSheetId="5">#REF!</definedName>
    <definedName name="D_STATUS_DRGS">#REF!</definedName>
    <definedName name="D_STATUS_NO" localSheetId="4">#REF!</definedName>
    <definedName name="D_STATUS_NO" localSheetId="3">#REF!</definedName>
    <definedName name="D_STATUS_NO" localSheetId="5">#REF!</definedName>
    <definedName name="D_STATUS_NO">#REF!</definedName>
    <definedName name="D_STATUS_NUMBER" localSheetId="4">#REF!</definedName>
    <definedName name="D_STATUS_NUMBER" localSheetId="3">#REF!</definedName>
    <definedName name="D_STATUS_NUMBER" localSheetId="5">#REF!</definedName>
    <definedName name="D_STATUS_NUMBER">#REF!</definedName>
    <definedName name="D0" localSheetId="2">#REF!</definedName>
    <definedName name="D0" localSheetId="1">#REF!</definedName>
    <definedName name="D0" localSheetId="0">#REF!</definedName>
    <definedName name="D0" localSheetId="4">#REF!</definedName>
    <definedName name="D0" localSheetId="3">#REF!</definedName>
    <definedName name="D0" localSheetId="5">#REF!</definedName>
    <definedName name="D0">#REF!</definedName>
    <definedName name="DAMAGE" localSheetId="2">#REF!</definedName>
    <definedName name="DAMAGE" localSheetId="1">#REF!</definedName>
    <definedName name="DAMAGE" localSheetId="0">#REF!</definedName>
    <definedName name="DAMAGE" localSheetId="4">#REF!</definedName>
    <definedName name="DAMAGE" localSheetId="3">#REF!</definedName>
    <definedName name="DAMAGE" localSheetId="5">#REF!</definedName>
    <definedName name="DAMAGE">#REF!</definedName>
    <definedName name="Dampers" localSheetId="4">#REF!</definedName>
    <definedName name="Dampers" localSheetId="3">#REF!</definedName>
    <definedName name="Dampers" localSheetId="5">#REF!</definedName>
    <definedName name="Dampers">#REF!</definedName>
    <definedName name="DATA" localSheetId="2">#REF!</definedName>
    <definedName name="DATA" localSheetId="1">#REF!</definedName>
    <definedName name="DATA" localSheetId="0">#REF!</definedName>
    <definedName name="DATA" localSheetId="4">#REF!</definedName>
    <definedName name="DATA" localSheetId="3">#REF!</definedName>
    <definedName name="DATA" localSheetId="5">#REF!</definedName>
    <definedName name="DATA">#REF!</definedName>
    <definedName name="DATA_1" localSheetId="2">#REF!</definedName>
    <definedName name="DATA_1" localSheetId="1">#REF!</definedName>
    <definedName name="DATA_1" localSheetId="0">#REF!</definedName>
    <definedName name="DATA_1" localSheetId="4">#REF!</definedName>
    <definedName name="DATA_1" localSheetId="3">#REF!</definedName>
    <definedName name="DATA_1" localSheetId="5">#REF!</definedName>
    <definedName name="DATA_1">#REF!</definedName>
    <definedName name="DATA_10" localSheetId="2">#REF!</definedName>
    <definedName name="DATA_10" localSheetId="1">#REF!</definedName>
    <definedName name="DATA_10" localSheetId="0">#REF!</definedName>
    <definedName name="DATA_10" localSheetId="4">#REF!</definedName>
    <definedName name="DATA_10" localSheetId="3">#REF!</definedName>
    <definedName name="DATA_10" localSheetId="5">#REF!</definedName>
    <definedName name="DATA_10">#REF!</definedName>
    <definedName name="DATA_11" localSheetId="2">#REF!</definedName>
    <definedName name="DATA_11" localSheetId="1">#REF!</definedName>
    <definedName name="DATA_11" localSheetId="0">#REF!</definedName>
    <definedName name="DATA_11" localSheetId="4">#REF!</definedName>
    <definedName name="DATA_11" localSheetId="3">#REF!</definedName>
    <definedName name="DATA_11" localSheetId="5">#REF!</definedName>
    <definedName name="DATA_11">#REF!</definedName>
    <definedName name="DATA_12" localSheetId="2">#REF!</definedName>
    <definedName name="DATA_12" localSheetId="1">#REF!</definedName>
    <definedName name="DATA_12" localSheetId="0">#REF!</definedName>
    <definedName name="DATA_12" localSheetId="4">#REF!</definedName>
    <definedName name="DATA_12" localSheetId="3">#REF!</definedName>
    <definedName name="DATA_12" localSheetId="5">#REF!</definedName>
    <definedName name="DATA_12">#REF!</definedName>
    <definedName name="DATA_13" localSheetId="2">#REF!</definedName>
    <definedName name="DATA_13" localSheetId="1">#REF!</definedName>
    <definedName name="DATA_13" localSheetId="0">#REF!</definedName>
    <definedName name="DATA_13" localSheetId="4">#REF!</definedName>
    <definedName name="DATA_13" localSheetId="3">#REF!</definedName>
    <definedName name="DATA_13" localSheetId="5">#REF!</definedName>
    <definedName name="DATA_13">#REF!</definedName>
    <definedName name="DATA_14" localSheetId="2">#REF!</definedName>
    <definedName name="DATA_14" localSheetId="1">#REF!</definedName>
    <definedName name="DATA_14" localSheetId="0">#REF!</definedName>
    <definedName name="DATA_14" localSheetId="4">#REF!</definedName>
    <definedName name="DATA_14" localSheetId="3">#REF!</definedName>
    <definedName name="DATA_14" localSheetId="5">#REF!</definedName>
    <definedName name="DATA_14">#REF!</definedName>
    <definedName name="DATA_15" localSheetId="2">#REF!</definedName>
    <definedName name="DATA_15" localSheetId="1">#REF!</definedName>
    <definedName name="DATA_15" localSheetId="0">#REF!</definedName>
    <definedName name="DATA_15" localSheetId="4">#REF!</definedName>
    <definedName name="DATA_15" localSheetId="3">#REF!</definedName>
    <definedName name="DATA_15" localSheetId="5">#REF!</definedName>
    <definedName name="DATA_15">#REF!</definedName>
    <definedName name="DATA_16" localSheetId="2">#REF!</definedName>
    <definedName name="DATA_16" localSheetId="1">#REF!</definedName>
    <definedName name="DATA_16" localSheetId="0">#REF!</definedName>
    <definedName name="DATA_16" localSheetId="4">#REF!</definedName>
    <definedName name="DATA_16" localSheetId="3">#REF!</definedName>
    <definedName name="DATA_16" localSheetId="5">#REF!</definedName>
    <definedName name="DATA_16">#REF!</definedName>
    <definedName name="DATA_17" localSheetId="2">#REF!</definedName>
    <definedName name="DATA_17" localSheetId="1">#REF!</definedName>
    <definedName name="DATA_17" localSheetId="0">#REF!</definedName>
    <definedName name="DATA_17" localSheetId="4">#REF!</definedName>
    <definedName name="DATA_17" localSheetId="3">#REF!</definedName>
    <definedName name="DATA_17" localSheetId="5">#REF!</definedName>
    <definedName name="DATA_17">#REF!</definedName>
    <definedName name="DATA_18" localSheetId="2">#REF!</definedName>
    <definedName name="DATA_18" localSheetId="1">#REF!</definedName>
    <definedName name="DATA_18" localSheetId="0">#REF!</definedName>
    <definedName name="DATA_18" localSheetId="4">#REF!</definedName>
    <definedName name="DATA_18" localSheetId="3">#REF!</definedName>
    <definedName name="DATA_18" localSheetId="5">#REF!</definedName>
    <definedName name="DATA_18">#REF!</definedName>
    <definedName name="DATA_19" localSheetId="2">#REF!</definedName>
    <definedName name="DATA_19" localSheetId="1">#REF!</definedName>
    <definedName name="DATA_19" localSheetId="0">#REF!</definedName>
    <definedName name="DATA_19" localSheetId="4">#REF!</definedName>
    <definedName name="DATA_19" localSheetId="3">#REF!</definedName>
    <definedName name="DATA_19" localSheetId="5">#REF!</definedName>
    <definedName name="DATA_19">#REF!</definedName>
    <definedName name="DATA_2" localSheetId="2">#REF!</definedName>
    <definedName name="DATA_2" localSheetId="1">#REF!</definedName>
    <definedName name="DATA_2" localSheetId="0">#REF!</definedName>
    <definedName name="DATA_2" localSheetId="4">#REF!</definedName>
    <definedName name="DATA_2" localSheetId="3">#REF!</definedName>
    <definedName name="DATA_2" localSheetId="5">#REF!</definedName>
    <definedName name="DATA_2">#REF!</definedName>
    <definedName name="DATA_20" localSheetId="2">#REF!</definedName>
    <definedName name="DATA_20" localSheetId="1">#REF!</definedName>
    <definedName name="DATA_20" localSheetId="0">#REF!</definedName>
    <definedName name="DATA_20" localSheetId="4">#REF!</definedName>
    <definedName name="DATA_20" localSheetId="3">#REF!</definedName>
    <definedName name="DATA_20" localSheetId="5">#REF!</definedName>
    <definedName name="DATA_20">#REF!</definedName>
    <definedName name="DATA_21" localSheetId="2">#REF!</definedName>
    <definedName name="DATA_21" localSheetId="1">#REF!</definedName>
    <definedName name="DATA_21" localSheetId="0">#REF!</definedName>
    <definedName name="DATA_21" localSheetId="4">#REF!</definedName>
    <definedName name="DATA_21" localSheetId="3">#REF!</definedName>
    <definedName name="DATA_21" localSheetId="5">#REF!</definedName>
    <definedName name="DATA_21">#REF!</definedName>
    <definedName name="DATA_22" localSheetId="2">#REF!</definedName>
    <definedName name="DATA_22" localSheetId="1">#REF!</definedName>
    <definedName name="DATA_22" localSheetId="0">#REF!</definedName>
    <definedName name="DATA_22" localSheetId="4">#REF!</definedName>
    <definedName name="DATA_22" localSheetId="3">#REF!</definedName>
    <definedName name="DATA_22" localSheetId="5">#REF!</definedName>
    <definedName name="DATA_22">#REF!</definedName>
    <definedName name="DATA_23" localSheetId="2">#REF!</definedName>
    <definedName name="DATA_23" localSheetId="1">#REF!</definedName>
    <definedName name="DATA_23" localSheetId="0">#REF!</definedName>
    <definedName name="DATA_23" localSheetId="4">#REF!</definedName>
    <definedName name="DATA_23" localSheetId="3">#REF!</definedName>
    <definedName name="DATA_23" localSheetId="5">#REF!</definedName>
    <definedName name="DATA_23">#REF!</definedName>
    <definedName name="DATA_24" localSheetId="2">#REF!</definedName>
    <definedName name="DATA_24" localSheetId="1">#REF!</definedName>
    <definedName name="DATA_24" localSheetId="0">#REF!</definedName>
    <definedName name="DATA_24" localSheetId="4">#REF!</definedName>
    <definedName name="DATA_24" localSheetId="3">#REF!</definedName>
    <definedName name="DATA_24" localSheetId="5">#REF!</definedName>
    <definedName name="DATA_24">#REF!</definedName>
    <definedName name="DATA_25" localSheetId="2">#REF!</definedName>
    <definedName name="DATA_25" localSheetId="1">#REF!</definedName>
    <definedName name="DATA_25" localSheetId="0">#REF!</definedName>
    <definedName name="DATA_25" localSheetId="4">#REF!</definedName>
    <definedName name="DATA_25" localSheetId="3">#REF!</definedName>
    <definedName name="DATA_25" localSheetId="5">#REF!</definedName>
    <definedName name="DATA_25">#REF!</definedName>
    <definedName name="DATA_3" localSheetId="2">#REF!</definedName>
    <definedName name="DATA_3" localSheetId="1">#REF!</definedName>
    <definedName name="DATA_3" localSheetId="0">#REF!</definedName>
    <definedName name="DATA_3" localSheetId="4">#REF!</definedName>
    <definedName name="DATA_3" localSheetId="3">#REF!</definedName>
    <definedName name="DATA_3" localSheetId="5">#REF!</definedName>
    <definedName name="DATA_3">#REF!</definedName>
    <definedName name="DATA_4" localSheetId="2">#REF!</definedName>
    <definedName name="DATA_4" localSheetId="1">#REF!</definedName>
    <definedName name="DATA_4" localSheetId="0">#REF!</definedName>
    <definedName name="DATA_4" localSheetId="4">#REF!</definedName>
    <definedName name="DATA_4" localSheetId="3">#REF!</definedName>
    <definedName name="DATA_4" localSheetId="5">#REF!</definedName>
    <definedName name="DATA_4">#REF!</definedName>
    <definedName name="DATA_5" localSheetId="2">#REF!</definedName>
    <definedName name="DATA_5" localSheetId="1">#REF!</definedName>
    <definedName name="DATA_5" localSheetId="0">#REF!</definedName>
    <definedName name="DATA_5" localSheetId="4">#REF!</definedName>
    <definedName name="DATA_5" localSheetId="3">#REF!</definedName>
    <definedName name="DATA_5" localSheetId="5">#REF!</definedName>
    <definedName name="DATA_5">#REF!</definedName>
    <definedName name="DATA_6" localSheetId="2">#REF!</definedName>
    <definedName name="DATA_6" localSheetId="1">#REF!</definedName>
    <definedName name="DATA_6" localSheetId="0">#REF!</definedName>
    <definedName name="DATA_6" localSheetId="4">#REF!</definedName>
    <definedName name="DATA_6" localSheetId="3">#REF!</definedName>
    <definedName name="DATA_6" localSheetId="5">#REF!</definedName>
    <definedName name="DATA_6">#REF!</definedName>
    <definedName name="DATA_7" localSheetId="2">#REF!</definedName>
    <definedName name="DATA_7" localSheetId="1">#REF!</definedName>
    <definedName name="DATA_7" localSheetId="0">#REF!</definedName>
    <definedName name="DATA_7" localSheetId="4">#REF!</definedName>
    <definedName name="DATA_7" localSheetId="3">#REF!</definedName>
    <definedName name="DATA_7" localSheetId="5">#REF!</definedName>
    <definedName name="DATA_7">#REF!</definedName>
    <definedName name="DATA_8" localSheetId="2">#REF!</definedName>
    <definedName name="DATA_8" localSheetId="1">#REF!</definedName>
    <definedName name="DATA_8" localSheetId="0">#REF!</definedName>
    <definedName name="DATA_8" localSheetId="4">#REF!</definedName>
    <definedName name="DATA_8" localSheetId="3">#REF!</definedName>
    <definedName name="DATA_8" localSheetId="5">#REF!</definedName>
    <definedName name="DATA_8">#REF!</definedName>
    <definedName name="DATA_9" localSheetId="2">#REF!</definedName>
    <definedName name="DATA_9" localSheetId="1">#REF!</definedName>
    <definedName name="DATA_9" localSheetId="0">#REF!</definedName>
    <definedName name="DATA_9" localSheetId="4">#REF!</definedName>
    <definedName name="DATA_9" localSheetId="3">#REF!</definedName>
    <definedName name="DATA_9" localSheetId="5">#REF!</definedName>
    <definedName name="DATA_9">#REF!</definedName>
    <definedName name="DATA1" localSheetId="2">#REF!</definedName>
    <definedName name="DATA1" localSheetId="1">#REF!</definedName>
    <definedName name="DATA1" localSheetId="0">#REF!</definedName>
    <definedName name="DATA1" localSheetId="4">#REF!</definedName>
    <definedName name="DATA1" localSheetId="3">#REF!</definedName>
    <definedName name="DATA1" localSheetId="5">#REF!</definedName>
    <definedName name="DATA1">#REF!</definedName>
    <definedName name="DATA10" localSheetId="4">#REF!</definedName>
    <definedName name="DATA10" localSheetId="3">#REF!</definedName>
    <definedName name="DATA10" localSheetId="5">#REF!</definedName>
    <definedName name="DATA10">#REF!</definedName>
    <definedName name="DATA11" localSheetId="4">#REF!</definedName>
    <definedName name="DATA11" localSheetId="3">#REF!</definedName>
    <definedName name="DATA11" localSheetId="5">#REF!</definedName>
    <definedName name="DATA11">#REF!</definedName>
    <definedName name="DATA12" localSheetId="4">#REF!</definedName>
    <definedName name="DATA12" localSheetId="3">#REF!</definedName>
    <definedName name="DATA12" localSheetId="5">#REF!</definedName>
    <definedName name="DATA12">#REF!</definedName>
    <definedName name="DATA13" localSheetId="4">#REF!</definedName>
    <definedName name="DATA13" localSheetId="3">#REF!</definedName>
    <definedName name="DATA13" localSheetId="5">#REF!</definedName>
    <definedName name="DATA13">#REF!</definedName>
    <definedName name="DATA14" localSheetId="4">#REF!</definedName>
    <definedName name="DATA14" localSheetId="3">#REF!</definedName>
    <definedName name="DATA14" localSheetId="5">#REF!</definedName>
    <definedName name="DATA14">#REF!</definedName>
    <definedName name="DATA15" localSheetId="4">#REF!</definedName>
    <definedName name="DATA15" localSheetId="3">#REF!</definedName>
    <definedName name="DATA15" localSheetId="5">#REF!</definedName>
    <definedName name="DATA15">#REF!</definedName>
    <definedName name="DATA16" localSheetId="4">#REF!</definedName>
    <definedName name="DATA16" localSheetId="3">#REF!</definedName>
    <definedName name="DATA16" localSheetId="5">#REF!</definedName>
    <definedName name="DATA16">#REF!</definedName>
    <definedName name="DATA17" localSheetId="4">#REF!</definedName>
    <definedName name="DATA17" localSheetId="3">#REF!</definedName>
    <definedName name="DATA17" localSheetId="5">#REF!</definedName>
    <definedName name="DATA17">#REF!</definedName>
    <definedName name="DATA18" localSheetId="4">#REF!</definedName>
    <definedName name="DATA18" localSheetId="3">#REF!</definedName>
    <definedName name="DATA18" localSheetId="5">#REF!</definedName>
    <definedName name="DATA18">#REF!</definedName>
    <definedName name="DATA19" localSheetId="4">#REF!</definedName>
    <definedName name="DATA19" localSheetId="3">#REF!</definedName>
    <definedName name="DATA19" localSheetId="5">#REF!</definedName>
    <definedName name="DATA19">#REF!</definedName>
    <definedName name="DATA2" localSheetId="2">#REF!</definedName>
    <definedName name="DATA2" localSheetId="1">#REF!</definedName>
    <definedName name="DATA2" localSheetId="0">#REF!</definedName>
    <definedName name="DATA2" localSheetId="4">#REF!</definedName>
    <definedName name="DATA2" localSheetId="3">#REF!</definedName>
    <definedName name="DATA2" localSheetId="5">#REF!</definedName>
    <definedName name="DATA2">#REF!</definedName>
    <definedName name="DATA20" localSheetId="4">#REF!</definedName>
    <definedName name="DATA20" localSheetId="3">#REF!</definedName>
    <definedName name="DATA20" localSheetId="5">#REF!</definedName>
    <definedName name="DATA20">#REF!</definedName>
    <definedName name="DATA21" localSheetId="4">#REF!</definedName>
    <definedName name="DATA21" localSheetId="3">#REF!</definedName>
    <definedName name="DATA21" localSheetId="5">#REF!</definedName>
    <definedName name="DATA21">#REF!</definedName>
    <definedName name="DATA22" localSheetId="4">#REF!</definedName>
    <definedName name="DATA22" localSheetId="3">#REF!</definedName>
    <definedName name="DATA22" localSheetId="5">#REF!</definedName>
    <definedName name="DATA22">#REF!</definedName>
    <definedName name="DATA23" localSheetId="4">#REF!</definedName>
    <definedName name="DATA23" localSheetId="3">#REF!</definedName>
    <definedName name="DATA23" localSheetId="5">#REF!</definedName>
    <definedName name="DATA23">#REF!</definedName>
    <definedName name="DATA25" localSheetId="4">#REF!</definedName>
    <definedName name="DATA25" localSheetId="3">#REF!</definedName>
    <definedName name="DATA25" localSheetId="5">#REF!</definedName>
    <definedName name="DATA25">#REF!</definedName>
    <definedName name="DATA27" localSheetId="4">#REF!</definedName>
    <definedName name="DATA27" localSheetId="3">#REF!</definedName>
    <definedName name="DATA27" localSheetId="5">#REF!</definedName>
    <definedName name="DATA27">#REF!</definedName>
    <definedName name="DATA28" localSheetId="4">#REF!</definedName>
    <definedName name="DATA28" localSheetId="3">#REF!</definedName>
    <definedName name="DATA28" localSheetId="5">#REF!</definedName>
    <definedName name="DATA28">#REF!</definedName>
    <definedName name="DATA29" localSheetId="4">#REF!</definedName>
    <definedName name="DATA29" localSheetId="3">#REF!</definedName>
    <definedName name="DATA29" localSheetId="5">#REF!</definedName>
    <definedName name="DATA29">#REF!</definedName>
    <definedName name="DATA3" localSheetId="2">#REF!</definedName>
    <definedName name="DATA3" localSheetId="1">#REF!</definedName>
    <definedName name="DATA3" localSheetId="0">#REF!</definedName>
    <definedName name="DATA3" localSheetId="4">#REF!</definedName>
    <definedName name="DATA3" localSheetId="3">#REF!</definedName>
    <definedName name="DATA3" localSheetId="5">#REF!</definedName>
    <definedName name="DATA3">#REF!</definedName>
    <definedName name="DATA30" localSheetId="4">#REF!</definedName>
    <definedName name="DATA30" localSheetId="3">#REF!</definedName>
    <definedName name="DATA30" localSheetId="5">#REF!</definedName>
    <definedName name="DATA30">#REF!</definedName>
    <definedName name="DATA32" localSheetId="4">#REF!</definedName>
    <definedName name="DATA32" localSheetId="3">#REF!</definedName>
    <definedName name="DATA32" localSheetId="5">#REF!</definedName>
    <definedName name="DATA32">#REF!</definedName>
    <definedName name="DATA34" localSheetId="4">#REF!</definedName>
    <definedName name="DATA34" localSheetId="3">#REF!</definedName>
    <definedName name="DATA34" localSheetId="5">#REF!</definedName>
    <definedName name="DATA34">#REF!</definedName>
    <definedName name="DATA36" localSheetId="4">#REF!</definedName>
    <definedName name="DATA36" localSheetId="3">#REF!</definedName>
    <definedName name="DATA36" localSheetId="5">#REF!</definedName>
    <definedName name="DATA36">#REF!</definedName>
    <definedName name="DATA37" localSheetId="4">#REF!</definedName>
    <definedName name="DATA37" localSheetId="3">#REF!</definedName>
    <definedName name="DATA37" localSheetId="5">#REF!</definedName>
    <definedName name="DATA37">#REF!</definedName>
    <definedName name="DATA4" localSheetId="4">#REF!</definedName>
    <definedName name="DATA4" localSheetId="3">#REF!</definedName>
    <definedName name="DATA4" localSheetId="5">#REF!</definedName>
    <definedName name="DATA4">#REF!</definedName>
    <definedName name="DATA40" localSheetId="4">#REF!</definedName>
    <definedName name="DATA40" localSheetId="3">#REF!</definedName>
    <definedName name="DATA40" localSheetId="5">#REF!</definedName>
    <definedName name="DATA40">#REF!</definedName>
    <definedName name="DATA41" localSheetId="4">#REF!</definedName>
    <definedName name="DATA41" localSheetId="3">#REF!</definedName>
    <definedName name="DATA41" localSheetId="5">#REF!</definedName>
    <definedName name="DATA41">#REF!</definedName>
    <definedName name="DATA46" localSheetId="4">#REF!</definedName>
    <definedName name="DATA46" localSheetId="3">#REF!</definedName>
    <definedName name="DATA46" localSheetId="5">#REF!</definedName>
    <definedName name="DATA46">#REF!</definedName>
    <definedName name="DATA47" localSheetId="4">#REF!</definedName>
    <definedName name="DATA47" localSheetId="3">#REF!</definedName>
    <definedName name="DATA47" localSheetId="5">#REF!</definedName>
    <definedName name="DATA47">#REF!</definedName>
    <definedName name="DATA48" localSheetId="4">#REF!</definedName>
    <definedName name="DATA48" localSheetId="3">#REF!</definedName>
    <definedName name="DATA48" localSheetId="5">#REF!</definedName>
    <definedName name="DATA48">#REF!</definedName>
    <definedName name="DATA49" localSheetId="4">#REF!</definedName>
    <definedName name="DATA49" localSheetId="3">#REF!</definedName>
    <definedName name="DATA49" localSheetId="5">#REF!</definedName>
    <definedName name="DATA49">#REF!</definedName>
    <definedName name="DATA6" localSheetId="4">#REF!</definedName>
    <definedName name="DATA6" localSheetId="3">#REF!</definedName>
    <definedName name="DATA6" localSheetId="5">#REF!</definedName>
    <definedName name="DATA6">#REF!</definedName>
    <definedName name="DATA7" localSheetId="4">#REF!</definedName>
    <definedName name="DATA7" localSheetId="3">#REF!</definedName>
    <definedName name="DATA7" localSheetId="5">#REF!</definedName>
    <definedName name="DATA7">#REF!</definedName>
    <definedName name="DATA8" localSheetId="4">#REF!</definedName>
    <definedName name="DATA8" localSheetId="3">#REF!</definedName>
    <definedName name="DATA8" localSheetId="5">#REF!</definedName>
    <definedName name="DATA8">#REF!</definedName>
    <definedName name="DATA9" localSheetId="4">#REF!</definedName>
    <definedName name="DATA9" localSheetId="3">#REF!</definedName>
    <definedName name="DATA9" localSheetId="5">#REF!</definedName>
    <definedName name="DATA9">#REF!</definedName>
    <definedName name="DataArea" localSheetId="4">#REF!</definedName>
    <definedName name="DataArea" localSheetId="3">#REF!</definedName>
    <definedName name="DataArea" localSheetId="5">#REF!</definedName>
    <definedName name="DataArea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 localSheetId="4">#REF!</definedName>
    <definedName name="_xlnm.Database" localSheetId="3">#REF!</definedName>
    <definedName name="_xlnm.Database" localSheetId="5">#REF!</definedName>
    <definedName name="_xlnm.Database">#REF!</definedName>
    <definedName name="DATACHECKED_ELBK" localSheetId="2">#REF!</definedName>
    <definedName name="DATACHECKED_ELBK" localSheetId="1">#REF!</definedName>
    <definedName name="DATACHECKED_ELBK" localSheetId="0">#REF!</definedName>
    <definedName name="DATACHECKED_ELBK" localSheetId="4">#REF!</definedName>
    <definedName name="DATACHECKED_ELBK" localSheetId="3">#REF!</definedName>
    <definedName name="DATACHECKED_ELBK" localSheetId="5">#REF!</definedName>
    <definedName name="DATACHECKED_ELBK">#REF!</definedName>
    <definedName name="DATACHECKED_ELEQ" localSheetId="2">#REF!</definedName>
    <definedName name="DATACHECKED_ELEQ" localSheetId="1">#REF!</definedName>
    <definedName name="DATACHECKED_ELEQ" localSheetId="0">#REF!</definedName>
    <definedName name="DATACHECKED_ELEQ" localSheetId="4">#REF!</definedName>
    <definedName name="DATACHECKED_ELEQ" localSheetId="3">#REF!</definedName>
    <definedName name="DATACHECKED_ELEQ" localSheetId="5">#REF!</definedName>
    <definedName name="DATACHECKED_ELEQ">#REF!</definedName>
    <definedName name="DATACHECKED_INSTR" localSheetId="2">#REF!</definedName>
    <definedName name="DATACHECKED_INSTR" localSheetId="1">#REF!</definedName>
    <definedName name="DATACHECKED_INSTR" localSheetId="0">#REF!</definedName>
    <definedName name="DATACHECKED_INSTR" localSheetId="4">#REF!</definedName>
    <definedName name="DATACHECKED_INSTR" localSheetId="3">#REF!</definedName>
    <definedName name="DATACHECKED_INSTR" localSheetId="5">#REF!</definedName>
    <definedName name="DATACHECKED_INSTR">#REF!</definedName>
    <definedName name="DATAFILL" localSheetId="4">#REF!</definedName>
    <definedName name="DATAFILL" localSheetId="3">#REF!</definedName>
    <definedName name="DATAFILL" localSheetId="5">#REF!</definedName>
    <definedName name="DATAFILL">#REF!</definedName>
    <definedName name="date" localSheetId="0">#REF!</definedName>
    <definedName name="date" localSheetId="4">#REF!</definedName>
    <definedName name="date" localSheetId="3">#REF!</definedName>
    <definedName name="Date" localSheetId="5">#REF!</definedName>
    <definedName name="Date">#REF!</definedName>
    <definedName name="Date1" localSheetId="2">#REF!</definedName>
    <definedName name="Date1" localSheetId="1">#REF!</definedName>
    <definedName name="date1" localSheetId="0">#REF!</definedName>
    <definedName name="date1" localSheetId="4">#REF!</definedName>
    <definedName name="date1" localSheetId="3">#REF!</definedName>
    <definedName name="Date1" localSheetId="5">#REF!</definedName>
    <definedName name="Date1">#REF!</definedName>
    <definedName name="DATECHECKED_ELBK" localSheetId="2">#REF!</definedName>
    <definedName name="DATECHECKED_ELBK" localSheetId="1">#REF!</definedName>
    <definedName name="DATECHECKED_ELBK" localSheetId="0">#REF!</definedName>
    <definedName name="DATECHECKED_ELBK" localSheetId="4">#REF!</definedName>
    <definedName name="DATECHECKED_ELBK" localSheetId="3">#REF!</definedName>
    <definedName name="DATECHECKED_ELBK" localSheetId="5">#REF!</definedName>
    <definedName name="DATECHECKED_ELBK">#REF!</definedName>
    <definedName name="DATECHECKED_ELEQ" localSheetId="2">#REF!</definedName>
    <definedName name="DATECHECKED_ELEQ" localSheetId="1">#REF!</definedName>
    <definedName name="DATECHECKED_ELEQ" localSheetId="0">#REF!</definedName>
    <definedName name="DATECHECKED_ELEQ" localSheetId="4">#REF!</definedName>
    <definedName name="DATECHECKED_ELEQ" localSheetId="3">#REF!</definedName>
    <definedName name="DATECHECKED_ELEQ" localSheetId="5">#REF!</definedName>
    <definedName name="DATECHECKED_ELEQ">#REF!</definedName>
    <definedName name="DATECHECKED_INSTR" localSheetId="2">#REF!</definedName>
    <definedName name="DATECHECKED_INSTR" localSheetId="1">#REF!</definedName>
    <definedName name="DATECHECKED_INSTR" localSheetId="0">#REF!</definedName>
    <definedName name="DATECHECKED_INSTR" localSheetId="4">#REF!</definedName>
    <definedName name="DATECHECKED_INSTR" localSheetId="3">#REF!</definedName>
    <definedName name="DATECHECKED_INSTR" localSheetId="5">#REF!</definedName>
    <definedName name="DATECHECKED_INSTR">#REF!</definedName>
    <definedName name="DateRange" localSheetId="2">#REF!</definedName>
    <definedName name="DateRange" localSheetId="1">#REF!</definedName>
    <definedName name="DateRange" localSheetId="0">#REF!</definedName>
    <definedName name="DateRange" localSheetId="4">#REF!</definedName>
    <definedName name="DateRange" localSheetId="3">#REF!</definedName>
    <definedName name="DateRange" localSheetId="5">#REF!</definedName>
    <definedName name="DateRange">#REF!</definedName>
    <definedName name="Dates" localSheetId="0">#REF!</definedName>
    <definedName name="Dates" localSheetId="4">#REF!</definedName>
    <definedName name="Dates" localSheetId="3">#REF!</definedName>
    <definedName name="DATES" localSheetId="5">#REF!</definedName>
    <definedName name="DATES">#REF!</definedName>
    <definedName name="DAY" localSheetId="4">#REF!</definedName>
    <definedName name="DAY" localSheetId="3">#REF!</definedName>
    <definedName name="DAY" localSheetId="5">#REF!</definedName>
    <definedName name="DAY">#REF!</definedName>
    <definedName name="db" localSheetId="4">#REF!</definedName>
    <definedName name="db" localSheetId="3">#REF!</definedName>
    <definedName name="db" localSheetId="5">#REF!</definedName>
    <definedName name="db">#REF!</definedName>
    <definedName name="DB___SMDB" localSheetId="4">#REF!</definedName>
    <definedName name="DB___SMDB" localSheetId="3">#REF!</definedName>
    <definedName name="DB___SMDB" localSheetId="5">#REF!</definedName>
    <definedName name="DB___SMDB">#REF!</definedName>
    <definedName name="DB_PRICING" localSheetId="2">#REF!</definedName>
    <definedName name="DB_PRICING" localSheetId="1">#REF!</definedName>
    <definedName name="DB_PRICING" localSheetId="0">#REF!</definedName>
    <definedName name="DB_PRICING" localSheetId="4">#REF!</definedName>
    <definedName name="DB_PRICING" localSheetId="3">#REF!</definedName>
    <definedName name="DB_PRICING" localSheetId="5">#REF!</definedName>
    <definedName name="DB_PRICING">#REF!</definedName>
    <definedName name="dbs" localSheetId="2">#REF!</definedName>
    <definedName name="dbs" localSheetId="1">#REF!</definedName>
    <definedName name="dbs" localSheetId="0">#REF!</definedName>
    <definedName name="dbs" localSheetId="4">#REF!</definedName>
    <definedName name="dbs" localSheetId="3">#REF!</definedName>
    <definedName name="dbs" localSheetId="5">#REF!</definedName>
    <definedName name="dbs">#REF!</definedName>
    <definedName name="DCS_SYS" localSheetId="2">#REF!</definedName>
    <definedName name="DCS_SYS" localSheetId="1">#REF!</definedName>
    <definedName name="DCS_SYS" localSheetId="0">#REF!</definedName>
    <definedName name="DCS_SYS" localSheetId="4">#REF!</definedName>
    <definedName name="DCS_SYS" localSheetId="3">#REF!</definedName>
    <definedName name="DCS_SYS" localSheetId="5">#REF!</definedName>
    <definedName name="DCS_SYS">#REF!</definedName>
    <definedName name="dd" localSheetId="2" hidden="1">{#N/A,#N/A,TRUE,"Cover";#N/A,#N/A,TRUE,"Conts";#N/A,#N/A,TRUE,"VOS";#N/A,#N/A,TRUE,"Warrington";#N/A,#N/A,TRUE,"Widnes"}</definedName>
    <definedName name="dd" localSheetId="1" hidden="1">{#N/A,#N/A,TRUE,"Cover";#N/A,#N/A,TRUE,"Conts";#N/A,#N/A,TRUE,"VOS";#N/A,#N/A,TRUE,"Warrington";#N/A,#N/A,TRUE,"Widnes"}</definedName>
    <definedName name="DD" localSheetId="0">#REF!</definedName>
    <definedName name="DD" localSheetId="4">#REF!</definedName>
    <definedName name="DD" localSheetId="3">#REF!</definedName>
    <definedName name="DD" localSheetId="5">#REF!</definedName>
    <definedName name="DD">#REF!</definedName>
    <definedName name="ddd" localSheetId="2">#REF!</definedName>
    <definedName name="ddd" localSheetId="1">#REF!</definedName>
    <definedName name="ddd" localSheetId="0">#REF!</definedName>
    <definedName name="ddd" localSheetId="4">#REF!</definedName>
    <definedName name="ddd" localSheetId="3">#REF!</definedName>
    <definedName name="ddd" localSheetId="5">#REF!</definedName>
    <definedName name="ddd">#REF!</definedName>
    <definedName name="DDDD" localSheetId="2">#REF!</definedName>
    <definedName name="DDDD" localSheetId="1">#REF!</definedName>
    <definedName name="DDDD" localSheetId="0">#REF!</definedName>
    <definedName name="DDDD" localSheetId="4">#REF!</definedName>
    <definedName name="DDDD" localSheetId="3">#REF!</definedName>
    <definedName name="DDDD" localSheetId="5">#REF!</definedName>
    <definedName name="DDDD">#REF!</definedName>
    <definedName name="ddddd" localSheetId="2" hidden="1">{#N/A,#N/A,TRUE,"Cover";#N/A,#N/A,TRUE,"Conts";#N/A,#N/A,TRUE,"VOS";#N/A,#N/A,TRUE,"Warrington";#N/A,#N/A,TRUE,"Widnes"}</definedName>
    <definedName name="ddddd" localSheetId="1" hidden="1">{#N/A,#N/A,TRUE,"Cover";#N/A,#N/A,TRUE,"Conts";#N/A,#N/A,TRUE,"VOS";#N/A,#N/A,TRUE,"Warrington";#N/A,#N/A,TRUE,"Widnes"}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dd" localSheetId="2">#REF!</definedName>
    <definedName name="dddddddd" localSheetId="1">#REF!</definedName>
    <definedName name="dddddddd" localSheetId="0">#REF!</definedName>
    <definedName name="dddddddd" localSheetId="4">#REF!</definedName>
    <definedName name="dddddddd" localSheetId="3">#REF!</definedName>
    <definedName name="dddddddd" localSheetId="5">#REF!</definedName>
    <definedName name="dddddddd">#REF!</definedName>
    <definedName name="ddddddddd" localSheetId="2">#REF!</definedName>
    <definedName name="ddddddddd" localSheetId="1">#REF!</definedName>
    <definedName name="ddddddddd" localSheetId="0">#REF!</definedName>
    <definedName name="ddddddddd" localSheetId="4">#REF!</definedName>
    <definedName name="ddddddddd" localSheetId="3">#REF!</definedName>
    <definedName name="ddddddddd" localSheetId="5">#REF!</definedName>
    <definedName name="ddddddddd">#REF!</definedName>
    <definedName name="dddddddddd" localSheetId="2">#REF!</definedName>
    <definedName name="dddddddddd" localSheetId="1">#REF!</definedName>
    <definedName name="dddddddddd" localSheetId="0">#REF!</definedName>
    <definedName name="dddddddddd" localSheetId="4">#REF!</definedName>
    <definedName name="dddddddddd" localSheetId="3">#REF!</definedName>
    <definedName name="dddddddddd" localSheetId="5">#REF!</definedName>
    <definedName name="dddddddddd">#REF!</definedName>
    <definedName name="dddt" localSheetId="2" hidden="1">{"'Break down'!$A$4"}</definedName>
    <definedName name="dddt" localSheetId="1" hidden="1">{"'Break down'!$A$4"}</definedName>
    <definedName name="dddt" localSheetId="0" hidden="1">{"'Break down'!$A$4"}</definedName>
    <definedName name="dddt" localSheetId="4" hidden="1">{"'Break down'!$A$4"}</definedName>
    <definedName name="dddt" localSheetId="3" hidden="1">{"'Break down'!$A$4"}</definedName>
    <definedName name="dddt" localSheetId="5" hidden="1">{"'Break down'!$A$4"}</definedName>
    <definedName name="dddt" hidden="1">{"'Break down'!$A$4"}</definedName>
    <definedName name="dddt_1" localSheetId="2" hidden="1">{"'Break down'!$A$4"}</definedName>
    <definedName name="dddt_1" localSheetId="1" hidden="1">{"'Break down'!$A$4"}</definedName>
    <definedName name="dddt_1" localSheetId="0" hidden="1">{"'Break down'!$A$4"}</definedName>
    <definedName name="dddt_1" localSheetId="4" hidden="1">{"'Break down'!$A$4"}</definedName>
    <definedName name="dddt_1" localSheetId="3" hidden="1">{"'Break down'!$A$4"}</definedName>
    <definedName name="dddt_1" localSheetId="5" hidden="1">{"'Break down'!$A$4"}</definedName>
    <definedName name="dddt_1" hidden="1">{"'Break down'!$A$4"}</definedName>
    <definedName name="dddt_2" localSheetId="2" hidden="1">{"'Break down'!$A$4"}</definedName>
    <definedName name="dddt_2" localSheetId="1" hidden="1">{"'Break down'!$A$4"}</definedName>
    <definedName name="dddt_2" localSheetId="0" hidden="1">{"'Break down'!$A$4"}</definedName>
    <definedName name="dddt_2" localSheetId="4" hidden="1">{"'Break down'!$A$4"}</definedName>
    <definedName name="dddt_2" localSheetId="3" hidden="1">{"'Break down'!$A$4"}</definedName>
    <definedName name="dddt_2" localSheetId="5" hidden="1">{"'Break down'!$A$4"}</definedName>
    <definedName name="dddt_2" hidden="1">{"'Break down'!$A$4"}</definedName>
    <definedName name="DDFileRows2404201140918PM" localSheetId="2" hidden="1">#REF!</definedName>
    <definedName name="DDFileRows2404201140918PM" localSheetId="1" hidden="1">#REF!</definedName>
    <definedName name="DDFileRows2404201140918PM" localSheetId="0" hidden="1">#REF!</definedName>
    <definedName name="DDFileRows2404201140918PM" localSheetId="4" hidden="1">#REF!</definedName>
    <definedName name="DDFileRows2404201140918PM" localSheetId="3" hidden="1">#REF!</definedName>
    <definedName name="DDFileRows2404201140918PM" localSheetId="5" hidden="1">#REF!</definedName>
    <definedName name="DDFileRows2404201140918PM" hidden="1">#REF!</definedName>
    <definedName name="deal1" localSheetId="4">#REF!</definedName>
    <definedName name="deal1" localSheetId="3">#REF!</definedName>
    <definedName name="deal1" localSheetId="5">#REF!</definedName>
    <definedName name="deal1">#REF!</definedName>
    <definedName name="def" localSheetId="4" hidden="1">#REF!</definedName>
    <definedName name="def" localSheetId="3" hidden="1">#REF!</definedName>
    <definedName name="def" localSheetId="5" hidden="1">#REF!</definedName>
    <definedName name="def" hidden="1">#REF!</definedName>
    <definedName name="del_code" localSheetId="4">#REF!</definedName>
    <definedName name="del_code" localSheetId="3">#REF!</definedName>
    <definedName name="del_code" localSheetId="5">#REF!</definedName>
    <definedName name="del_code">#REF!</definedName>
    <definedName name="del_qty" localSheetId="4">#REF!</definedName>
    <definedName name="del_qty" localSheetId="3">#REF!</definedName>
    <definedName name="del_qty" localSheetId="5">#REF!</definedName>
    <definedName name="del_qty">#REF!</definedName>
    <definedName name="DELETE" localSheetId="0">#REF!</definedName>
    <definedName name="DELETE" localSheetId="4">#REF!</definedName>
    <definedName name="DELETE" localSheetId="3">#REF!</definedName>
    <definedName name="DELETE" localSheetId="5">#REF!</definedName>
    <definedName name="DELETE">#REF!</definedName>
    <definedName name="DELETE_D" localSheetId="0">#REF!</definedName>
    <definedName name="DELETE_D" localSheetId="4">#REF!</definedName>
    <definedName name="DELETE_D" localSheetId="3">#REF!</definedName>
    <definedName name="DELETE_D" localSheetId="5">#REF!</definedName>
    <definedName name="DELETE_D">#REF!</definedName>
    <definedName name="DELETE_U" localSheetId="0">#REF!</definedName>
    <definedName name="DELETE_U" localSheetId="4">#REF!</definedName>
    <definedName name="DELETE_U" localSheetId="3">#REF!</definedName>
    <definedName name="DELETE_U" localSheetId="5">#REF!</definedName>
    <definedName name="DELETE_U">#REF!</definedName>
    <definedName name="DELIVERY" localSheetId="2">#REF!</definedName>
    <definedName name="DELIVERY" localSheetId="1">#REF!</definedName>
    <definedName name="DELIVERY" localSheetId="0">#REF!</definedName>
    <definedName name="DELIVERY" localSheetId="4">#REF!</definedName>
    <definedName name="DELIVERY" localSheetId="3">#REF!</definedName>
    <definedName name="DELIVERY" localSheetId="5">#REF!</definedName>
    <definedName name="DELIVERY">#REF!</definedName>
    <definedName name="Delshan" localSheetId="2" hidden="1">{#N/A,#N/A,FALSE,"VCR"}</definedName>
    <definedName name="Delshan" localSheetId="1" hidden="1">{#N/A,#N/A,FALSE,"VCR"}</definedName>
    <definedName name="Delshan" localSheetId="0" hidden="1">{#N/A,#N/A,FALSE,"VCR"}</definedName>
    <definedName name="Delshan" localSheetId="4" hidden="1">{#N/A,#N/A,FALSE,"VCR"}</definedName>
    <definedName name="Delshan" localSheetId="3" hidden="1">{#N/A,#N/A,FALSE,"VCR"}</definedName>
    <definedName name="Delshan" localSheetId="5" hidden="1">{#N/A,#N/A,FALSE,"VCR"}</definedName>
    <definedName name="Delshan" hidden="1">{#N/A,#N/A,FALSE,"VCR"}</definedName>
    <definedName name="derf" localSheetId="5">#REF!</definedName>
    <definedName name="derf">#REF!</definedName>
    <definedName name="Des_Pkg" localSheetId="4">#REF!</definedName>
    <definedName name="Des_Pkg" localSheetId="3">#REF!</definedName>
    <definedName name="Des_Pkg" localSheetId="5">#REF!</definedName>
    <definedName name="Des_Pkg">#REF!</definedName>
    <definedName name="Desc_Cntl_Valves" localSheetId="2">IF(VLOOKUP(#REF!,'A10 Design + Subs fee'!CNTL_VALVE_PRICE,2,FALSE)=0,0,VLOOKUP(#REF!,'A10 Design + Subs fee'!CNTL_VALVE_PRICE,2,FALSE))</definedName>
    <definedName name="Desc_Cntl_Valves" localSheetId="1">IF(VLOOKUP(#REF!,'A9 Design + Subs fee '!CNTL_VALVE_PRICE,2,FALSE)=0,0,VLOOKUP(#REF!,'A9 Design + Subs fee '!CNTL_VALVE_PRICE,2,FALSE))</definedName>
    <definedName name="Desc_Cntl_Valves" localSheetId="0">IF(VLOOKUP(#REF!,'FEE RECON RAIHAN'!CNTL_VALVE_PRICE,2,FALSE)=0,0,VLOOKUP(#REF!,'FEE RECON RAIHAN'!CNTL_VALVE_PRICE,2,FALSE))</definedName>
    <definedName name="Desc_Cntl_Valves" localSheetId="4">IF(VLOOKUP(#REF!,'Mastersheet-Projects'!CNTL_VALVE_PRICE,2,FALSE)=0,0,VLOOKUP(#REF!,'Mastersheet-Projects'!CNTL_VALVE_PRICE,2,FALSE))</definedName>
    <definedName name="Desc_Cntl_Valves" localSheetId="3">IF(VLOOKUP(#REF!,'Mastersheet-Resources'!CNTL_VALVE_PRICE,2,FALSE)=0,0,VLOOKUP(#REF!,'Mastersheet-Resources'!CNTL_VALVE_PRICE,2,FALSE))</definedName>
    <definedName name="Desc_Cntl_Valves" localSheetId="5">IF(VLOOKUP(#REF!,'Tender List'!CNTL_VALVE_PRICE,2,FALSE)=0,0,VLOOKUP(#REF!,'Tender List'!CNTL_VALVE_PRICE,2,FALSE))</definedName>
    <definedName name="Desc_Cntl_Valves">IF(VLOOKUP(#REF!,CNTL_VALVE_PRICE,2,FALSE)=0,0,VLOOKUP(#REF!,CNTL_VALVE_PRICE,2,FALSE))</definedName>
    <definedName name="Desc_Conduit" localSheetId="2">IF(VLOOKUP(#REF!,'A10 Design + Subs fee'!COND_PRICING,2,FALSE)=0,0,VLOOKUP(#REF!,'A10 Design + Subs fee'!COND_PRICING,2,FALSE))</definedName>
    <definedName name="Desc_Conduit" localSheetId="1">IF(VLOOKUP(#REF!,'A9 Design + Subs fee '!COND_PRICING,2,FALSE)=0,0,VLOOKUP(#REF!,'A9 Design + Subs fee '!COND_PRICING,2,FALSE))</definedName>
    <definedName name="Desc_Conduit" localSheetId="0">IF(VLOOKUP(#REF!,'FEE RECON RAIHAN'!COND_PRICING,2,FALSE)=0,0,VLOOKUP(#REF!,'FEE RECON RAIHAN'!COND_PRICING,2,FALSE))</definedName>
    <definedName name="Desc_Conduit" localSheetId="4">IF(VLOOKUP(#REF!,'Mastersheet-Projects'!COND_PRICING,2,FALSE)=0,0,VLOOKUP(#REF!,'Mastersheet-Projects'!COND_PRICING,2,FALSE))</definedName>
    <definedName name="Desc_Conduit" localSheetId="3">IF(VLOOKUP(#REF!,'Mastersheet-Resources'!COND_PRICING,2,FALSE)=0,0,VLOOKUP(#REF!,'Mastersheet-Resources'!COND_PRICING,2,FALSE))</definedName>
    <definedName name="Desc_Conduit" localSheetId="5">IF(VLOOKUP(#REF!,'Tender List'!COND_PRICING,2,FALSE)=0,0,VLOOKUP(#REF!,'Tender List'!COND_PRICING,2,FALSE))</definedName>
    <definedName name="Desc_Conduit">IF(VLOOKUP(#REF!,COND_PRICING,2,FALSE)=0,0,VLOOKUP(#REF!,COND_PRICING,2,FALSE))</definedName>
    <definedName name="Desc_DB" localSheetId="2">IF(VLOOKUP(#REF!,'A10 Design + Subs fee'!DB_PRICING,2,FALSE)=0,0,VLOOKUP(#REF!,'A10 Design + Subs fee'!DB_PRICING,2,FALSE))</definedName>
    <definedName name="Desc_DB" localSheetId="1">IF(VLOOKUP(#REF!,'A9 Design + Subs fee '!DB_PRICING,2,FALSE)=0,0,VLOOKUP(#REF!,'A9 Design + Subs fee '!DB_PRICING,2,FALSE))</definedName>
    <definedName name="Desc_DB" localSheetId="0">IF(VLOOKUP(#REF!,'FEE RECON RAIHAN'!DB_PRICING,2,FALSE)=0,0,VLOOKUP(#REF!,'FEE RECON RAIHAN'!DB_PRICING,2,FALSE))</definedName>
    <definedName name="Desc_DB" localSheetId="4">IF(VLOOKUP(#REF!,'Mastersheet-Projects'!DB_PRICING,2,FALSE)=0,0,VLOOKUP(#REF!,'Mastersheet-Projects'!DB_PRICING,2,FALSE))</definedName>
    <definedName name="Desc_DB" localSheetId="3">IF(VLOOKUP(#REF!,'Mastersheet-Resources'!DB_PRICING,2,FALSE)=0,0,VLOOKUP(#REF!,'Mastersheet-Resources'!DB_PRICING,2,FALSE))</definedName>
    <definedName name="Desc_DB" localSheetId="5">IF(VLOOKUP(#REF!,'Tender List'!DB_PRICING,2,FALSE)=0,0,VLOOKUP(#REF!,'Tender List'!DB_PRICING,2,FALSE))</definedName>
    <definedName name="Desc_DB">IF(VLOOKUP(#REF!,DB_PRICING,2,FALSE)=0,0,VLOOKUP(#REF!,DB_PRICING,2,FALSE))</definedName>
    <definedName name="Desc_DB1" localSheetId="2">IF(VLOOKUP(#REF!,'A10 Design + Subs fee'!DB_PRICING,3,FALSE)=0,0,VLOOKUP(#REF!,'A10 Design + Subs fee'!DB_PRICING,3,FALSE))</definedName>
    <definedName name="Desc_DB1" localSheetId="1">IF(VLOOKUP(#REF!,'A9 Design + Subs fee '!DB_PRICING,3,FALSE)=0,0,VLOOKUP(#REF!,'A9 Design + Subs fee '!DB_PRICING,3,FALSE))</definedName>
    <definedName name="Desc_DB1" localSheetId="0">IF(VLOOKUP(#REF!,'FEE RECON RAIHAN'!DB_PRICING,3,FALSE)=0,0,VLOOKUP(#REF!,'FEE RECON RAIHAN'!DB_PRICING,3,FALSE))</definedName>
    <definedName name="Desc_DB1" localSheetId="4">IF(VLOOKUP(#REF!,'Mastersheet-Projects'!DB_PRICING,3,FALSE)=0,0,VLOOKUP(#REF!,'Mastersheet-Projects'!DB_PRICING,3,FALSE))</definedName>
    <definedName name="Desc_DB1" localSheetId="3">IF(VLOOKUP(#REF!,'Mastersheet-Resources'!DB_PRICING,3,FALSE)=0,0,VLOOKUP(#REF!,'Mastersheet-Resources'!DB_PRICING,3,FALSE))</definedName>
    <definedName name="Desc_DB1" localSheetId="5">IF(VLOOKUP(#REF!,'Tender List'!DB_PRICING,3,FALSE)=0,0,VLOOKUP(#REF!,'Tender List'!DB_PRICING,3,FALSE))</definedName>
    <definedName name="Desc_DB1">IF(VLOOKUP(#REF!,DB_PRICING,3,FALSE)=0,0,VLOOKUP(#REF!,DB_PRICING,3,FALSE))</definedName>
    <definedName name="Desc_DC">#N/A</definedName>
    <definedName name="Desc_MV_Cable" localSheetId="2">IF(VLOOKUP(#REF!,'A10 Design + Subs fee'!CABLE_PRICING,3,FALSE)=0,0,VLOOKUP(#REF!,'A10 Design + Subs fee'!CABLE_PRICING,3,FALSE))</definedName>
    <definedName name="Desc_MV_Cable" localSheetId="1">IF(VLOOKUP(#REF!,'A9 Design + Subs fee '!CABLE_PRICING,3,FALSE)=0,0,VLOOKUP(#REF!,'A9 Design + Subs fee '!CABLE_PRICING,3,FALSE))</definedName>
    <definedName name="Desc_MV_Cable" localSheetId="0">IF(VLOOKUP(#REF!,'FEE RECON RAIHAN'!CABLE_PRICING,3,FALSE)=0,0,VLOOKUP(#REF!,'FEE RECON RAIHAN'!CABLE_PRICING,3,FALSE))</definedName>
    <definedName name="Desc_MV_Cable" localSheetId="4">IF(VLOOKUP(#REF!,'Mastersheet-Projects'!CABLE_PRICING,3,FALSE)=0,0,VLOOKUP(#REF!,'Mastersheet-Projects'!CABLE_PRICING,3,FALSE))</definedName>
    <definedName name="Desc_MV_Cable" localSheetId="3">IF(VLOOKUP(#REF!,'Mastersheet-Resources'!CABLE_PRICING,3,FALSE)=0,0,VLOOKUP(#REF!,'Mastersheet-Resources'!CABLE_PRICING,3,FALSE))</definedName>
    <definedName name="Desc_MV_Cable" localSheetId="5">IF(VLOOKUP(#REF!,'Tender List'!CABLE_PRICING,3,FALSE)=0,0,VLOOKUP(#REF!,'Tender List'!CABLE_PRICING,3,FALSE))</definedName>
    <definedName name="Desc_MV_Cable">IF(VLOOKUP(#REF!,CABLE_PRICING,3,FALSE)=0,0,VLOOKUP(#REF!,CABLE_PRICING,3,FALSE))</definedName>
    <definedName name="Desc_Other" localSheetId="2">IF(VLOOKUP(#REF!,'A10 Design + Subs fee'!OTHER_PRICING,2,FALSE)=0,0,VLOOKUP(#REF!,'A10 Design + Subs fee'!OTHER_PRICING,2,FALSE))</definedName>
    <definedName name="Desc_Other" localSheetId="1">IF(VLOOKUP(#REF!,'A9 Design + Subs fee '!OTHER_PRICING,2,FALSE)=0,0,VLOOKUP(#REF!,'A9 Design + Subs fee '!OTHER_PRICING,2,FALSE))</definedName>
    <definedName name="Desc_Other" localSheetId="0">IF(VLOOKUP(#REF!,'FEE RECON RAIHAN'!OTHER_PRICING,2,FALSE)=0,0,VLOOKUP(#REF!,'FEE RECON RAIHAN'!OTHER_PRICING,2,FALSE))</definedName>
    <definedName name="Desc_Other" localSheetId="4">IF(VLOOKUP(#REF!,'Mastersheet-Projects'!OTHER_PRICING,2,FALSE)=0,0,VLOOKUP(#REF!,'Mastersheet-Projects'!OTHER_PRICING,2,FALSE))</definedName>
    <definedName name="Desc_Other" localSheetId="3">IF(VLOOKUP(#REF!,'Mastersheet-Resources'!OTHER_PRICING,2,FALSE)=0,0,VLOOKUP(#REF!,'Mastersheet-Resources'!OTHER_PRICING,2,FALSE))</definedName>
    <definedName name="Desc_Other" localSheetId="5">IF(VLOOKUP(#REF!,'Tender List'!OTHER_PRICING,2,FALSE)=0,0,VLOOKUP(#REF!,'Tender List'!OTHER_PRICING,2,FALSE))</definedName>
    <definedName name="Desc_Other">IF(VLOOKUP(#REF!,OTHER_PRICING,2,FALSE)=0,0,VLOOKUP(#REF!,OTHER_PRICING,2,FALSE))</definedName>
    <definedName name="Desc_Par1_Conduit" localSheetId="2">IF(VLOOKUP(#REF!,'A10 Design + Subs fee'!COND_PRICING,3,FALSE)=0,0,VLOOKUP(#REF!,'A10 Design + Subs fee'!COND_PRICING,3,FALSE))</definedName>
    <definedName name="Desc_Par1_Conduit" localSheetId="1">IF(VLOOKUP(#REF!,'A9 Design + Subs fee '!COND_PRICING,3,FALSE)=0,0,VLOOKUP(#REF!,'A9 Design + Subs fee '!COND_PRICING,3,FALSE))</definedName>
    <definedName name="Desc_Par1_Conduit" localSheetId="0">IF(VLOOKUP(#REF!,'FEE RECON RAIHAN'!COND_PRICING,3,FALSE)=0,0,VLOOKUP(#REF!,'FEE RECON RAIHAN'!COND_PRICING,3,FALSE))</definedName>
    <definedName name="Desc_Par1_Conduit" localSheetId="4">IF(VLOOKUP(#REF!,'Mastersheet-Projects'!COND_PRICING,3,FALSE)=0,0,VLOOKUP(#REF!,'Mastersheet-Projects'!COND_PRICING,3,FALSE))</definedName>
    <definedName name="Desc_Par1_Conduit" localSheetId="3">IF(VLOOKUP(#REF!,'Mastersheet-Resources'!COND_PRICING,3,FALSE)=0,0,VLOOKUP(#REF!,'Mastersheet-Resources'!COND_PRICING,3,FALSE))</definedName>
    <definedName name="Desc_Par1_Conduit" localSheetId="5">IF(VLOOKUP(#REF!,'Tender List'!COND_PRICING,3,FALSE)=0,0,VLOOKUP(#REF!,'Tender List'!COND_PRICING,3,FALSE))</definedName>
    <definedName name="Desc_Par1_Conduit">IF(VLOOKUP(#REF!,COND_PRICING,3,FALSE)=0,0,VLOOKUP(#REF!,COND_PRICING,3,FALSE))</definedName>
    <definedName name="Desc_Par1_DB" localSheetId="2">IF(VLOOKUP(#REF!,'A10 Design + Subs fee'!DB_PRICING,5,FALSE)=0,0,VLOOKUP(#REF!,'A10 Design + Subs fee'!DB_PRICING,5,FALSE))</definedName>
    <definedName name="Desc_Par1_DB" localSheetId="1">IF(VLOOKUP(#REF!,'A9 Design + Subs fee '!DB_PRICING,5,FALSE)=0,0,VLOOKUP(#REF!,'A9 Design + Subs fee '!DB_PRICING,5,FALSE))</definedName>
    <definedName name="Desc_Par1_DB" localSheetId="0">IF(VLOOKUP(#REF!,'FEE RECON RAIHAN'!DB_PRICING,5,FALSE)=0,0,VLOOKUP(#REF!,'FEE RECON RAIHAN'!DB_PRICING,5,FALSE))</definedName>
    <definedName name="Desc_Par1_DB" localSheetId="4">IF(VLOOKUP(#REF!,'Mastersheet-Projects'!DB_PRICING,5,FALSE)=0,0,VLOOKUP(#REF!,'Mastersheet-Projects'!DB_PRICING,5,FALSE))</definedName>
    <definedName name="Desc_Par1_DB" localSheetId="3">IF(VLOOKUP(#REF!,'Mastersheet-Resources'!DB_PRICING,5,FALSE)=0,0,VLOOKUP(#REF!,'Mastersheet-Resources'!DB_PRICING,5,FALSE))</definedName>
    <definedName name="Desc_Par1_DB" localSheetId="5">IF(VLOOKUP(#REF!,'Tender List'!DB_PRICING,5,FALSE)=0,0,VLOOKUP(#REF!,'Tender List'!DB_PRICING,5,FALSE))</definedName>
    <definedName name="Desc_Par1_DB">IF(VLOOKUP(#REF!,DB_PRICING,5,FALSE)=0,0,VLOOKUP(#REF!,DB_PRICING,5,FALSE))</definedName>
    <definedName name="Desc_Par2_Conduit" localSheetId="2">IF(VLOOKUP(#REF!,'A10 Design + Subs fee'!COND_PRICING,4,FALSE)=0,0,VLOOKUP(#REF!,'A10 Design + Subs fee'!COND_PRICING,4,FALSE))</definedName>
    <definedName name="Desc_Par2_Conduit" localSheetId="1">IF(VLOOKUP(#REF!,'A9 Design + Subs fee '!COND_PRICING,4,FALSE)=0,0,VLOOKUP(#REF!,'A9 Design + Subs fee '!COND_PRICING,4,FALSE))</definedName>
    <definedName name="Desc_Par2_Conduit" localSheetId="0">IF(VLOOKUP(#REF!,'FEE RECON RAIHAN'!COND_PRICING,4,FALSE)=0,0,VLOOKUP(#REF!,'FEE RECON RAIHAN'!COND_PRICING,4,FALSE))</definedName>
    <definedName name="Desc_Par2_Conduit" localSheetId="4">IF(VLOOKUP(#REF!,'Mastersheet-Projects'!COND_PRICING,4,FALSE)=0,0,VLOOKUP(#REF!,'Mastersheet-Projects'!COND_PRICING,4,FALSE))</definedName>
    <definedName name="Desc_Par2_Conduit" localSheetId="3">IF(VLOOKUP(#REF!,'Mastersheet-Resources'!COND_PRICING,4,FALSE)=0,0,VLOOKUP(#REF!,'Mastersheet-Resources'!COND_PRICING,4,FALSE))</definedName>
    <definedName name="Desc_Par2_Conduit" localSheetId="5">IF(VLOOKUP(#REF!,'Tender List'!COND_PRICING,4,FALSE)=0,0,VLOOKUP(#REF!,'Tender List'!COND_PRICING,4,FALSE))</definedName>
    <definedName name="Desc_Par2_Conduit">IF(VLOOKUP(#REF!,COND_PRICING,4,FALSE)=0,0,VLOOKUP(#REF!,COND_PRICING,4,FALSE))</definedName>
    <definedName name="Desc_Par3_DB" localSheetId="2">IF(VLOOKUP(#REF!,'A10 Design + Subs fee'!DB_PRICING,6,FALSE)=0,0,VLOOKUP(#REF!,'A10 Design + Subs fee'!DB_PRICING,6,FALSE))</definedName>
    <definedName name="Desc_Par3_DB" localSheetId="1">IF(VLOOKUP(#REF!,'A9 Design + Subs fee '!DB_PRICING,6,FALSE)=0,0,VLOOKUP(#REF!,'A9 Design + Subs fee '!DB_PRICING,6,FALSE))</definedName>
    <definedName name="Desc_Par3_DB" localSheetId="0">IF(VLOOKUP(#REF!,'FEE RECON RAIHAN'!DB_PRICING,6,FALSE)=0,0,VLOOKUP(#REF!,'FEE RECON RAIHAN'!DB_PRICING,6,FALSE))</definedName>
    <definedName name="Desc_Par3_DB" localSheetId="4">IF(VLOOKUP(#REF!,'Mastersheet-Projects'!DB_PRICING,6,FALSE)=0,0,VLOOKUP(#REF!,'Mastersheet-Projects'!DB_PRICING,6,FALSE))</definedName>
    <definedName name="Desc_Par3_DB" localSheetId="3">IF(VLOOKUP(#REF!,'Mastersheet-Resources'!DB_PRICING,6,FALSE)=0,0,VLOOKUP(#REF!,'Mastersheet-Resources'!DB_PRICING,6,FALSE))</definedName>
    <definedName name="Desc_Par3_DB" localSheetId="5">IF(VLOOKUP(#REF!,'Tender List'!DB_PRICING,6,FALSE)=0,0,VLOOKUP(#REF!,'Tender List'!DB_PRICING,6,FALSE))</definedName>
    <definedName name="Desc_Par3_DB">IF(VLOOKUP(#REF!,DB_PRICING,6,FALSE)=0,0,VLOOKUP(#REF!,DB_PRICING,6,FALSE))</definedName>
    <definedName name="Desc_Par6_DB" localSheetId="2">IF(VLOOKUP(#REF!,'A10 Design + Subs fee'!DB_PRICING,7,FALSE)=0,0,VLOOKUP(#REF!,'A10 Design + Subs fee'!DB_PRICING,7,FALSE))</definedName>
    <definedName name="Desc_Par6_DB" localSheetId="1">IF(VLOOKUP(#REF!,'A9 Design + Subs fee '!DB_PRICING,7,FALSE)=0,0,VLOOKUP(#REF!,'A9 Design + Subs fee '!DB_PRICING,7,FALSE))</definedName>
    <definedName name="Desc_Par6_DB" localSheetId="0">IF(VLOOKUP(#REF!,'FEE RECON RAIHAN'!DB_PRICING,7,FALSE)=0,0,VLOOKUP(#REF!,'FEE RECON RAIHAN'!DB_PRICING,7,FALSE))</definedName>
    <definedName name="Desc_Par6_DB" localSheetId="4">IF(VLOOKUP(#REF!,'Mastersheet-Projects'!DB_PRICING,7,FALSE)=0,0,VLOOKUP(#REF!,'Mastersheet-Projects'!DB_PRICING,7,FALSE))</definedName>
    <definedName name="Desc_Par6_DB" localSheetId="3">IF(VLOOKUP(#REF!,'Mastersheet-Resources'!DB_PRICING,7,FALSE)=0,0,VLOOKUP(#REF!,'Mastersheet-Resources'!DB_PRICING,7,FALSE))</definedName>
    <definedName name="Desc_Par6_DB" localSheetId="5">IF(VLOOKUP(#REF!,'Tender List'!DB_PRICING,7,FALSE)=0,0,VLOOKUP(#REF!,'Tender List'!DB_PRICING,7,FALSE))</definedName>
    <definedName name="Desc_Par6_DB">IF(VLOOKUP(#REF!,DB_PRICING,7,FALSE)=0,0,VLOOKUP(#REF!,DB_PRICING,7,FALSE))</definedName>
    <definedName name="Desc_Tray" localSheetId="2">IF(VLOOKUP(#REF!,'A10 Design + Subs fee'!TRAY_PRICING,3,FALSE)=0,0,VLOOKUP(#REF!,'A10 Design + Subs fee'!TRAY_PRICING,3,FALSE))</definedName>
    <definedName name="Desc_Tray" localSheetId="1">IF(VLOOKUP(#REF!,'A9 Design + Subs fee '!TRAY_PRICING,3,FALSE)=0,0,VLOOKUP(#REF!,'A9 Design + Subs fee '!TRAY_PRICING,3,FALSE))</definedName>
    <definedName name="Desc_Tray" localSheetId="0">IF(VLOOKUP(#REF!,'FEE RECON RAIHAN'!TRAY_PRICING,3,FALSE)=0,0,VLOOKUP(#REF!,'FEE RECON RAIHAN'!TRAY_PRICING,3,FALSE))</definedName>
    <definedName name="Desc_Tray" localSheetId="4">IF(VLOOKUP(#REF!,'Mastersheet-Projects'!TRAY_PRICING,3,FALSE)=0,0,VLOOKUP(#REF!,'Mastersheet-Projects'!TRAY_PRICING,3,FALSE))</definedName>
    <definedName name="Desc_Tray" localSheetId="3">IF(VLOOKUP(#REF!,'Mastersheet-Resources'!TRAY_PRICING,3,FALSE)=0,0,VLOOKUP(#REF!,'Mastersheet-Resources'!TRAY_PRICING,3,FALSE))</definedName>
    <definedName name="Desc_Tray" localSheetId="5">IF(VLOOKUP(#REF!,'Tender List'!TRAY_PRICING,3,FALSE)=0,0,VLOOKUP(#REF!,'Tender List'!TRAY_PRICING,3,FALSE))</definedName>
    <definedName name="Desc_Tray">IF(VLOOKUP(#REF!,TRAY_PRICING,3,FALSE)=0,0,VLOOKUP(#REF!,TRAY_PRICING,3,FALSE))</definedName>
    <definedName name="Desc1_Conduit">#N/A</definedName>
    <definedName name="Desc1_MV_Cable">#N/A</definedName>
    <definedName name="Desc1_Other">#N/A</definedName>
    <definedName name="Desc1_Par1_Conduit">#N/A</definedName>
    <definedName name="Desc1_Tray">#N/A</definedName>
    <definedName name="Desc2_MV_Cable">#N/A</definedName>
    <definedName name="Desc2_Par2_Conduit">#N/A</definedName>
    <definedName name="DESCRIPTION" localSheetId="4">#REF!,#REF!,#REF!,#REF!,#REF!,#REF!,#REF!</definedName>
    <definedName name="DESCRIPTION" localSheetId="3">#REF!,#REF!,#REF!,#REF!,#REF!,#REF!,#REF!</definedName>
    <definedName name="DESCRIPTION" localSheetId="5">#REF!,#REF!,#REF!,#REF!,#REF!,#REF!,#REF!</definedName>
    <definedName name="DESCRIPTION">#REF!,#REF!,#REF!,#REF!,#REF!,#REF!,#REF!</definedName>
    <definedName name="DESCRIPTION2" localSheetId="4">#REF!,#REF!,#REF!,#REF!,#REF!,#REF!,#REF!</definedName>
    <definedName name="DESCRIPTION2" localSheetId="3">#REF!,#REF!,#REF!,#REF!,#REF!,#REF!,#REF!</definedName>
    <definedName name="DESCRIPTION2" localSheetId="5">#REF!,#REF!,#REF!,#REF!,#REF!,#REF!,#REF!</definedName>
    <definedName name="DESCRIPTION2">#REF!,#REF!,#REF!,#REF!,#REF!,#REF!,#REF!</definedName>
    <definedName name="design" localSheetId="4">#REF!</definedName>
    <definedName name="design" localSheetId="3">#REF!</definedName>
    <definedName name="design" localSheetId="5">#REF!</definedName>
    <definedName name="design">#REF!</definedName>
    <definedName name="Design_period_weeks" localSheetId="4">#REF!</definedName>
    <definedName name="Design_period_weeks" localSheetId="3">#REF!</definedName>
    <definedName name="Design_period_weeks" localSheetId="5">#REF!</definedName>
    <definedName name="Design_period_weeks">#REF!</definedName>
    <definedName name="Desk_00" localSheetId="2">#REF!</definedName>
    <definedName name="Desk_00" localSheetId="1">#REF!</definedName>
    <definedName name="Desk_00" localSheetId="0">#REF!</definedName>
    <definedName name="Desk_00" localSheetId="4">#REF!</definedName>
    <definedName name="Desk_00" localSheetId="3">#REF!</definedName>
    <definedName name="Desk_00" localSheetId="5">#REF!</definedName>
    <definedName name="Desk_00">#REF!</definedName>
    <definedName name="Desk_01" localSheetId="2">#REF!</definedName>
    <definedName name="Desk_01" localSheetId="1">#REF!</definedName>
    <definedName name="Desk_01" localSheetId="0">#REF!</definedName>
    <definedName name="Desk_01" localSheetId="4">#REF!</definedName>
    <definedName name="Desk_01" localSheetId="3">#REF!</definedName>
    <definedName name="Desk_01" localSheetId="5">#REF!</definedName>
    <definedName name="Desk_01">#REF!</definedName>
    <definedName name="Desk_02" localSheetId="2">#REF!</definedName>
    <definedName name="Desk_02" localSheetId="1">#REF!</definedName>
    <definedName name="Desk_02" localSheetId="0">#REF!</definedName>
    <definedName name="Desk_02" localSheetId="4">#REF!</definedName>
    <definedName name="Desk_02" localSheetId="3">#REF!</definedName>
    <definedName name="Desk_02" localSheetId="5">#REF!</definedName>
    <definedName name="Desk_02">#REF!</definedName>
    <definedName name="Desk_03" localSheetId="2">#REF!</definedName>
    <definedName name="Desk_03" localSheetId="1">#REF!</definedName>
    <definedName name="Desk_03" localSheetId="0">#REF!</definedName>
    <definedName name="Desk_03" localSheetId="4">#REF!</definedName>
    <definedName name="Desk_03" localSheetId="3">#REF!</definedName>
    <definedName name="Desk_03" localSheetId="5">#REF!</definedName>
    <definedName name="Desk_03">#REF!</definedName>
    <definedName name="DesRatio" localSheetId="2">#REF!</definedName>
    <definedName name="DesRatio" localSheetId="1">#REF!</definedName>
    <definedName name="DesRatio" localSheetId="0">#REF!</definedName>
    <definedName name="DesRatio" localSheetId="4">#REF!</definedName>
    <definedName name="DesRatio" localSheetId="3">#REF!</definedName>
    <definedName name="DesRatio" localSheetId="5">#REF!</definedName>
    <definedName name="DesRatio">#REF!</definedName>
    <definedName name="DESUP_HTRS" localSheetId="2">#REF!</definedName>
    <definedName name="DESUP_HTRS" localSheetId="1">#REF!</definedName>
    <definedName name="DESUP_HTRS" localSheetId="0">#REF!</definedName>
    <definedName name="DESUP_HTRS" localSheetId="4">#REF!</definedName>
    <definedName name="DESUP_HTRS" localSheetId="3">#REF!</definedName>
    <definedName name="DESUP_HTRS" localSheetId="5">#REF!</definedName>
    <definedName name="DESUP_HTRS">#REF!</definedName>
    <definedName name="DETAIL_TOT" localSheetId="2">#REF!</definedName>
    <definedName name="DETAIL_TOT" localSheetId="1">#REF!</definedName>
    <definedName name="DETAIL_TOT" localSheetId="0">#REF!</definedName>
    <definedName name="DETAIL_TOT" localSheetId="4">#REF!</definedName>
    <definedName name="DETAIL_TOT" localSheetId="3">#REF!</definedName>
    <definedName name="DETAIL_TOT" localSheetId="5">#REF!</definedName>
    <definedName name="DETAIL_TOT">#REF!</definedName>
    <definedName name="dfd" localSheetId="4">MATCH(0.01,#REF!,-1)+1</definedName>
    <definedName name="dfd" localSheetId="3">MATCH(0.01,#REF!,-1)+1</definedName>
    <definedName name="dfd" localSheetId="5">MATCH(0.01,#REF!,-1)+1</definedName>
    <definedName name="dfd">MATCH(0.01,#REF!,-1)+1</definedName>
    <definedName name="dfdf" localSheetId="5">#REF!</definedName>
    <definedName name="dfdf">#REF!</definedName>
    <definedName name="DFDFF" localSheetId="4">#REF!</definedName>
    <definedName name="DFDFF" localSheetId="3">#REF!</definedName>
    <definedName name="DFDFF" localSheetId="5">#REF!</definedName>
    <definedName name="DFDFF">#REF!</definedName>
    <definedName name="dfe" localSheetId="4">#REF!</definedName>
    <definedName name="dfe" localSheetId="3">#REF!</definedName>
    <definedName name="dfe" localSheetId="5">#REF!</definedName>
    <definedName name="dfe">#REF!</definedName>
    <definedName name="dffddf" localSheetId="2" hidden="1">{"'Break down'!$A$4"}</definedName>
    <definedName name="dffddf" localSheetId="1" hidden="1">{"'Break down'!$A$4"}</definedName>
    <definedName name="dffddf" localSheetId="0" hidden="1">{"'Break down'!$A$4"}</definedName>
    <definedName name="dffddf" localSheetId="4" hidden="1">{"'Break down'!$A$4"}</definedName>
    <definedName name="dffddf" localSheetId="3" hidden="1">{"'Break down'!$A$4"}</definedName>
    <definedName name="dffddf" localSheetId="5" hidden="1">{"'Break down'!$A$4"}</definedName>
    <definedName name="dffddf" hidden="1">{"'Break down'!$A$4"}</definedName>
    <definedName name="dffddf_1" localSheetId="2" hidden="1">{"'Break down'!$A$4"}</definedName>
    <definedName name="dffddf_1" localSheetId="1" hidden="1">{"'Break down'!$A$4"}</definedName>
    <definedName name="dffddf_1" localSheetId="0" hidden="1">{"'Break down'!$A$4"}</definedName>
    <definedName name="dffddf_1" localSheetId="4" hidden="1">{"'Break down'!$A$4"}</definedName>
    <definedName name="dffddf_1" localSheetId="3" hidden="1">{"'Break down'!$A$4"}</definedName>
    <definedName name="dffddf_1" localSheetId="5" hidden="1">{"'Break down'!$A$4"}</definedName>
    <definedName name="dffddf_1" hidden="1">{"'Break down'!$A$4"}</definedName>
    <definedName name="dffddf_2" localSheetId="2" hidden="1">{"'Break down'!$A$4"}</definedName>
    <definedName name="dffddf_2" localSheetId="1" hidden="1">{"'Break down'!$A$4"}</definedName>
    <definedName name="dffddf_2" localSheetId="0" hidden="1">{"'Break down'!$A$4"}</definedName>
    <definedName name="dffddf_2" localSheetId="4" hidden="1">{"'Break down'!$A$4"}</definedName>
    <definedName name="dffddf_2" localSheetId="3" hidden="1">{"'Break down'!$A$4"}</definedName>
    <definedName name="dffddf_2" localSheetId="5" hidden="1">{"'Break down'!$A$4"}</definedName>
    <definedName name="dffddf_2" hidden="1">{"'Break down'!$A$4"}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bdfdzv" localSheetId="5">#REF!</definedName>
    <definedName name="dfgbdfdzv">#REF!</definedName>
    <definedName name="dfgdf" localSheetId="0">#REF!</definedName>
    <definedName name="dfgdf" localSheetId="4">#REF!</definedName>
    <definedName name="dfgdf" localSheetId="3">#REF!</definedName>
    <definedName name="dfgdf" localSheetId="5">#REF!</definedName>
    <definedName name="dfgdf">#REF!</definedName>
    <definedName name="dfs" localSheetId="0">#REF!</definedName>
    <definedName name="dfs" localSheetId="4">#REF!</definedName>
    <definedName name="dfs" localSheetId="3">#REF!</definedName>
    <definedName name="dfs" localSheetId="5">#REF!</definedName>
    <definedName name="dfs">#REF!</definedName>
    <definedName name="dfsdfs" localSheetId="2">#REF!</definedName>
    <definedName name="dfsdfs" localSheetId="1">#REF!</definedName>
    <definedName name="dfsdfs" localSheetId="0">#REF!</definedName>
    <definedName name="dfsdfs" localSheetId="4">#REF!</definedName>
    <definedName name="dfsdfs" localSheetId="3">#REF!</definedName>
    <definedName name="dfsdfs" localSheetId="5">#REF!</definedName>
    <definedName name="dfsdfs">#REF!</definedName>
    <definedName name="dfsdfsdfs" localSheetId="0">#REF!</definedName>
    <definedName name="dfsdfsdfs" localSheetId="4">#REF!</definedName>
    <definedName name="dfsdfsdfs" localSheetId="3">#REF!</definedName>
    <definedName name="dfsdfsdfs" localSheetId="5">#REF!</definedName>
    <definedName name="dfsdfsdfs">#REF!</definedName>
    <definedName name="dfsg" localSheetId="2" hidden="1">{#N/A,#N/A,FALSE,"估價單  (3)"}</definedName>
    <definedName name="dfsg" localSheetId="1" hidden="1">{#N/A,#N/A,FALSE,"估價單  (3)"}</definedName>
    <definedName name="dfsg" localSheetId="0" hidden="1">{#N/A,#N/A,FALSE,"估價單  (3)"}</definedName>
    <definedName name="dfsg" localSheetId="4" hidden="1">{#N/A,#N/A,FALSE,"估價單  (3)"}</definedName>
    <definedName name="dfsg" localSheetId="3" hidden="1">{#N/A,#N/A,FALSE,"估價單  (3)"}</definedName>
    <definedName name="dfsg" localSheetId="5" hidden="1">{#N/A,#N/A,FALSE,"估價單  (3)"}</definedName>
    <definedName name="dfsg" hidden="1">{#N/A,#N/A,FALSE,"估價單  (3)"}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dj" localSheetId="2">#REF!</definedName>
    <definedName name="dhdj" localSheetId="1">#REF!</definedName>
    <definedName name="dhdj" localSheetId="0">#REF!</definedName>
    <definedName name="dhdj" localSheetId="4">#REF!</definedName>
    <definedName name="dhdj" localSheetId="3">#REF!</definedName>
    <definedName name="dhdj" localSheetId="5">#REF!</definedName>
    <definedName name="dhdj">#REF!</definedName>
    <definedName name="di">#N/A</definedName>
    <definedName name="diameter" localSheetId="2">#REF!</definedName>
    <definedName name="diameter" localSheetId="1">#REF!</definedName>
    <definedName name="diameter" localSheetId="0">#REF!</definedName>
    <definedName name="diameter" localSheetId="4">#REF!</definedName>
    <definedName name="diameter" localSheetId="3">#REF!</definedName>
    <definedName name="diameter" localSheetId="5">#REF!</definedName>
    <definedName name="diameter">#REF!</definedName>
    <definedName name="diaphragm" localSheetId="2">#REF!</definedName>
    <definedName name="diaphragm" localSheetId="1">#REF!</definedName>
    <definedName name="diaphragm" localSheetId="0">#REF!</definedName>
    <definedName name="diaphragm" localSheetId="4">#REF!</definedName>
    <definedName name="diaphragm" localSheetId="3">#REF!</definedName>
    <definedName name="diaphragm" localSheetId="5">#REF!</definedName>
    <definedName name="diaphragm">#REF!</definedName>
    <definedName name="DIRECT_BURIAL" localSheetId="2">#REF!</definedName>
    <definedName name="DIRECT_BURIAL" localSheetId="1">#REF!</definedName>
    <definedName name="DIRECT_BURIAL" localSheetId="0">#REF!</definedName>
    <definedName name="DIRECT_BURIAL" localSheetId="4">#REF!</definedName>
    <definedName name="DIRECT_BURIAL" localSheetId="3">#REF!</definedName>
    <definedName name="DIRECT_BURIAL" localSheetId="5">#REF!</definedName>
    <definedName name="DIRECT_BURIAL">#REF!</definedName>
    <definedName name="DIRECTHIRE_LABOR_UNIT_HOURS" localSheetId="4">#REF!,#REF!,#REF!,#REF!,#REF!,#REF!,#REF!</definedName>
    <definedName name="DIRECTHIRE_LABOR_UNIT_HOURS" localSheetId="3">#REF!,#REF!,#REF!,#REF!,#REF!,#REF!,#REF!</definedName>
    <definedName name="DIRECTHIRE_LABOR_UNIT_HOURS" localSheetId="5">#REF!,#REF!,#REF!,#REF!,#REF!,#REF!,#REF!</definedName>
    <definedName name="DIRECTHIRE_LABOR_UNIT_HOURS">#REF!,#REF!,#REF!,#REF!,#REF!,#REF!,#REF!</definedName>
    <definedName name="DIRECTHIRE_WAGE_RATE" localSheetId="4">#REF!,#REF!,#REF!,#REF!,#REF!,#REF!,#REF!</definedName>
    <definedName name="DIRECTHIRE_WAGE_RATE" localSheetId="3">#REF!,#REF!,#REF!,#REF!,#REF!,#REF!,#REF!</definedName>
    <definedName name="DIRECTHIRE_WAGE_RATE" localSheetId="5">#REF!,#REF!,#REF!,#REF!,#REF!,#REF!,#REF!</definedName>
    <definedName name="DIRECTHIRE_WAGE_RATE">#REF!,#REF!,#REF!,#REF!,#REF!,#REF!,#REF!</definedName>
    <definedName name="DirHrs" localSheetId="2">IF(VLOOKUP(#REF!,'A10 Design + Subs fee'!TABLE,3)*#REF!*#REF!=0,0,VLOOKUP(#REF!,'A10 Design + Subs fee'!TABLE,3)*#REF!*#REF!)</definedName>
    <definedName name="DirHrs" localSheetId="1">IF(VLOOKUP(#REF!,'A9 Design + Subs fee '!TABLE,3)*#REF!*#REF!=0,0,VLOOKUP(#REF!,'A9 Design + Subs fee '!TABLE,3)*#REF!*#REF!)</definedName>
    <definedName name="DirHrs" localSheetId="0">IF(VLOOKUP(#REF!,'FEE RECON RAIHAN'!TABLE,3)*#REF!*#REF!=0,0,VLOOKUP(#REF!,'FEE RECON RAIHAN'!TABLE,3)*#REF!*#REF!)</definedName>
    <definedName name="DirHrs" localSheetId="4">IF(VLOOKUP(#REF!,'Mastersheet-Projects'!TABLE,3)*#REF!*#REF!=0,0,VLOOKUP(#REF!,'Mastersheet-Projects'!TABLE,3)*#REF!*#REF!)</definedName>
    <definedName name="DirHrs" localSheetId="3">IF(VLOOKUP(#REF!,'Mastersheet-Resources'!TABLE,3)*#REF!*#REF!=0,0,VLOOKUP(#REF!,'Mastersheet-Resources'!TABLE,3)*#REF!*#REF!)</definedName>
    <definedName name="DirHrs" localSheetId="5">IF(VLOOKUP(#REF!,'Tender List'!TABLE,3)*#REF!*#REF!=0,0,VLOOKUP(#REF!,'Tender List'!TABLE,3)*#REF!*#REF!)</definedName>
    <definedName name="DirHrs">IF(VLOOKUP(#REF!,#REF!,3)*#REF!*#REF!=0,0,VLOOKUP(#REF!,#REF!,3)*#REF!*#REF!)</definedName>
    <definedName name="DirHrs1" localSheetId="2">IF(VLOOKUP(#REF!,'A10 Design + Subs fee'!TABLE,3)*#REF!*#REF!=0,0,VLOOKUP(#REF!,'A10 Design + Subs fee'!TABLE,3)*#REF!*#REF!)</definedName>
    <definedName name="DirHrs1" localSheetId="1">IF(VLOOKUP(#REF!,'A9 Design + Subs fee '!TABLE,3)*#REF!*#REF!=0,0,VLOOKUP(#REF!,'A9 Design + Subs fee '!TABLE,3)*#REF!*#REF!)</definedName>
    <definedName name="DirHrs1" localSheetId="0">IF(VLOOKUP(#REF!,'FEE RECON RAIHAN'!TABLE,3)*#REF!*#REF!=0,0,VLOOKUP(#REF!,'FEE RECON RAIHAN'!TABLE,3)*#REF!*#REF!)</definedName>
    <definedName name="DirHrs1" localSheetId="4">IF(VLOOKUP(#REF!,'Mastersheet-Projects'!TABLE,3)*#REF!*#REF!=0,0,VLOOKUP(#REF!,'Mastersheet-Projects'!TABLE,3)*#REF!*#REF!)</definedName>
    <definedName name="DirHrs1" localSheetId="3">IF(VLOOKUP(#REF!,'Mastersheet-Resources'!TABLE,3)*#REF!*#REF!=0,0,VLOOKUP(#REF!,'Mastersheet-Resources'!TABLE,3)*#REF!*#REF!)</definedName>
    <definedName name="DirHrs1" localSheetId="5">IF(VLOOKUP(#REF!,'Tender List'!TABLE,3)*#REF!*#REF!=0,0,VLOOKUP(#REF!,'Tender List'!TABLE,3)*#REF!*#REF!)</definedName>
    <definedName name="DirHrs1">IF(VLOOKUP(#REF!,#REF!,3)*#REF!*#REF!=0,0,VLOOKUP(#REF!,#REF!,3)*#REF!*#REF!)</definedName>
    <definedName name="Disconnecting_switches" localSheetId="4">#REF!</definedName>
    <definedName name="Disconnecting_switches" localSheetId="3">#REF!</definedName>
    <definedName name="Disconnecting_switches" localSheetId="5">#REF!</definedName>
    <definedName name="Disconnecting_switches">#REF!</definedName>
    <definedName name="Discount" localSheetId="2" hidden="1">#REF!</definedName>
    <definedName name="Discount" localSheetId="1" hidden="1">#REF!</definedName>
    <definedName name="Discount" localSheetId="0" hidden="1">#REF!</definedName>
    <definedName name="Discount" localSheetId="4" hidden="1">#REF!</definedName>
    <definedName name="Discount" localSheetId="3" hidden="1">#REF!</definedName>
    <definedName name="Discount" localSheetId="5" hidden="1">#REF!</definedName>
    <definedName name="Discount" hidden="1">#REF!</definedName>
    <definedName name="DiscRep" localSheetId="2">#REF!</definedName>
    <definedName name="DiscRep" localSheetId="1">#REF!</definedName>
    <definedName name="DiscRep" localSheetId="0">#REF!</definedName>
    <definedName name="DiscRep" localSheetId="4">#REF!</definedName>
    <definedName name="DiscRep" localSheetId="3">#REF!</definedName>
    <definedName name="DiscRep" localSheetId="5">#REF!</definedName>
    <definedName name="DiscRep">#REF!</definedName>
    <definedName name="display_area_2" localSheetId="2" hidden="1">#REF!</definedName>
    <definedName name="display_area_2" localSheetId="1" hidden="1">#REF!</definedName>
    <definedName name="display_area_2" localSheetId="0" hidden="1">#REF!</definedName>
    <definedName name="display_area_2" localSheetId="4" hidden="1">#REF!</definedName>
    <definedName name="display_area_2" localSheetId="3" hidden="1">#REF!</definedName>
    <definedName name="display_area_2" localSheetId="5" hidden="1">#REF!</definedName>
    <definedName name="display_area_2" hidden="1">#REF!</definedName>
    <definedName name="Distribution_substation" localSheetId="4">#REF!</definedName>
    <definedName name="Distribution_substation" localSheetId="3">#REF!</definedName>
    <definedName name="Distribution_substation" localSheetId="5">#REF!</definedName>
    <definedName name="Distribution_substation">#REF!</definedName>
    <definedName name="Div1xx" localSheetId="0">IF([0]!areaa=GE,"GE","ST")</definedName>
    <definedName name="Div1xx" localSheetId="4">IF([0]!_xlnm.Print_Area=GE,"GE","ST")</definedName>
    <definedName name="Div1xx" localSheetId="3">IF([0]!_xlnm.Print_Area=GE,"GE","ST")</definedName>
    <definedName name="Div1xx" localSheetId="5">IF([0]!areaa=GE,"GE","ST")</definedName>
    <definedName name="Div1xx">IF([0]!areaa=GE,"GE","ST")</definedName>
    <definedName name="dk" localSheetId="2">#REF!</definedName>
    <definedName name="dk" localSheetId="1">#REF!</definedName>
    <definedName name="dk" localSheetId="0">#REF!</definedName>
    <definedName name="dk" localSheetId="4">#REF!</definedName>
    <definedName name="dk" localSheetId="3">#REF!</definedName>
    <definedName name="dk" localSheetId="5">#REF!</definedName>
    <definedName name="dk">#REF!</definedName>
    <definedName name="dk4_" localSheetId="2">#REF!</definedName>
    <definedName name="dk4_" localSheetId="1">#REF!</definedName>
    <definedName name="dk4_" localSheetId="0">#REF!</definedName>
    <definedName name="dk4_" localSheetId="4">#REF!</definedName>
    <definedName name="dk4_" localSheetId="3">#REF!</definedName>
    <definedName name="dk4_" localSheetId="5">#REF!</definedName>
    <definedName name="dk4_">#REF!</definedName>
    <definedName name="DMAResourceID" localSheetId="0">#REF!</definedName>
    <definedName name="DMAResourceID" localSheetId="4">#REF!</definedName>
    <definedName name="DMAResourceID" localSheetId="3">#REF!</definedName>
    <definedName name="DMAResourceID" localSheetId="5">#REF!</definedName>
    <definedName name="DMAResourceID">#REF!</definedName>
    <definedName name="DOC" localSheetId="4">#REF!</definedName>
    <definedName name="DOC" localSheetId="3">#REF!</definedName>
    <definedName name="DOC" localSheetId="5">#REF!</definedName>
    <definedName name="DOC">#REF!</definedName>
    <definedName name="Doc_Hrs" localSheetId="2">#REF!</definedName>
    <definedName name="Doc_Hrs" localSheetId="1">#REF!</definedName>
    <definedName name="Doc_Hrs" localSheetId="0">#REF!</definedName>
    <definedName name="Doc_Hrs" localSheetId="4">#REF!</definedName>
    <definedName name="Doc_Hrs" localSheetId="3">#REF!</definedName>
    <definedName name="Doc_Hrs" localSheetId="5">#REF!</definedName>
    <definedName name="Doc_Hrs">#REF!</definedName>
    <definedName name="docsformat" localSheetId="4">#REF!</definedName>
    <definedName name="docsformat" localSheetId="3">#REF!</definedName>
    <definedName name="docsformat" localSheetId="5">#REF!</definedName>
    <definedName name="docsformat">#REF!</definedName>
    <definedName name="dP_INST" localSheetId="2">#REF!</definedName>
    <definedName name="dP_INST" localSheetId="1">#REF!</definedName>
    <definedName name="dP_INST" localSheetId="0">#REF!</definedName>
    <definedName name="dP_INST" localSheetId="4">#REF!</definedName>
    <definedName name="dP_INST" localSheetId="3">#REF!</definedName>
    <definedName name="dP_INST" localSheetId="5">#REF!</definedName>
    <definedName name="dP_INST">#REF!</definedName>
    <definedName name="dpm" localSheetId="4">#REF!</definedName>
    <definedName name="dpm" localSheetId="3">#REF!</definedName>
    <definedName name="dpm" localSheetId="5">#REF!</definedName>
    <definedName name="dpm">#REF!</definedName>
    <definedName name="drain_trap" localSheetId="2">#REF!</definedName>
    <definedName name="drain_trap" localSheetId="1">#REF!</definedName>
    <definedName name="drain_trap" localSheetId="0">#REF!</definedName>
    <definedName name="drain_trap" localSheetId="4">#REF!</definedName>
    <definedName name="drain_trap" localSheetId="3">#REF!</definedName>
    <definedName name="drain_trap" localSheetId="5">#REF!</definedName>
    <definedName name="drain_trap">#REF!</definedName>
    <definedName name="Drainage___water_supply_fixtures" localSheetId="4">#REF!</definedName>
    <definedName name="Drainage___water_supply_fixtures" localSheetId="3">#REF!</definedName>
    <definedName name="Drainage___water_supply_fixtures" localSheetId="5">#REF!</definedName>
    <definedName name="Drainage___water_supply_fixtures">#REF!</definedName>
    <definedName name="Drawings1" localSheetId="4">#REF!</definedName>
    <definedName name="Drawings1" localSheetId="3">#REF!</definedName>
    <definedName name="Drawings1" localSheetId="5">#REF!</definedName>
    <definedName name="Drawings1">#REF!</definedName>
    <definedName name="dres" localSheetId="4">#REF!</definedName>
    <definedName name="dres" localSheetId="3">#REF!</definedName>
    <definedName name="dres" localSheetId="5">#REF!</definedName>
    <definedName name="dres">#REF!</definedName>
    <definedName name="dsf" localSheetId="2" hidden="1">{#N/A,#N/A,FALSE,"估價單  (3)"}</definedName>
    <definedName name="dsf" localSheetId="1" hidden="1">{#N/A,#N/A,FALSE,"估價單  (3)"}</definedName>
    <definedName name="dsf" localSheetId="0" hidden="1">{#N/A,#N/A,FALSE,"估價單  (3)"}</definedName>
    <definedName name="dsf" localSheetId="4" hidden="1">{#N/A,#N/A,FALSE,"估價單  (3)"}</definedName>
    <definedName name="dsf" localSheetId="3" hidden="1">{#N/A,#N/A,FALSE,"估價單  (3)"}</definedName>
    <definedName name="dsf" localSheetId="5" hidden="1">{#N/A,#N/A,FALSE,"估價單  (3)"}</definedName>
    <definedName name="dsf" hidden="1">{#N/A,#N/A,FALSE,"估價單  (3)"}</definedName>
    <definedName name="dsfg" localSheetId="2" hidden="1">{#N/A,#N/A,FALSE,"估價單  (3)"}</definedName>
    <definedName name="dsfg" localSheetId="1" hidden="1">{#N/A,#N/A,FALSE,"估價單  (3)"}</definedName>
    <definedName name="dsfg" localSheetId="0" hidden="1">{#N/A,#N/A,FALSE,"估價單  (3)"}</definedName>
    <definedName name="dsfg" localSheetId="4" hidden="1">{#N/A,#N/A,FALSE,"估價單  (3)"}</definedName>
    <definedName name="dsfg" localSheetId="3" hidden="1">{#N/A,#N/A,FALSE,"估價單  (3)"}</definedName>
    <definedName name="dsfg" localSheetId="5" hidden="1">{#N/A,#N/A,FALSE,"估價單  (3)"}</definedName>
    <definedName name="dsfg" hidden="1">{#N/A,#N/A,FALSE,"估價單  (3)"}</definedName>
    <definedName name="dsflkj" localSheetId="5">#REF!</definedName>
    <definedName name="dsflkj">#REF!</definedName>
    <definedName name="dsfsad" localSheetId="4">#REF!</definedName>
    <definedName name="dsfsad" localSheetId="3">#REF!</definedName>
    <definedName name="dsfsad" localSheetId="5">#REF!</definedName>
    <definedName name="dsfsad">#REF!</definedName>
    <definedName name="DSP" localSheetId="2" hidden="1">{#N/A,#N/A,FALSE,"估價單  (3)"}</definedName>
    <definedName name="DSP" localSheetId="1" hidden="1">{#N/A,#N/A,FALSE,"估價單  (3)"}</definedName>
    <definedName name="DSP" localSheetId="0" hidden="1">{#N/A,#N/A,FALSE,"估價單  (3)"}</definedName>
    <definedName name="DSP" localSheetId="4" hidden="1">{#N/A,#N/A,FALSE,"估價單  (3)"}</definedName>
    <definedName name="DSP" localSheetId="3" hidden="1">{#N/A,#N/A,FALSE,"估價單  (3)"}</definedName>
    <definedName name="DSP" localSheetId="5" hidden="1">{#N/A,#N/A,FALSE,"估價單  (3)"}</definedName>
    <definedName name="DSP" hidden="1">{#N/A,#N/A,FALSE,"估價單  (3)"}</definedName>
    <definedName name="DTS" localSheetId="2">#REF!</definedName>
    <definedName name="DTS" localSheetId="1">#REF!</definedName>
    <definedName name="DTS" localSheetId="0">#REF!</definedName>
    <definedName name="DTS" localSheetId="4">#REF!</definedName>
    <definedName name="DTS" localSheetId="3">#REF!</definedName>
    <definedName name="DTS" localSheetId="5">#REF!</definedName>
    <definedName name="DTS">#REF!</definedName>
    <definedName name="DTSORT" localSheetId="2">#REF!</definedName>
    <definedName name="DTSORT" localSheetId="1">#REF!</definedName>
    <definedName name="DTSORT" localSheetId="0">#REF!</definedName>
    <definedName name="DTSORT" localSheetId="4">#REF!</definedName>
    <definedName name="DTSORT" localSheetId="3">#REF!</definedName>
    <definedName name="DTSORT" localSheetId="5">#REF!</definedName>
    <definedName name="DTSORT">#REF!</definedName>
    <definedName name="dual_plate_check" localSheetId="2">#REF!</definedName>
    <definedName name="dual_plate_check" localSheetId="1">#REF!</definedName>
    <definedName name="dual_plate_check" localSheetId="0">#REF!</definedName>
    <definedName name="dual_plate_check" localSheetId="4">#REF!</definedName>
    <definedName name="dual_plate_check" localSheetId="3">#REF!</definedName>
    <definedName name="dual_plate_check" localSheetId="5">#REF!</definedName>
    <definedName name="dual_plate_check">#REF!</definedName>
    <definedName name="DUCT" localSheetId="2">#REF!</definedName>
    <definedName name="DUCT" localSheetId="1">#REF!</definedName>
    <definedName name="DUCT" localSheetId="0">#REF!</definedName>
    <definedName name="DUCT" localSheetId="4">#REF!</definedName>
    <definedName name="DUCT" localSheetId="3">#REF!</definedName>
    <definedName name="DUCT" localSheetId="5">#REF!</definedName>
    <definedName name="DUCT">#REF!</definedName>
    <definedName name="Ducts" localSheetId="4">#REF!</definedName>
    <definedName name="Ducts" localSheetId="3">#REF!</definedName>
    <definedName name="Ducts" localSheetId="5">#REF!</definedName>
    <definedName name="Ducts">#REF!</definedName>
    <definedName name="duplex_strainer" localSheetId="2">#REF!</definedName>
    <definedName name="duplex_strainer" localSheetId="1">#REF!</definedName>
    <definedName name="duplex_strainer" localSheetId="0">#REF!</definedName>
    <definedName name="duplex_strainer" localSheetId="4">#REF!</definedName>
    <definedName name="duplex_strainer" localSheetId="3">#REF!</definedName>
    <definedName name="duplex_strainer" localSheetId="5">#REF!</definedName>
    <definedName name="duplex_strainer">#REF!</definedName>
    <definedName name="Duration" localSheetId="2">#REF!</definedName>
    <definedName name="Duration" localSheetId="1">#REF!</definedName>
    <definedName name="Duration" localSheetId="0">#REF!</definedName>
    <definedName name="Duration" localSheetId="4">#REF!</definedName>
    <definedName name="Duration" localSheetId="3">#REF!</definedName>
    <definedName name="Duration" localSheetId="5">#REF!</definedName>
    <definedName name="Duration">#REF!</definedName>
    <definedName name="DurationCalc" localSheetId="2">#REF!</definedName>
    <definedName name="DurationCalc" localSheetId="1">#REF!</definedName>
    <definedName name="DurationCalc" localSheetId="0">#REF!</definedName>
    <definedName name="DurationCalc" localSheetId="4">#REF!</definedName>
    <definedName name="DurationCalc" localSheetId="3">#REF!</definedName>
    <definedName name="DurationCalc" localSheetId="5">#REF!</definedName>
    <definedName name="DurationCalc">#REF!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" localSheetId="2">#REF!</definedName>
    <definedName name="dw" localSheetId="1">#REF!</definedName>
    <definedName name="dw" localSheetId="0">#REF!</definedName>
    <definedName name="dw" localSheetId="4">#REF!</definedName>
    <definedName name="dw" localSheetId="3">#REF!</definedName>
    <definedName name="dw" localSheetId="5">#REF!</definedName>
    <definedName name="dw">#REF!</definedName>
    <definedName name="DW_Sched" localSheetId="2">#REF!</definedName>
    <definedName name="DW_Sched" localSheetId="1">#REF!</definedName>
    <definedName name="DW_Sched" localSheetId="0">#REF!</definedName>
    <definedName name="DW_Sched" localSheetId="4">#REF!</definedName>
    <definedName name="DW_Sched" localSheetId="3">#REF!</definedName>
    <definedName name="DW_Sched" localSheetId="5">#REF!</definedName>
    <definedName name="DW_Sched">#REF!</definedName>
    <definedName name="DWR001_1" localSheetId="4">#REF!</definedName>
    <definedName name="DWR001_1" localSheetId="3">#REF!</definedName>
    <definedName name="DWR001_1" localSheetId="5">#REF!</definedName>
    <definedName name="DWR001_1">#REF!</definedName>
    <definedName name="DWR001_2" localSheetId="4">#REF!</definedName>
    <definedName name="DWR001_2" localSheetId="3">#REF!</definedName>
    <definedName name="DWR001_2" localSheetId="5">#REF!</definedName>
    <definedName name="DWR001_2">#REF!</definedName>
    <definedName name="DWR001_3" localSheetId="4">#REF!</definedName>
    <definedName name="DWR001_3" localSheetId="3">#REF!</definedName>
    <definedName name="DWR001_3" localSheetId="5">#REF!</definedName>
    <definedName name="DWR001_3">#REF!</definedName>
    <definedName name="DWR002_1" localSheetId="4">#REF!</definedName>
    <definedName name="DWR002_1" localSheetId="3">#REF!</definedName>
    <definedName name="DWR002_1" localSheetId="5">#REF!</definedName>
    <definedName name="DWR002_1">#REF!</definedName>
    <definedName name="DWR002_2" localSheetId="4">#REF!</definedName>
    <definedName name="DWR002_2" localSheetId="3">#REF!</definedName>
    <definedName name="DWR002_2" localSheetId="5">#REF!</definedName>
    <definedName name="DWR002_2">#REF!</definedName>
    <definedName name="DWR002_3" localSheetId="4">#REF!</definedName>
    <definedName name="DWR002_3" localSheetId="3">#REF!</definedName>
    <definedName name="DWR002_3" localSheetId="5">#REF!</definedName>
    <definedName name="DWR002_3">#REF!</definedName>
    <definedName name="DWR003_1" localSheetId="4">#REF!</definedName>
    <definedName name="DWR003_1" localSheetId="3">#REF!</definedName>
    <definedName name="DWR003_1" localSheetId="5">#REF!</definedName>
    <definedName name="DWR003_1">#REF!</definedName>
    <definedName name="DWR003_2" localSheetId="4">#REF!</definedName>
    <definedName name="DWR003_2" localSheetId="3">#REF!</definedName>
    <definedName name="DWR003_2" localSheetId="5">#REF!</definedName>
    <definedName name="DWR003_2">#REF!</definedName>
    <definedName name="DWR003_3" localSheetId="4">#REF!</definedName>
    <definedName name="DWR003_3" localSheetId="3">#REF!</definedName>
    <definedName name="DWR003_3" localSheetId="5">#REF!</definedName>
    <definedName name="DWR003_3">#REF!</definedName>
    <definedName name="DWR004_1" localSheetId="4">#REF!</definedName>
    <definedName name="DWR004_1" localSheetId="3">#REF!</definedName>
    <definedName name="DWR004_1" localSheetId="5">#REF!</definedName>
    <definedName name="DWR004_1">#REF!</definedName>
    <definedName name="DWR004_2" localSheetId="4">#REF!</definedName>
    <definedName name="DWR004_2" localSheetId="3">#REF!</definedName>
    <definedName name="DWR004_2" localSheetId="5">#REF!</definedName>
    <definedName name="DWR004_2">#REF!</definedName>
    <definedName name="DWR004_3" localSheetId="4">#REF!</definedName>
    <definedName name="DWR004_3" localSheetId="3">#REF!</definedName>
    <definedName name="DWR004_3" localSheetId="5">#REF!</definedName>
    <definedName name="DWR004_3">#REF!</definedName>
    <definedName name="DWR005_1" localSheetId="4">#REF!</definedName>
    <definedName name="DWR005_1" localSheetId="3">#REF!</definedName>
    <definedName name="DWR005_1" localSheetId="5">#REF!</definedName>
    <definedName name="DWR005_1">#REF!</definedName>
    <definedName name="DWR005_2" localSheetId="4">#REF!</definedName>
    <definedName name="DWR005_2" localSheetId="3">#REF!</definedName>
    <definedName name="DWR005_2" localSheetId="5">#REF!</definedName>
    <definedName name="DWR005_2">#REF!</definedName>
    <definedName name="DWR005_3" localSheetId="4">#REF!</definedName>
    <definedName name="DWR005_3" localSheetId="3">#REF!</definedName>
    <definedName name="DWR005_3" localSheetId="5">#REF!</definedName>
    <definedName name="DWR005_3">#REF!</definedName>
    <definedName name="DynamicTable" localSheetId="4">OFFSET(#REF!,0,0,COUNTA(#REF!),9)</definedName>
    <definedName name="DynamicTable" localSheetId="3">OFFSET(#REF!,0,0,COUNTA(#REF!),9)</definedName>
    <definedName name="DynamicTable" localSheetId="5">OFFSET(#REF!,0,0,COUNTA(#REF!),9)</definedName>
    <definedName name="DynamicTable">OFFSET(#REF!,0,0,COUNTA(#REF!),9)</definedName>
    <definedName name="E" localSheetId="2">#REF!</definedName>
    <definedName name="E" localSheetId="1">#REF!</definedName>
    <definedName name="E" localSheetId="0">#REF!</definedName>
    <definedName name="E" localSheetId="4">#REF!</definedName>
    <definedName name="E" localSheetId="3">#REF!</definedName>
    <definedName name="E" localSheetId="5">#REF!</definedName>
    <definedName name="E">#REF!</definedName>
    <definedName name="e.10" localSheetId="2">#REF!</definedName>
    <definedName name="e.10" localSheetId="1">#REF!</definedName>
    <definedName name="e.10" localSheetId="0">#REF!</definedName>
    <definedName name="e.10" localSheetId="4">#REF!</definedName>
    <definedName name="e.10" localSheetId="3">#REF!</definedName>
    <definedName name="e.10" localSheetId="5">#REF!</definedName>
    <definedName name="e.10">#REF!</definedName>
    <definedName name="e.11" localSheetId="2">#REF!</definedName>
    <definedName name="e.11" localSheetId="1">#REF!</definedName>
    <definedName name="e.11" localSheetId="4">#REF!</definedName>
    <definedName name="e.11" localSheetId="3">#REF!</definedName>
    <definedName name="e.11" localSheetId="5">#REF!</definedName>
    <definedName name="e.11">#REF!</definedName>
    <definedName name="e.13" localSheetId="2">#REF!</definedName>
    <definedName name="e.13" localSheetId="1">#REF!</definedName>
    <definedName name="e.13" localSheetId="4">#REF!</definedName>
    <definedName name="e.13" localSheetId="3">#REF!</definedName>
    <definedName name="e.13" localSheetId="5">#REF!</definedName>
    <definedName name="e.13">#REF!</definedName>
    <definedName name="e.15" localSheetId="2">#REF!</definedName>
    <definedName name="e.15" localSheetId="1">#REF!</definedName>
    <definedName name="e.15" localSheetId="4">#REF!</definedName>
    <definedName name="e.15" localSheetId="3">#REF!</definedName>
    <definedName name="e.15" localSheetId="5">#REF!</definedName>
    <definedName name="e.15">#REF!</definedName>
    <definedName name="e.16" localSheetId="4">#REF!</definedName>
    <definedName name="e.16" localSheetId="3">#REF!</definedName>
    <definedName name="e.16" localSheetId="5">#REF!</definedName>
    <definedName name="e.16">#REF!</definedName>
    <definedName name="e.17" localSheetId="4">#REF!</definedName>
    <definedName name="e.17" localSheetId="3">#REF!</definedName>
    <definedName name="e.17" localSheetId="5">#REF!</definedName>
    <definedName name="e.17">#REF!</definedName>
    <definedName name="e.18" localSheetId="4">#REF!</definedName>
    <definedName name="e.18" localSheetId="3">#REF!</definedName>
    <definedName name="e.18" localSheetId="5">#REF!</definedName>
    <definedName name="e.18">#REF!</definedName>
    <definedName name="e.20" localSheetId="4">#REF!</definedName>
    <definedName name="e.20" localSheetId="3">#REF!</definedName>
    <definedName name="e.20" localSheetId="5">#REF!</definedName>
    <definedName name="e.20">#REF!</definedName>
    <definedName name="e.22" localSheetId="4">#REF!</definedName>
    <definedName name="e.22" localSheetId="3">#REF!</definedName>
    <definedName name="e.22" localSheetId="5">#REF!</definedName>
    <definedName name="e.22">#REF!</definedName>
    <definedName name="e.23" localSheetId="4">#REF!</definedName>
    <definedName name="e.23" localSheetId="3">#REF!</definedName>
    <definedName name="e.23" localSheetId="5">#REF!</definedName>
    <definedName name="e.23">#REF!</definedName>
    <definedName name="e.3" localSheetId="4">#REF!</definedName>
    <definedName name="e.3" localSheetId="3">#REF!</definedName>
    <definedName name="e.3" localSheetId="5">#REF!</definedName>
    <definedName name="e.3">#REF!</definedName>
    <definedName name="E_M" localSheetId="2">#REF!</definedName>
    <definedName name="E_M" localSheetId="1">#REF!</definedName>
    <definedName name="E_M" localSheetId="0">#REF!</definedName>
    <definedName name="E_M" localSheetId="4">#REF!</definedName>
    <definedName name="E_M" localSheetId="3">#REF!</definedName>
    <definedName name="E_M" localSheetId="5">#REF!</definedName>
    <definedName name="E_M">#REF!</definedName>
    <definedName name="E_M_Selling" localSheetId="2">#REF!</definedName>
    <definedName name="E_M_Selling" localSheetId="1">#REF!</definedName>
    <definedName name="E_M_Selling" localSheetId="0">#REF!</definedName>
    <definedName name="E_M_Selling" localSheetId="4">#REF!</definedName>
    <definedName name="E_M_Selling" localSheetId="3">#REF!</definedName>
    <definedName name="E_M_Selling" localSheetId="5">#REF!</definedName>
    <definedName name="E_M_Selling">#REF!</definedName>
    <definedName name="Earthing_system" localSheetId="4">#REF!</definedName>
    <definedName name="Earthing_system" localSheetId="3">#REF!</definedName>
    <definedName name="Earthing_system" localSheetId="5">#REF!</definedName>
    <definedName name="Earthing_system">#REF!</definedName>
    <definedName name="ecp" localSheetId="4">#REF!</definedName>
    <definedName name="ecp" localSheetId="3">#REF!</definedName>
    <definedName name="ecp" localSheetId="5">#REF!</definedName>
    <definedName name="ecp">#REF!</definedName>
    <definedName name="edweed" localSheetId="4">#REF!</definedName>
    <definedName name="edweed" localSheetId="3">#REF!</definedName>
    <definedName name="edweed" localSheetId="5">#REF!</definedName>
    <definedName name="edweed">#REF!</definedName>
    <definedName name="e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 localSheetId="2">#REF!</definedName>
    <definedName name="eee" localSheetId="1">#REF!</definedName>
    <definedName name="eee" localSheetId="0">#REF!</definedName>
    <definedName name="eee" localSheetId="4">#REF!</definedName>
    <definedName name="eee" localSheetId="3">#REF!</definedName>
    <definedName name="eee" localSheetId="5">#REF!</definedName>
    <definedName name="eee">#REF!</definedName>
    <definedName name="eeerty" localSheetId="2">#REF!</definedName>
    <definedName name="eeerty" localSheetId="1">#REF!</definedName>
    <definedName name="eeerty" localSheetId="0">#REF!</definedName>
    <definedName name="eeerty" localSheetId="4">#REF!</definedName>
    <definedName name="eeerty" localSheetId="3">#REF!</definedName>
    <definedName name="eeerty" localSheetId="5">#REF!</definedName>
    <definedName name="eeerty">#REF!</definedName>
    <definedName name="eefg" localSheetId="2">#REF!</definedName>
    <definedName name="eefg" localSheetId="1">#REF!</definedName>
    <definedName name="eefg" localSheetId="0">#REF!</definedName>
    <definedName name="eefg" localSheetId="4">#REF!</definedName>
    <definedName name="eefg" localSheetId="3">#REF!</definedName>
    <definedName name="eefg" localSheetId="5">#REF!</definedName>
    <definedName name="eefg">#REF!</definedName>
    <definedName name="EF" localSheetId="4">#REF!</definedName>
    <definedName name="EF" localSheetId="3">#REF!</definedName>
    <definedName name="EF" localSheetId="5">#REF!</definedName>
    <definedName name="EF">#REF!</definedName>
    <definedName name="EFA" localSheetId="4">#REF!</definedName>
    <definedName name="EFA" localSheetId="3">#REF!</definedName>
    <definedName name="EFA" localSheetId="5">#REF!</definedName>
    <definedName name="EFA">#REF!</definedName>
    <definedName name="eftr" localSheetId="2">#REF!</definedName>
    <definedName name="eftr" localSheetId="1">#REF!</definedName>
    <definedName name="eftr" localSheetId="0">#REF!</definedName>
    <definedName name="eftr" localSheetId="4">#REF!</definedName>
    <definedName name="eftr" localSheetId="3">#REF!</definedName>
    <definedName name="eftr" localSheetId="5">#REF!</definedName>
    <definedName name="eftr">#REF!</definedName>
    <definedName name="EFTR2" localSheetId="2">#REF!</definedName>
    <definedName name="EFTR2" localSheetId="1">#REF!</definedName>
    <definedName name="EFTR2" localSheetId="0">#REF!</definedName>
    <definedName name="EFTR2" localSheetId="4">#REF!</definedName>
    <definedName name="EFTR2" localSheetId="3">#REF!</definedName>
    <definedName name="EFTR2" localSheetId="5">#REF!</definedName>
    <definedName name="EFTR2">#REF!</definedName>
    <definedName name="Ei_Summary" localSheetId="4">#REF!</definedName>
    <definedName name="Ei_Summary" localSheetId="3">#REF!</definedName>
    <definedName name="Ei_Summary" localSheetId="5">#REF!</definedName>
    <definedName name="Ei_Summary">#REF!</definedName>
    <definedName name="ELBLK_REMARKS" localSheetId="2">#REF!</definedName>
    <definedName name="ELBLK_REMARKS" localSheetId="1">#REF!</definedName>
    <definedName name="ELBLK_REMARKS" localSheetId="0">#REF!</definedName>
    <definedName name="ELBLK_REMARKS" localSheetId="4">#REF!</definedName>
    <definedName name="ELBLK_REMARKS" localSheetId="3">#REF!</definedName>
    <definedName name="ELBLK_REMARKS" localSheetId="5">#REF!</definedName>
    <definedName name="ELBLK_REMARKS">#REF!</definedName>
    <definedName name="Ele" localSheetId="2" hidden="1">{"'Break down'!$A$4"}</definedName>
    <definedName name="Ele" localSheetId="1" hidden="1">{"'Break down'!$A$4"}</definedName>
    <definedName name="Ele" localSheetId="0" hidden="1">{"'Break down'!$A$4"}</definedName>
    <definedName name="Ele" localSheetId="4" hidden="1">{"'Break down'!$A$4"}</definedName>
    <definedName name="Ele" localSheetId="3" hidden="1">{"'Break down'!$A$4"}</definedName>
    <definedName name="Ele" localSheetId="5" hidden="1">{"'Break down'!$A$4"}</definedName>
    <definedName name="Ele" hidden="1">{"'Break down'!$A$4"}</definedName>
    <definedName name="Ele_1" localSheetId="2" hidden="1">{"'Break down'!$A$4"}</definedName>
    <definedName name="Ele_1" localSheetId="1" hidden="1">{"'Break down'!$A$4"}</definedName>
    <definedName name="Ele_1" localSheetId="0" hidden="1">{"'Break down'!$A$4"}</definedName>
    <definedName name="Ele_1" localSheetId="4" hidden="1">{"'Break down'!$A$4"}</definedName>
    <definedName name="Ele_1" localSheetId="3" hidden="1">{"'Break down'!$A$4"}</definedName>
    <definedName name="Ele_1" localSheetId="5" hidden="1">{"'Break down'!$A$4"}</definedName>
    <definedName name="Ele_1" hidden="1">{"'Break down'!$A$4"}</definedName>
    <definedName name="Ele_2" localSheetId="2" hidden="1">{"'Break down'!$A$4"}</definedName>
    <definedName name="Ele_2" localSheetId="1" hidden="1">{"'Break down'!$A$4"}</definedName>
    <definedName name="Ele_2" localSheetId="0" hidden="1">{"'Break down'!$A$4"}</definedName>
    <definedName name="Ele_2" localSheetId="4" hidden="1">{"'Break down'!$A$4"}</definedName>
    <definedName name="Ele_2" localSheetId="3" hidden="1">{"'Break down'!$A$4"}</definedName>
    <definedName name="Ele_2" localSheetId="5" hidden="1">{"'Break down'!$A$4"}</definedName>
    <definedName name="Ele_2" hidden="1">{"'Break down'!$A$4"}</definedName>
    <definedName name="elec" localSheetId="0">#REF!</definedName>
    <definedName name="elec" localSheetId="4">#REF!</definedName>
    <definedName name="elec" localSheetId="3">#REF!</definedName>
    <definedName name="ELEC" localSheetId="5" hidden="1">#REF!</definedName>
    <definedName name="ELEC" hidden="1">#REF!</definedName>
    <definedName name="ELEC_INSTR" localSheetId="2">#REF!</definedName>
    <definedName name="ELEC_INSTR" localSheetId="1">#REF!</definedName>
    <definedName name="ELEC_INSTR" localSheetId="0">#REF!</definedName>
    <definedName name="ELEC_INSTR" localSheetId="4">#REF!</definedName>
    <definedName name="ELEC_INSTR" localSheetId="3">#REF!</definedName>
    <definedName name="ELEC_INSTR" localSheetId="5">#REF!</definedName>
    <definedName name="ELEC_INSTR">#REF!</definedName>
    <definedName name="ELECTRICAL" localSheetId="2">#REF!</definedName>
    <definedName name="ELECTRICAL" localSheetId="1">#REF!</definedName>
    <definedName name="ELECTRICAL" localSheetId="0">#REF!</definedName>
    <definedName name="ELECTRICAL" localSheetId="4">#REF!</definedName>
    <definedName name="ELECTRICAL" localSheetId="3">#REF!</definedName>
    <definedName name="ELECTRICAL" localSheetId="5">#REF!</definedName>
    <definedName name="ELECTRICAL">#REF!</definedName>
    <definedName name="Electrical_KWH_meters" localSheetId="4">#REF!</definedName>
    <definedName name="Electrical_KWH_meters" localSheetId="3">#REF!</definedName>
    <definedName name="Electrical_KWH_meters" localSheetId="5">#REF!</definedName>
    <definedName name="Electrical_KWH_meters">#REF!</definedName>
    <definedName name="ELEE" localSheetId="2" hidden="1">{"'Break down'!$A$4"}</definedName>
    <definedName name="ELEE" localSheetId="1" hidden="1">{"'Break down'!$A$4"}</definedName>
    <definedName name="ELEE" localSheetId="0" hidden="1">{"'Break down'!$A$4"}</definedName>
    <definedName name="ELEE" localSheetId="4" hidden="1">{"'Break down'!$A$4"}</definedName>
    <definedName name="ELEE" localSheetId="3" hidden="1">{"'Break down'!$A$4"}</definedName>
    <definedName name="ELEE" localSheetId="5" hidden="1">{"'Break down'!$A$4"}</definedName>
    <definedName name="ELEE" hidden="1">{"'Break down'!$A$4"}</definedName>
    <definedName name="ELEE_1" localSheetId="2" hidden="1">{"'Break down'!$A$4"}</definedName>
    <definedName name="ELEE_1" localSheetId="1" hidden="1">{"'Break down'!$A$4"}</definedName>
    <definedName name="ELEE_1" localSheetId="0" hidden="1">{"'Break down'!$A$4"}</definedName>
    <definedName name="ELEE_1" localSheetId="4" hidden="1">{"'Break down'!$A$4"}</definedName>
    <definedName name="ELEE_1" localSheetId="3" hidden="1">{"'Break down'!$A$4"}</definedName>
    <definedName name="ELEE_1" localSheetId="5" hidden="1">{"'Break down'!$A$4"}</definedName>
    <definedName name="ELEE_1" hidden="1">{"'Break down'!$A$4"}</definedName>
    <definedName name="ELEE_2" localSheetId="2" hidden="1">{"'Break down'!$A$4"}</definedName>
    <definedName name="ELEE_2" localSheetId="1" hidden="1">{"'Break down'!$A$4"}</definedName>
    <definedName name="ELEE_2" localSheetId="0" hidden="1">{"'Break down'!$A$4"}</definedName>
    <definedName name="ELEE_2" localSheetId="4" hidden="1">{"'Break down'!$A$4"}</definedName>
    <definedName name="ELEE_2" localSheetId="3" hidden="1">{"'Break down'!$A$4"}</definedName>
    <definedName name="ELEE_2" localSheetId="5" hidden="1">{"'Break down'!$A$4"}</definedName>
    <definedName name="ELEE_2" hidden="1">{"'Break down'!$A$4"}</definedName>
    <definedName name="ELEQ_REMARKS" localSheetId="2">#REF!</definedName>
    <definedName name="ELEQ_REMARKS" localSheetId="1">#REF!</definedName>
    <definedName name="ELEQ_REMARKS" localSheetId="0">#REF!</definedName>
    <definedName name="ELEQ_REMARKS" localSheetId="4">#REF!</definedName>
    <definedName name="ELEQ_REMARKS" localSheetId="3">#REF!</definedName>
    <definedName name="ELEQ_REMARKS" localSheetId="5">#REF!</definedName>
    <definedName name="ELEQ_REMARKS">#REF!</definedName>
    <definedName name="Email" localSheetId="2">#REF!</definedName>
    <definedName name="Email" localSheetId="1">#REF!</definedName>
    <definedName name="Email" localSheetId="0">#REF!</definedName>
    <definedName name="Email" localSheetId="4">#REF!</definedName>
    <definedName name="Email" localSheetId="3">#REF!</definedName>
    <definedName name="Email" localSheetId="5">#REF!</definedName>
    <definedName name="Email">#REF!</definedName>
    <definedName name="EMB_METAL_COND" localSheetId="2">#REF!</definedName>
    <definedName name="EMB_METAL_COND" localSheetId="1">#REF!</definedName>
    <definedName name="EMB_METAL_COND" localSheetId="0">#REF!</definedName>
    <definedName name="EMB_METAL_COND" localSheetId="4">#REF!</definedName>
    <definedName name="EMB_METAL_COND" localSheetId="3">#REF!</definedName>
    <definedName name="EMB_METAL_COND" localSheetId="5">#REF!</definedName>
    <definedName name="EMB_METAL_COND">#REF!</definedName>
    <definedName name="EmbedQty" localSheetId="2">IF('A10 Design + Subs fee'!BASE=1,#REF!*#REF!,#REF!*#REF!/1.685552931)</definedName>
    <definedName name="EmbedQty" localSheetId="1">IF('A9 Design + Subs fee '!BASE=1,#REF!*#REF!,#REF!*#REF!/1.685552931)</definedName>
    <definedName name="EmbedQty" localSheetId="0">IF('FEE RECON RAIHAN'!BASE=1,#REF!*#REF!,#REF!*#REF!/1.685552931)</definedName>
    <definedName name="EmbedQty" localSheetId="4">IF('Mastersheet-Projects'!BASE=1,#REF!*#REF!,#REF!*#REF!/1.685552931)</definedName>
    <definedName name="EmbedQty" localSheetId="3">IF('Mastersheet-Resources'!BASE=1,#REF!*#REF!,#REF!*#REF!/1.685552931)</definedName>
    <definedName name="EmbedQty" localSheetId="5">IF('Tender List'!BASE=1,#REF!*#REF!,#REF!*#REF!/1.685552931)</definedName>
    <definedName name="EmbedQty">IF(BASE=1,#REF!*#REF!,#REF!*#REF!/1.685552931)</definedName>
    <definedName name="EmbedQty1">#N/A</definedName>
    <definedName name="Emergency_lighting_points" localSheetId="4">#REF!</definedName>
    <definedName name="Emergency_lighting_points" localSheetId="3">#REF!</definedName>
    <definedName name="Emergency_lighting_points" localSheetId="5">#REF!</definedName>
    <definedName name="Emergency_lighting_points">#REF!</definedName>
    <definedName name="Emergency_lighting_system" localSheetId="4">#REF!</definedName>
    <definedName name="Emergency_lighting_system" localSheetId="3">#REF!</definedName>
    <definedName name="Emergency_lighting_system" localSheetId="5">#REF!</definedName>
    <definedName name="Emergency_lighting_system">#REF!</definedName>
    <definedName name="EMU" localSheetId="4">#REF!</definedName>
    <definedName name="EMU" localSheetId="3">#REF!</definedName>
    <definedName name="EMU" localSheetId="5">#REF!</definedName>
    <definedName name="EMU">#REF!</definedName>
    <definedName name="END" localSheetId="2">#REF!</definedName>
    <definedName name="END" localSheetId="1">#REF!</definedName>
    <definedName name="END" localSheetId="0">#REF!</definedName>
    <definedName name="END" localSheetId="4">#REF!</definedName>
    <definedName name="END" localSheetId="3">#REF!</definedName>
    <definedName name="END" localSheetId="5">#REF!</definedName>
    <definedName name="END">#REF!</definedName>
    <definedName name="End_Bal" localSheetId="2">#REF!</definedName>
    <definedName name="End_Bal" localSheetId="1">#REF!</definedName>
    <definedName name="End_Bal" localSheetId="0">#REF!</definedName>
    <definedName name="End_Bal" localSheetId="4">#REF!</definedName>
    <definedName name="End_Bal" localSheetId="3">#REF!</definedName>
    <definedName name="End_Bal" localSheetId="5">#REF!</definedName>
    <definedName name="End_Bal">#REF!</definedName>
    <definedName name="ENG_BI_CORE_LOCATION">"C:\Pastel11\"</definedName>
    <definedName name="ENG_BI_LBI" hidden="1">"GD4JC5FMBB"</definedName>
    <definedName name="ENG_BI_TLA" hidden="1">"152;30;224;136;5;173;212;110;167;213;58;67;132;110;170;253;224;139;148;198;85;53;193;113;65;255;181;102;53;158;149;130"</definedName>
    <definedName name="Eng_Hrs" localSheetId="2">#REF!</definedName>
    <definedName name="Eng_Hrs" localSheetId="1">#REF!</definedName>
    <definedName name="Eng_Hrs" localSheetId="0">#REF!</definedName>
    <definedName name="Eng_Hrs" localSheetId="4">#REF!</definedName>
    <definedName name="Eng_Hrs" localSheetId="3">#REF!</definedName>
    <definedName name="Eng_Hrs" localSheetId="5">#REF!</definedName>
    <definedName name="Eng_Hrs">#REF!</definedName>
    <definedName name="Eng_Rev" localSheetId="2">#REF!</definedName>
    <definedName name="Eng_Rev" localSheetId="1">#REF!</definedName>
    <definedName name="Eng_Rev" localSheetId="0">#REF!</definedName>
    <definedName name="Eng_Rev" localSheetId="4">#REF!</definedName>
    <definedName name="Eng_Rev" localSheetId="3">#REF!</definedName>
    <definedName name="Eng_Rev" localSheetId="5">#REF!</definedName>
    <definedName name="Eng_Rev">#REF!</definedName>
    <definedName name="EOL" localSheetId="2">#REF!</definedName>
    <definedName name="EOL" localSheetId="1">#REF!</definedName>
    <definedName name="EOL" localSheetId="0">#REF!</definedName>
    <definedName name="EOL" localSheetId="4">#REF!</definedName>
    <definedName name="EOL" localSheetId="3">#REF!</definedName>
    <definedName name="EOL" localSheetId="5">#REF!</definedName>
    <definedName name="EOL">#REF!</definedName>
    <definedName name="EQUIP70_CITY" localSheetId="2">#REF!</definedName>
    <definedName name="EQUIP70_CITY" localSheetId="1">#REF!</definedName>
    <definedName name="EQUIP70_CITY" localSheetId="0">#REF!</definedName>
    <definedName name="EQUIP70_CITY" localSheetId="4">#REF!</definedName>
    <definedName name="EQUIP70_CITY" localSheetId="3">#REF!</definedName>
    <definedName name="EQUIP70_CITY" localSheetId="5">#REF!</definedName>
    <definedName name="EQUIP70_CITY">#REF!</definedName>
    <definedName name="EQUIP70_ESC" localSheetId="2">#REF!</definedName>
    <definedName name="EQUIP70_ESC" localSheetId="1">#REF!</definedName>
    <definedName name="EQUIP70_ESC" localSheetId="0">#REF!</definedName>
    <definedName name="EQUIP70_ESC" localSheetId="4">#REF!</definedName>
    <definedName name="EQUIP70_ESC" localSheetId="3">#REF!</definedName>
    <definedName name="EQUIP70_ESC" localSheetId="5">#REF!</definedName>
    <definedName name="EQUIP70_ESC">#REF!</definedName>
    <definedName name="EQUIP70_HRS" localSheetId="2">#REF!</definedName>
    <definedName name="EQUIP70_HRS" localSheetId="1">#REF!</definedName>
    <definedName name="EQUIP70_HRS" localSheetId="0">#REF!</definedName>
    <definedName name="EQUIP70_HRS" localSheetId="4">#REF!</definedName>
    <definedName name="EQUIP70_HRS" localSheetId="3">#REF!</definedName>
    <definedName name="EQUIP70_HRS" localSheetId="5">#REF!</definedName>
    <definedName name="EQUIP70_HRS">#REF!</definedName>
    <definedName name="EQUIP70_LAB" localSheetId="2">#REF!</definedName>
    <definedName name="EQUIP70_LAB" localSheetId="1">#REF!</definedName>
    <definedName name="EQUIP70_LAB" localSheetId="0">#REF!</definedName>
    <definedName name="EQUIP70_LAB" localSheetId="4">#REF!</definedName>
    <definedName name="EQUIP70_LAB" localSheetId="3">#REF!</definedName>
    <definedName name="EQUIP70_LAB" localSheetId="5">#REF!</definedName>
    <definedName name="EQUIP70_LAB">#REF!</definedName>
    <definedName name="EQUIP70_MAT" localSheetId="2">#REF!</definedName>
    <definedName name="EQUIP70_MAT" localSheetId="1">#REF!</definedName>
    <definedName name="EQUIP70_MAT" localSheetId="0">#REF!</definedName>
    <definedName name="EQUIP70_MAT" localSheetId="4">#REF!</definedName>
    <definedName name="EQUIP70_MAT" localSheetId="3">#REF!</definedName>
    <definedName name="EQUIP70_MAT" localSheetId="5">#REF!</definedName>
    <definedName name="EQUIP70_MAT">#REF!</definedName>
    <definedName name="EQUIP70_OLD_CITY" localSheetId="2">#REF!</definedName>
    <definedName name="EQUIP70_OLD_CITY" localSheetId="1">#REF!</definedName>
    <definedName name="EQUIP70_OLD_CITY" localSheetId="0">#REF!</definedName>
    <definedName name="EQUIP70_OLD_CITY" localSheetId="4">#REF!</definedName>
    <definedName name="EQUIP70_OLD_CITY" localSheetId="3">#REF!</definedName>
    <definedName name="EQUIP70_OLD_CITY" localSheetId="5">#REF!</definedName>
    <definedName name="EQUIP70_OLD_CITY">#REF!</definedName>
    <definedName name="EQUIP70_OLD_ESC" localSheetId="2">#REF!</definedName>
    <definedName name="EQUIP70_OLD_ESC" localSheetId="1">#REF!</definedName>
    <definedName name="EQUIP70_OLD_ESC" localSheetId="0">#REF!</definedName>
    <definedName name="EQUIP70_OLD_ESC" localSheetId="4">#REF!</definedName>
    <definedName name="EQUIP70_OLD_ESC" localSheetId="3">#REF!</definedName>
    <definedName name="EQUIP70_OLD_ESC" localSheetId="5">#REF!</definedName>
    <definedName name="EQUIP70_OLD_ESC">#REF!</definedName>
    <definedName name="EQUIP70_OLD_PROD" localSheetId="2">#REF!</definedName>
    <definedName name="EQUIP70_OLD_PROD" localSheetId="1">#REF!</definedName>
    <definedName name="EQUIP70_OLD_PROD" localSheetId="0">#REF!</definedName>
    <definedName name="EQUIP70_OLD_PROD" localSheetId="4">#REF!</definedName>
    <definedName name="EQUIP70_OLD_PROD" localSheetId="3">#REF!</definedName>
    <definedName name="EQUIP70_OLD_PROD" localSheetId="5">#REF!</definedName>
    <definedName name="EQUIP70_OLD_PROD">#REF!</definedName>
    <definedName name="EQUIP70_OLD_WAGE" localSheetId="2">#REF!</definedName>
    <definedName name="EQUIP70_OLD_WAGE" localSheetId="1">#REF!</definedName>
    <definedName name="EQUIP70_OLD_WAGE" localSheetId="0">#REF!</definedName>
    <definedName name="EQUIP70_OLD_WAGE" localSheetId="4">#REF!</definedName>
    <definedName name="EQUIP70_OLD_WAGE" localSheetId="3">#REF!</definedName>
    <definedName name="EQUIP70_OLD_WAGE" localSheetId="5">#REF!</definedName>
    <definedName name="EQUIP70_OLD_WAGE">#REF!</definedName>
    <definedName name="EQUIP70_PROD" localSheetId="2">#REF!</definedName>
    <definedName name="EQUIP70_PROD" localSheetId="1">#REF!</definedName>
    <definedName name="EQUIP70_PROD" localSheetId="0">#REF!</definedName>
    <definedName name="EQUIP70_PROD" localSheetId="4">#REF!</definedName>
    <definedName name="EQUIP70_PROD" localSheetId="3">#REF!</definedName>
    <definedName name="EQUIP70_PROD" localSheetId="5">#REF!</definedName>
    <definedName name="EQUIP70_PROD">#REF!</definedName>
    <definedName name="EQUIP70_SC" localSheetId="2">#REF!</definedName>
    <definedName name="EQUIP70_SC" localSheetId="1">#REF!</definedName>
    <definedName name="EQUIP70_SC" localSheetId="0">#REF!</definedName>
    <definedName name="EQUIP70_SC" localSheetId="4">#REF!</definedName>
    <definedName name="EQUIP70_SC" localSheetId="3">#REF!</definedName>
    <definedName name="EQUIP70_SC" localSheetId="5">#REF!</definedName>
    <definedName name="EQUIP70_SC">#REF!</definedName>
    <definedName name="EQUIP70_SCHRS" localSheetId="2">#REF!</definedName>
    <definedName name="EQUIP70_SCHRS" localSheetId="1">#REF!</definedName>
    <definedName name="EQUIP70_SCHRS" localSheetId="0">#REF!</definedName>
    <definedName name="EQUIP70_SCHRS" localSheetId="4">#REF!</definedName>
    <definedName name="EQUIP70_SCHRS" localSheetId="3">#REF!</definedName>
    <definedName name="EQUIP70_SCHRS" localSheetId="5">#REF!</definedName>
    <definedName name="EQUIP70_SCHRS">#REF!</definedName>
    <definedName name="EQUIP70_TOT" localSheetId="2">#REF!</definedName>
    <definedName name="EQUIP70_TOT" localSheetId="1">#REF!</definedName>
    <definedName name="EQUIP70_TOT" localSheetId="0">#REF!</definedName>
    <definedName name="EQUIP70_TOT" localSheetId="4">#REF!</definedName>
    <definedName name="EQUIP70_TOT" localSheetId="3">#REF!</definedName>
    <definedName name="EQUIP70_TOT" localSheetId="5">#REF!</definedName>
    <definedName name="EQUIP70_TOT">#REF!</definedName>
    <definedName name="EQUIP70_WAGE" localSheetId="2">#REF!</definedName>
    <definedName name="EQUIP70_WAGE" localSheetId="1">#REF!</definedName>
    <definedName name="EQUIP70_WAGE" localSheetId="0">#REF!</definedName>
    <definedName name="EQUIP70_WAGE" localSheetId="4">#REF!</definedName>
    <definedName name="EQUIP70_WAGE" localSheetId="3">#REF!</definedName>
    <definedName name="EQUIP70_WAGE" localSheetId="5">#REF!</definedName>
    <definedName name="EQUIP70_WAGE">#REF!</definedName>
    <definedName name="Equipment" localSheetId="2">#REF!</definedName>
    <definedName name="Equipment" localSheetId="1">#REF!</definedName>
    <definedName name="Equipment" localSheetId="0">#REF!</definedName>
    <definedName name="Equipment" localSheetId="4">#REF!</definedName>
    <definedName name="Equipment" localSheetId="3">#REF!</definedName>
    <definedName name="Equipment" localSheetId="5">#REF!</definedName>
    <definedName name="Equipment">#REF!</definedName>
    <definedName name="e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ndWR" localSheetId="0">#REF!</definedName>
    <definedName name="ERandWR" localSheetId="4">#REF!</definedName>
    <definedName name="ERandWR" localSheetId="3">#REF!</definedName>
    <definedName name="ERandWR" localSheetId="5">#REF!</definedName>
    <definedName name="ERandWR">#REF!</definedName>
    <definedName name="ERATE" localSheetId="4">#REF!</definedName>
    <definedName name="ERATE" localSheetId="3">#REF!</definedName>
    <definedName name="ERATE" localSheetId="5">#REF!</definedName>
    <definedName name="ERATE">#REF!</definedName>
    <definedName name="ert" localSheetId="2">#REF!</definedName>
    <definedName name="ert" localSheetId="1">#REF!</definedName>
    <definedName name="ert" localSheetId="0">#REF!</definedName>
    <definedName name="ert" localSheetId="4">#REF!</definedName>
    <definedName name="ert" localSheetId="3">#REF!</definedName>
    <definedName name="ert" localSheetId="5">#REF!</definedName>
    <definedName name="ert">#REF!</definedName>
    <definedName name="ertwe" localSheetId="2">#REF!</definedName>
    <definedName name="ertwe" localSheetId="1">#REF!</definedName>
    <definedName name="ertwe" localSheetId="0">#REF!</definedName>
    <definedName name="ertwe" localSheetId="4">#REF!</definedName>
    <definedName name="ertwe" localSheetId="3">#REF!</definedName>
    <definedName name="ertwe" localSheetId="5">#REF!</definedName>
    <definedName name="ertwe">#REF!</definedName>
    <definedName name="es" localSheetId="2">'A10 Design + Subs fee'!es</definedName>
    <definedName name="es" localSheetId="1">'A9 Design + Subs fee '!es</definedName>
    <definedName name="es" localSheetId="0">'FEE RECON RAIHAN'!es</definedName>
    <definedName name="es" localSheetId="4">'Mastersheet-Projects'!es</definedName>
    <definedName name="es" localSheetId="3">'Mastersheet-Resources'!es</definedName>
    <definedName name="es" localSheetId="5">'Tender List'!es</definedName>
    <definedName name="es">[0]!es</definedName>
    <definedName name="ESA" localSheetId="4">#REF!</definedName>
    <definedName name="ESA" localSheetId="3">#REF!</definedName>
    <definedName name="ESA" localSheetId="5">#REF!</definedName>
    <definedName name="ESA">#REF!</definedName>
    <definedName name="esc" localSheetId="4">#REF!</definedName>
    <definedName name="esc" localSheetId="3">#REF!</definedName>
    <definedName name="esc" localSheetId="5">#REF!</definedName>
    <definedName name="esc">#REF!</definedName>
    <definedName name="ESC_CABLE" localSheetId="2">#REF!</definedName>
    <definedName name="ESC_CABLE" localSheetId="1">#REF!</definedName>
    <definedName name="ESC_CABLE" localSheetId="0">#REF!</definedName>
    <definedName name="ESC_CABLE" localSheetId="4">#REF!</definedName>
    <definedName name="ESC_CABLE" localSheetId="3">#REF!</definedName>
    <definedName name="ESC_CABLE" localSheetId="5">#REF!</definedName>
    <definedName name="ESC_CABLE">#REF!</definedName>
    <definedName name="ESC_CNTL_VLVES" localSheetId="2">#REF!</definedName>
    <definedName name="ESC_CNTL_VLVES" localSheetId="1">#REF!</definedName>
    <definedName name="ESC_CNTL_VLVES" localSheetId="0">#REF!</definedName>
    <definedName name="ESC_CNTL_VLVES" localSheetId="4">#REF!</definedName>
    <definedName name="ESC_CNTL_VLVES" localSheetId="3">#REF!</definedName>
    <definedName name="ESC_CNTL_VLVES" localSheetId="5">#REF!</definedName>
    <definedName name="ESC_CNTL_VLVES">#REF!</definedName>
    <definedName name="ESC_COND" localSheetId="2">#REF!</definedName>
    <definedName name="ESC_COND" localSheetId="1">#REF!</definedName>
    <definedName name="ESC_COND" localSheetId="0">#REF!</definedName>
    <definedName name="ESC_COND" localSheetId="4">#REF!</definedName>
    <definedName name="ESC_COND" localSheetId="3">#REF!</definedName>
    <definedName name="ESC_COND" localSheetId="5">#REF!</definedName>
    <definedName name="ESC_COND">#REF!</definedName>
    <definedName name="ESC_DB" localSheetId="2">#REF!</definedName>
    <definedName name="ESC_DB" localSheetId="1">#REF!</definedName>
    <definedName name="ESC_DB" localSheetId="0">#REF!</definedName>
    <definedName name="ESC_DB" localSheetId="4">#REF!</definedName>
    <definedName name="ESC_DB" localSheetId="3">#REF!</definedName>
    <definedName name="ESC_DB" localSheetId="5">#REF!</definedName>
    <definedName name="ESC_DB">#REF!</definedName>
    <definedName name="ESC_OTHER" localSheetId="2">#REF!</definedName>
    <definedName name="ESC_OTHER" localSheetId="1">#REF!</definedName>
    <definedName name="ESC_OTHER" localSheetId="0">#REF!</definedName>
    <definedName name="ESC_OTHER" localSheetId="4">#REF!</definedName>
    <definedName name="ESC_OTHER" localSheetId="3">#REF!</definedName>
    <definedName name="ESC_OTHER" localSheetId="5">#REF!</definedName>
    <definedName name="ESC_OTHER">#REF!</definedName>
    <definedName name="ESC_TRAY" localSheetId="2">#REF!</definedName>
    <definedName name="ESC_TRAY" localSheetId="1">#REF!</definedName>
    <definedName name="ESC_TRAY" localSheetId="0">#REF!</definedName>
    <definedName name="ESC_TRAY" localSheetId="4">#REF!</definedName>
    <definedName name="ESC_TRAY" localSheetId="3">#REF!</definedName>
    <definedName name="ESC_TRAY" localSheetId="5">#REF!</definedName>
    <definedName name="ESC_TRAY">#REF!</definedName>
    <definedName name="estimateb" localSheetId="2" hidden="1">{#N/A,#N/A,TRUE,"Cover";#N/A,#N/A,TRUE,"Conts";#N/A,#N/A,TRUE,"VOS";#N/A,#N/A,TRUE,"Warrington";#N/A,#N/A,TRUE,"Widnes"}</definedName>
    <definedName name="estimateb" localSheetId="1" hidden="1">{#N/A,#N/A,TRUE,"Cover";#N/A,#N/A,TRUE,"Conts";#N/A,#N/A,TRUE,"VOS";#N/A,#N/A,TRUE,"Warrington";#N/A,#N/A,TRUE,"Widnes"}</definedName>
    <definedName name="estimateb" localSheetId="0" hidden="1">{#N/A,#N/A,TRUE,"Cover";#N/A,#N/A,TRUE,"Conts";#N/A,#N/A,TRUE,"VOS";#N/A,#N/A,TRUE,"Warrington";#N/A,#N/A,TRUE,"Widnes"}</definedName>
    <definedName name="estimateb" localSheetId="4" hidden="1">{#N/A,#N/A,TRUE,"Cover";#N/A,#N/A,TRUE,"Conts";#N/A,#N/A,TRUE,"VOS";#N/A,#N/A,TRUE,"Warrington";#N/A,#N/A,TRUE,"Widnes"}</definedName>
    <definedName name="estimateb" localSheetId="3" hidden="1">{#N/A,#N/A,TRUE,"Cover";#N/A,#N/A,TRUE,"Conts";#N/A,#N/A,TRUE,"VOS";#N/A,#N/A,TRUE,"Warrington";#N/A,#N/A,TRUE,"Widnes"}</definedName>
    <definedName name="estimateb" localSheetId="5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Type" localSheetId="2">#REF!</definedName>
    <definedName name="EstimateType" localSheetId="1">#REF!</definedName>
    <definedName name="EstimateType" localSheetId="0">#REF!</definedName>
    <definedName name="EstimateType" localSheetId="4">#REF!</definedName>
    <definedName name="EstimateType" localSheetId="3">#REF!</definedName>
    <definedName name="EstimateType" localSheetId="5">#REF!</definedName>
    <definedName name="EstimateType">#REF!</definedName>
    <definedName name="Estimating_Click" localSheetId="2">'A10 Design + Subs fee'!Estimating_Click</definedName>
    <definedName name="Estimating_Click" localSheetId="1">'A9 Design + Subs fee '!Estimating_Click</definedName>
    <definedName name="Estimating_Click" localSheetId="0">'FEE RECON RAIHAN'!Estimating_Click</definedName>
    <definedName name="Estimating_Click" localSheetId="4">'Mastersheet-Projects'!Estimating_Click</definedName>
    <definedName name="Estimating_Click" localSheetId="3">'Mastersheet-Resources'!Estimating_Click</definedName>
    <definedName name="Estimating_Click" localSheetId="5">'Tender List'!Estimating_Click</definedName>
    <definedName name="Estimating_Click">[0]!Estimating_Click</definedName>
    <definedName name="Estimating_Click_PDBT" localSheetId="2">'A10 Design + Subs fee'!Estimating_Click_PDBT</definedName>
    <definedName name="Estimating_Click_PDBT" localSheetId="1">'A9 Design + Subs fee '!Estimating_Click_PDBT</definedName>
    <definedName name="Estimating_Click_PDBT" localSheetId="0">'FEE RECON RAIHAN'!Estimating_Click_PDBT</definedName>
    <definedName name="Estimating_Click_PDBT" localSheetId="4">'Mastersheet-Projects'!Estimating_Click_PDBT</definedName>
    <definedName name="Estimating_Click_PDBT" localSheetId="3">'Mastersheet-Resources'!Estimating_Click_PDBT</definedName>
    <definedName name="Estimating_Click_PDBT" localSheetId="5">'Tender List'!Estimating_Click_PDBT</definedName>
    <definedName name="Estimating_Click_PDBT">[0]!Estimating_Click_PDBT</definedName>
    <definedName name="eur" localSheetId="4">#REF!</definedName>
    <definedName name="eur" localSheetId="3">#REF!</definedName>
    <definedName name="eur" localSheetId="5">#REF!</definedName>
    <definedName name="eur">#REF!</definedName>
    <definedName name="Euro" localSheetId="2">#REF!</definedName>
    <definedName name="Euro" localSheetId="1">#REF!</definedName>
    <definedName name="Euro" localSheetId="0">#REF!</definedName>
    <definedName name="Euro" localSheetId="4">#REF!</definedName>
    <definedName name="Euro" localSheetId="3">#REF!</definedName>
    <definedName name="Euro" localSheetId="5">#REF!</definedName>
    <definedName name="Euro">#REF!</definedName>
    <definedName name="ev" localSheetId="2">#REF!</definedName>
    <definedName name="ev" localSheetId="1">#REF!</definedName>
    <definedName name="ev" localSheetId="0">#REF!</definedName>
    <definedName name="ev" localSheetId="4">#REF!</definedName>
    <definedName name="ev" localSheetId="3">#REF!</definedName>
    <definedName name="ev" localSheetId="5">#REF!</definedName>
    <definedName name="ev">#REF!</definedName>
    <definedName name="ew" localSheetId="2">#REF!</definedName>
    <definedName name="ew" localSheetId="1">#REF!</definedName>
    <definedName name="ew" localSheetId="0">#REF!</definedName>
    <definedName name="ew" localSheetId="4">#REF!</definedName>
    <definedName name="ew" localSheetId="3">#REF!</definedName>
    <definedName name="ew" localSheetId="5">#REF!</definedName>
    <definedName name="ew">#REF!</definedName>
    <definedName name="ew4_" localSheetId="2">#REF!</definedName>
    <definedName name="ew4_" localSheetId="1">#REF!</definedName>
    <definedName name="ew4_" localSheetId="0">#REF!</definedName>
    <definedName name="ew4_" localSheetId="4">#REF!</definedName>
    <definedName name="ew4_" localSheetId="3">#REF!</definedName>
    <definedName name="ew4_" localSheetId="5">#REF!</definedName>
    <definedName name="ew4_">#REF!</definedName>
    <definedName name="ew4a" localSheetId="2">#REF!</definedName>
    <definedName name="ew4a" localSheetId="1">#REF!</definedName>
    <definedName name="ew4a" localSheetId="0">#REF!</definedName>
    <definedName name="ew4a" localSheetId="4">#REF!</definedName>
    <definedName name="ew4a" localSheetId="3">#REF!</definedName>
    <definedName name="ew4a" localSheetId="5">#REF!</definedName>
    <definedName name="ew4a">#REF!</definedName>
    <definedName name="ewdsd" localSheetId="2" hidden="1">{"'Break down'!$A$4"}</definedName>
    <definedName name="ewdsd" localSheetId="1" hidden="1">{"'Break down'!$A$4"}</definedName>
    <definedName name="ewdsd" localSheetId="0" hidden="1">{"'Break down'!$A$4"}</definedName>
    <definedName name="ewdsd" localSheetId="4" hidden="1">{"'Break down'!$A$4"}</definedName>
    <definedName name="ewdsd" localSheetId="3" hidden="1">{"'Break down'!$A$4"}</definedName>
    <definedName name="ewdsd" localSheetId="5" hidden="1">{"'Break down'!$A$4"}</definedName>
    <definedName name="ewdsd" hidden="1">{"'Break down'!$A$4"}</definedName>
    <definedName name="ewdsd_1" localSheetId="2" hidden="1">{"'Break down'!$A$4"}</definedName>
    <definedName name="ewdsd_1" localSheetId="1" hidden="1">{"'Break down'!$A$4"}</definedName>
    <definedName name="ewdsd_1" localSheetId="0" hidden="1">{"'Break down'!$A$4"}</definedName>
    <definedName name="ewdsd_1" localSheetId="4" hidden="1">{"'Break down'!$A$4"}</definedName>
    <definedName name="ewdsd_1" localSheetId="3" hidden="1">{"'Break down'!$A$4"}</definedName>
    <definedName name="ewdsd_1" localSheetId="5" hidden="1">{"'Break down'!$A$4"}</definedName>
    <definedName name="ewdsd_1" hidden="1">{"'Break down'!$A$4"}</definedName>
    <definedName name="ewdsd_2" localSheetId="2" hidden="1">{"'Break down'!$A$4"}</definedName>
    <definedName name="ewdsd_2" localSheetId="1" hidden="1">{"'Break down'!$A$4"}</definedName>
    <definedName name="ewdsd_2" localSheetId="0" hidden="1">{"'Break down'!$A$4"}</definedName>
    <definedName name="ewdsd_2" localSheetId="4" hidden="1">{"'Break down'!$A$4"}</definedName>
    <definedName name="ewdsd_2" localSheetId="3" hidden="1">{"'Break down'!$A$4"}</definedName>
    <definedName name="ewdsd_2" localSheetId="5" hidden="1">{"'Break down'!$A$4"}</definedName>
    <definedName name="ewdsd_2" hidden="1">{"'Break down'!$A$4"}</definedName>
    <definedName name="ewk" localSheetId="2">#REF!</definedName>
    <definedName name="ewk" localSheetId="1">#REF!</definedName>
    <definedName name="ewk" localSheetId="0">#REF!</definedName>
    <definedName name="ewk" localSheetId="4">#REF!</definedName>
    <definedName name="ewk" localSheetId="3">#REF!</definedName>
    <definedName name="ewk" localSheetId="5">#REF!</definedName>
    <definedName name="ewk">#REF!</definedName>
    <definedName name="ewtre" localSheetId="2">#REF!</definedName>
    <definedName name="ewtre" localSheetId="1">#REF!</definedName>
    <definedName name="ewtre" localSheetId="0">#REF!</definedName>
    <definedName name="ewtre" localSheetId="4">#REF!</definedName>
    <definedName name="ewtre" localSheetId="3">#REF!</definedName>
    <definedName name="ewtre" localSheetId="5">#REF!</definedName>
    <definedName name="ewtre">#REF!</definedName>
    <definedName name="ex_joint" localSheetId="2">#REF!</definedName>
    <definedName name="ex_joint" localSheetId="1">#REF!</definedName>
    <definedName name="ex_joint" localSheetId="0">#REF!</definedName>
    <definedName name="ex_joint" localSheetId="4">#REF!</definedName>
    <definedName name="ex_joint" localSheetId="3">#REF!</definedName>
    <definedName name="ex_joint" localSheetId="5">#REF!</definedName>
    <definedName name="ex_joint">#REF!</definedName>
    <definedName name="exc" localSheetId="4">#REF!</definedName>
    <definedName name="exc" localSheetId="3">#REF!</definedName>
    <definedName name="exc" localSheetId="5">#REF!</definedName>
    <definedName name="exc">#REF!</definedName>
    <definedName name="Excel_BuiltIn__FilterDatabase_1" localSheetId="4">#REF!</definedName>
    <definedName name="Excel_BuiltIn__FilterDatabase_1" localSheetId="3">#REF!</definedName>
    <definedName name="Excel_BuiltIn__FilterDatabase_1" localSheetId="5">#REF!</definedName>
    <definedName name="Excel_BuiltIn__FilterDatabase_1">#REF!</definedName>
    <definedName name="Excel_BuiltIn__FilterDatabase_2" localSheetId="4">#REF!</definedName>
    <definedName name="Excel_BuiltIn__FilterDatabase_2" localSheetId="3">#REF!</definedName>
    <definedName name="Excel_BuiltIn__FilterDatabase_2" localSheetId="5">#REF!</definedName>
    <definedName name="Excel_BuiltIn__FilterDatabase_2">#REF!</definedName>
    <definedName name="Excel_BuiltIn__FilterDatabase_3" localSheetId="4">#REF!</definedName>
    <definedName name="Excel_BuiltIn__FilterDatabase_3" localSheetId="3">#REF!</definedName>
    <definedName name="Excel_BuiltIn__FilterDatabase_3" localSheetId="5">#REF!</definedName>
    <definedName name="Excel_BuiltIn__FilterDatabase_3">#REF!</definedName>
    <definedName name="Excel_BuiltIn__FilterDatabase_4" localSheetId="4">#REF!</definedName>
    <definedName name="Excel_BuiltIn__FilterDatabase_4" localSheetId="3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3">#REF!</definedName>
    <definedName name="Excel_BuiltIn__FilterDatabase_5" localSheetId="5">#REF!</definedName>
    <definedName name="Excel_BuiltIn__FilterDatabase_5">#REF!</definedName>
    <definedName name="Excel_BuiltIn_Print_Area_1" localSheetId="4">#REF!</definedName>
    <definedName name="Excel_BuiltIn_Print_Area_1" localSheetId="3">#REF!</definedName>
    <definedName name="Excel_BuiltIn_Print_Area_1" localSheetId="5">#REF!</definedName>
    <definedName name="Excel_BuiltIn_Print_Area_1">#REF!</definedName>
    <definedName name="Excel_BuiltIn_Print_Area_1_1" localSheetId="4">#REF!</definedName>
    <definedName name="Excel_BuiltIn_Print_Area_1_1" localSheetId="3">#REF!</definedName>
    <definedName name="Excel_BuiltIn_Print_Area_1_1" localSheetId="5">#REF!</definedName>
    <definedName name="Excel_BuiltIn_Print_Area_1_1">#REF!</definedName>
    <definedName name="Excel_BuiltIn_Print_Area_1_1_1" localSheetId="4">#REF!</definedName>
    <definedName name="Excel_BuiltIn_Print_Area_1_1_1" localSheetId="3">#REF!</definedName>
    <definedName name="Excel_BuiltIn_Print_Area_1_1_1" localSheetId="5">#REF!</definedName>
    <definedName name="Excel_BuiltIn_Print_Area_1_1_1">#REF!</definedName>
    <definedName name="Excel_BuiltIn_Print_Area_2_1" localSheetId="4">#REF!</definedName>
    <definedName name="Excel_BuiltIn_Print_Area_2_1" localSheetId="3">#REF!</definedName>
    <definedName name="Excel_BuiltIn_Print_Area_2_1" localSheetId="5">#REF!</definedName>
    <definedName name="Excel_BuiltIn_Print_Area_2_1">#REF!</definedName>
    <definedName name="Excel_BuiltIn_Print_Area_2_1_1" localSheetId="4">#REF!</definedName>
    <definedName name="Excel_BuiltIn_Print_Area_2_1_1" localSheetId="3">#REF!</definedName>
    <definedName name="Excel_BuiltIn_Print_Area_2_1_1" localSheetId="5">#REF!</definedName>
    <definedName name="Excel_BuiltIn_Print_Area_2_1_1">#REF!</definedName>
    <definedName name="Excel_BuiltIn_Print_Area_3_1" localSheetId="4">#REF!</definedName>
    <definedName name="Excel_BuiltIn_Print_Area_3_1" localSheetId="3">#REF!</definedName>
    <definedName name="Excel_BuiltIn_Print_Area_3_1" localSheetId="5">#REF!</definedName>
    <definedName name="Excel_BuiltIn_Print_Area_3_1">#REF!</definedName>
    <definedName name="Excel_BuiltIn_Print_Area_3_1_1" localSheetId="4">#REF!</definedName>
    <definedName name="Excel_BuiltIn_Print_Area_3_1_1" localSheetId="3">#REF!</definedName>
    <definedName name="Excel_BuiltIn_Print_Area_3_1_1" localSheetId="5">#REF!</definedName>
    <definedName name="Excel_BuiltIn_Print_Area_3_1_1">#REF!</definedName>
    <definedName name="Excel_BuiltIn_Print_Area_4_1" localSheetId="4">#REF!</definedName>
    <definedName name="Excel_BuiltIn_Print_Area_4_1" localSheetId="3">#REF!</definedName>
    <definedName name="Excel_BuiltIn_Print_Area_4_1" localSheetId="5">#REF!</definedName>
    <definedName name="Excel_BuiltIn_Print_Area_4_1">#REF!</definedName>
    <definedName name="Excel_BuiltIn_Print_Area_4_1_1" localSheetId="4">#REF!</definedName>
    <definedName name="Excel_BuiltIn_Print_Area_4_1_1" localSheetId="3">#REF!</definedName>
    <definedName name="Excel_BuiltIn_Print_Area_4_1_1" localSheetId="5">#REF!</definedName>
    <definedName name="Excel_BuiltIn_Print_Area_4_1_1">#REF!</definedName>
    <definedName name="Excel_BuiltIn_Print_Area_5" localSheetId="4">#REF!</definedName>
    <definedName name="Excel_BuiltIn_Print_Area_5" localSheetId="3">#REF!</definedName>
    <definedName name="Excel_BuiltIn_Print_Area_5" localSheetId="5">#REF!</definedName>
    <definedName name="Excel_BuiltIn_Print_Area_5">#REF!</definedName>
    <definedName name="Excel_BuiltIn_Print_Titles_3" localSheetId="4">#REF!</definedName>
    <definedName name="Excel_BuiltIn_Print_Titles_3" localSheetId="3">#REF!</definedName>
    <definedName name="Excel_BuiltIn_Print_Titles_3" localSheetId="5">#REF!</definedName>
    <definedName name="Excel_BuiltIn_Print_Titles_3">#REF!</definedName>
    <definedName name="exchange" localSheetId="0">#REF!</definedName>
    <definedName name="exchange" localSheetId="4">#REF!</definedName>
    <definedName name="exchange" localSheetId="3">#REF!</definedName>
    <definedName name="exchange" localSheetId="5">#REF!</definedName>
    <definedName name="exchange">#REF!</definedName>
    <definedName name="Exchange_rate" localSheetId="4">#REF!</definedName>
    <definedName name="Exchange_rate" localSheetId="3">#REF!</definedName>
    <definedName name="Exchange_rate" localSheetId="5">#REF!</definedName>
    <definedName name="Exchange_rate">#REF!</definedName>
    <definedName name="Excluded" localSheetId="4">#REF!</definedName>
    <definedName name="Excluded" localSheetId="3">#REF!</definedName>
    <definedName name="Excluded" localSheetId="5">#REF!</definedName>
    <definedName name="Excluded">#REF!</definedName>
    <definedName name="eXCLUSIONS" localSheetId="2" hidden="1">{#N/A,#N/A,TRUE,"Cover";#N/A,#N/A,TRUE,"Conts";#N/A,#N/A,TRUE,"VOS";#N/A,#N/A,TRUE,"Warrington";#N/A,#N/A,TRUE,"Widnes"}</definedName>
    <definedName name="eXCLUSIONS" localSheetId="1" hidden="1">{#N/A,#N/A,TRUE,"Cover";#N/A,#N/A,TRUE,"Conts";#N/A,#N/A,TRUE,"VOS";#N/A,#N/A,TRUE,"Warrington";#N/A,#N/A,TRUE,"Widnes"}</definedName>
    <definedName name="eXCLUSIONS" localSheetId="0" hidden="1">{#N/A,#N/A,TRUE,"Cover";#N/A,#N/A,TRUE,"Conts";#N/A,#N/A,TRUE,"VOS";#N/A,#N/A,TRUE,"Warrington";#N/A,#N/A,TRUE,"Widnes"}</definedName>
    <definedName name="eXCLUSIONS" localSheetId="4" hidden="1">{#N/A,#N/A,TRUE,"Cover";#N/A,#N/A,TRUE,"Conts";#N/A,#N/A,TRUE,"VOS";#N/A,#N/A,TRUE,"Warrington";#N/A,#N/A,TRUE,"Widnes"}</definedName>
    <definedName name="eXCLUSIONS" localSheetId="3" hidden="1">{#N/A,#N/A,TRUE,"Cover";#N/A,#N/A,TRUE,"Conts";#N/A,#N/A,TRUE,"VOS";#N/A,#N/A,TRUE,"Warrington";#N/A,#N/A,TRUE,"Widnes"}</definedName>
    <definedName name="eXCLUSIONS" localSheetId="5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P" localSheetId="2">#REF!</definedName>
    <definedName name="EXP" localSheetId="1">#REF!</definedName>
    <definedName name="EXP" localSheetId="0">#REF!</definedName>
    <definedName name="EXP" localSheetId="4">#REF!</definedName>
    <definedName name="EXP" localSheetId="3">#REF!</definedName>
    <definedName name="EXP" localSheetId="5">#REF!</definedName>
    <definedName name="EXP">#REF!</definedName>
    <definedName name="EXP_COND_G2" localSheetId="2">#REF!</definedName>
    <definedName name="EXP_COND_G2" localSheetId="1">#REF!</definedName>
    <definedName name="EXP_COND_G2" localSheetId="0">#REF!</definedName>
    <definedName name="EXP_COND_G2" localSheetId="4">#REF!</definedName>
    <definedName name="EXP_COND_G2" localSheetId="3">#REF!</definedName>
    <definedName name="EXP_COND_G2" localSheetId="5">#REF!</definedName>
    <definedName name="EXP_COND_G2">#REF!</definedName>
    <definedName name="EXP_COND_L2" localSheetId="2">#REF!</definedName>
    <definedName name="EXP_COND_L2" localSheetId="1">#REF!</definedName>
    <definedName name="EXP_COND_L2" localSheetId="0">#REF!</definedName>
    <definedName name="EXP_COND_L2" localSheetId="4">#REF!</definedName>
    <definedName name="EXP_COND_L2" localSheetId="3">#REF!</definedName>
    <definedName name="EXP_COND_L2" localSheetId="5">#REF!</definedName>
    <definedName name="EXP_COND_L2">#REF!</definedName>
    <definedName name="Expat_Perm" localSheetId="4">#REF!</definedName>
    <definedName name="Expat_Perm" localSheetId="3">#REF!</definedName>
    <definedName name="Expat_Perm" localSheetId="5">#REF!</definedName>
    <definedName name="Expat_Perm">#REF!</definedName>
    <definedName name="Expat_Temp" localSheetId="4">#REF!</definedName>
    <definedName name="Expat_Temp" localSheetId="3">#REF!</definedName>
    <definedName name="Expat_Temp" localSheetId="5">#REF!</definedName>
    <definedName name="Expat_Temp">#REF!</definedName>
    <definedName name="ExRate" localSheetId="2">#REF!</definedName>
    <definedName name="ExRate" localSheetId="1">#REF!</definedName>
    <definedName name="ExRate" localSheetId="0">#REF!</definedName>
    <definedName name="ExRate" localSheetId="4">#REF!</definedName>
    <definedName name="ExRate" localSheetId="3">#REF!</definedName>
    <definedName name="ExRate" localSheetId="5">#REF!</definedName>
    <definedName name="ExRate">#REF!</definedName>
    <definedName name="ExRatio" localSheetId="4">#REF!</definedName>
    <definedName name="ExRatio" localSheetId="3">#REF!</definedName>
    <definedName name="ExRatio" localSheetId="5">#REF!</definedName>
    <definedName name="ExRatio">#REF!</definedName>
    <definedName name="Extra_Pay" localSheetId="2">#REF!</definedName>
    <definedName name="Extra_Pay" localSheetId="1">#REF!</definedName>
    <definedName name="Extra_Pay" localSheetId="0">#REF!</definedName>
    <definedName name="Extra_Pay" localSheetId="4">#REF!</definedName>
    <definedName name="Extra_Pay" localSheetId="3">#REF!</definedName>
    <definedName name="Extra_Pay" localSheetId="5">#REF!</definedName>
    <definedName name="Extra_Pay">#REF!</definedName>
    <definedName name="extrac_a_trier" localSheetId="2">#REF!</definedName>
    <definedName name="extrac_a_trier" localSheetId="1">#REF!</definedName>
    <definedName name="extrac_a_trier" localSheetId="0">#REF!</definedName>
    <definedName name="extrac_a_trier" localSheetId="4">#REF!</definedName>
    <definedName name="extrac_a_trier" localSheetId="3">#REF!</definedName>
    <definedName name="extrac_a_trier" localSheetId="5">#REF!</definedName>
    <definedName name="extrac_a_trier">#REF!</definedName>
    <definedName name="_xlnm.Extract" localSheetId="2">#REF!</definedName>
    <definedName name="_xlnm.Extract" localSheetId="1">#REF!</definedName>
    <definedName name="_xlnm.Extract" localSheetId="0">#REF!</definedName>
    <definedName name="_xlnm.Extract" localSheetId="4">#REF!</definedName>
    <definedName name="_xlnm.Extract" localSheetId="3">#REF!</definedName>
    <definedName name="_xlnm.Extract" localSheetId="5">#REF!</definedName>
    <definedName name="_xlnm.Extract">#REF!</definedName>
    <definedName name="Extras" localSheetId="2" hidden="1">{"'S Summ'!$B$2:$L$73","'S Summ'!$G$76"}</definedName>
    <definedName name="Extras" localSheetId="1" hidden="1">{"'S Summ'!$B$2:$L$73","'S Summ'!$G$76"}</definedName>
    <definedName name="Extras" localSheetId="0" hidden="1">{"'S Summ'!$B$2:$L$73","'S Summ'!$G$76"}</definedName>
    <definedName name="Extras" localSheetId="4" hidden="1">{"'S Summ'!$B$2:$L$73","'S Summ'!$G$76"}</definedName>
    <definedName name="Extras" localSheetId="3" hidden="1">{"'S Summ'!$B$2:$L$73","'S Summ'!$G$76"}</definedName>
    <definedName name="Extras" localSheetId="5" hidden="1">{"'S Summ'!$B$2:$L$73","'S Summ'!$G$76"}</definedName>
    <definedName name="Extras" hidden="1">{"'S Summ'!$B$2:$L$73","'S Summ'!$G$76"}</definedName>
    <definedName name="f" localSheetId="2" hidden="1">{#N/A,#N/A,TRUE,"Cover";#N/A,#N/A,TRUE,"Conts";#N/A,#N/A,TRUE,"VOS";#N/A,#N/A,TRUE,"Warrington";#N/A,#N/A,TRUE,"Widnes"}</definedName>
    <definedName name="f" localSheetId="1" hidden="1">{#N/A,#N/A,TRUE,"Cover";#N/A,#N/A,TRUE,"Conts";#N/A,#N/A,TRUE,"VOS";#N/A,#N/A,TRUE,"Warrington";#N/A,#N/A,TRUE,"Widnes"}</definedName>
    <definedName name="F" localSheetId="0">#REF!</definedName>
    <definedName name="F" localSheetId="4">#REF!</definedName>
    <definedName name="F" localSheetId="3">#REF!</definedName>
    <definedName name="F" localSheetId="5">#REF!</definedName>
    <definedName name="F">#REF!</definedName>
    <definedName name="FA" localSheetId="2">#REF!</definedName>
    <definedName name="FA" localSheetId="1">#REF!</definedName>
    <definedName name="FA" localSheetId="0">#REF!</definedName>
    <definedName name="FA" localSheetId="4">#REF!</definedName>
    <definedName name="FA" localSheetId="3">#REF!</definedName>
    <definedName name="FA" localSheetId="5">#REF!</definedName>
    <definedName name="FA">#REF!</definedName>
    <definedName name="Fabcategory" localSheetId="4">#REF!</definedName>
    <definedName name="Fabcategory" localSheetId="3">#REF!</definedName>
    <definedName name="Fabcategory" localSheetId="5">#REF!</definedName>
    <definedName name="Fabcategory">#REF!</definedName>
    <definedName name="FAC" localSheetId="2">#REF!</definedName>
    <definedName name="FAC" localSheetId="1">#REF!</definedName>
    <definedName name="FAC" localSheetId="0">#REF!</definedName>
    <definedName name="FAC" localSheetId="4">#REF!</definedName>
    <definedName name="FAC" localSheetId="3">#REF!</definedName>
    <definedName name="FAC" localSheetId="5">#REF!</definedName>
    <definedName name="FAC">#REF!</definedName>
    <definedName name="Fac_new" localSheetId="4">#REF!</definedName>
    <definedName name="Fac_new" localSheetId="3">#REF!</definedName>
    <definedName name="Fac_new" localSheetId="5">#REF!</definedName>
    <definedName name="Fac_new">#REF!</definedName>
    <definedName name="Fac_old" localSheetId="4">#REF!</definedName>
    <definedName name="Fac_old" localSheetId="3">#REF!</definedName>
    <definedName name="Fac_old" localSheetId="5">#REF!</definedName>
    <definedName name="Fac_old">#REF!</definedName>
    <definedName name="FACILITY" localSheetId="2">#REF!</definedName>
    <definedName name="FACILITY" localSheetId="1">#REF!</definedName>
    <definedName name="FACILITY" localSheetId="0">#REF!</definedName>
    <definedName name="FACILITY" localSheetId="4">#REF!</definedName>
    <definedName name="FACILITY" localSheetId="3">#REF!</definedName>
    <definedName name="FACILITY" localSheetId="5">#REF!</definedName>
    <definedName name="FACILITY">#REF!</definedName>
    <definedName name="FAHu" localSheetId="4">#REF!</definedName>
    <definedName name="FAHu" localSheetId="3">#REF!</definedName>
    <definedName name="FAHu" localSheetId="5">#REF!</definedName>
    <definedName name="FAHu">#REF!</definedName>
    <definedName name="FAN" localSheetId="2">#REF!</definedName>
    <definedName name="FAN" localSheetId="1">#REF!</definedName>
    <definedName name="FAN" localSheetId="0">#REF!</definedName>
    <definedName name="FAN" localSheetId="4">#REF!</definedName>
    <definedName name="FAN" localSheetId="3">#REF!</definedName>
    <definedName name="FAN" localSheetId="5">#REF!</definedName>
    <definedName name="FAN">#REF!</definedName>
    <definedName name="Fans" localSheetId="4">#REF!</definedName>
    <definedName name="Fans" localSheetId="3">#REF!</definedName>
    <definedName name="Fans" localSheetId="5">#REF!</definedName>
    <definedName name="Fans">#REF!</definedName>
    <definedName name="FAX" localSheetId="2">#REF!</definedName>
    <definedName name="FAX" localSheetId="1">#REF!</definedName>
    <definedName name="FAX" localSheetId="0">#REF!</definedName>
    <definedName name="FAX" localSheetId="4">#REF!</definedName>
    <definedName name="FAX" localSheetId="3">#REF!</definedName>
    <definedName name="FAX" localSheetId="5">#REF!</definedName>
    <definedName name="FAX">#REF!</definedName>
    <definedName name="FB" localSheetId="4">#REF!</definedName>
    <definedName name="FB" localSheetId="3">#REF!</definedName>
    <definedName name="FB" localSheetId="5">#REF!</definedName>
    <definedName name="FB">#REF!</definedName>
    <definedName name="FB1st" localSheetId="4">#REF!</definedName>
    <definedName name="FB1st" localSheetId="3">#REF!</definedName>
    <definedName name="FB1st" localSheetId="5">#REF!</definedName>
    <definedName name="FB1st">#REF!</definedName>
    <definedName name="FB2nd" localSheetId="4">#REF!</definedName>
    <definedName name="FB2nd" localSheetId="3">#REF!</definedName>
    <definedName name="FB2nd" localSheetId="5">#REF!</definedName>
    <definedName name="FB2nd">#REF!</definedName>
    <definedName name="FBArea" localSheetId="4">#REF!</definedName>
    <definedName name="FBArea" localSheetId="3">#REF!</definedName>
    <definedName name="FBArea" localSheetId="5">#REF!</definedName>
    <definedName name="FBArea">#REF!</definedName>
    <definedName name="FC" localSheetId="2">#REF!</definedName>
    <definedName name="FC" localSheetId="1">#REF!</definedName>
    <definedName name="FC" localSheetId="0">#REF!</definedName>
    <definedName name="FC" localSheetId="4">#REF!</definedName>
    <definedName name="FC" localSheetId="3">#REF!</definedName>
    <definedName name="FC" localSheetId="5">#REF!</definedName>
    <definedName name="FC">#REF!</definedName>
    <definedName name="FCC">0.7%</definedName>
    <definedName name="FCCM" localSheetId="2">#REF!</definedName>
    <definedName name="FCCM" localSheetId="1">#REF!</definedName>
    <definedName name="FCCM" localSheetId="0">#REF!</definedName>
    <definedName name="FCCM" localSheetId="4">#REF!</definedName>
    <definedName name="FCCM" localSheetId="3">#REF!</definedName>
    <definedName name="FCCM" localSheetId="5">#REF!</definedName>
    <definedName name="FCCM">#REF!</definedName>
    <definedName name="FCode" localSheetId="2" hidden="1">#REF!</definedName>
    <definedName name="FCode" localSheetId="1" hidden="1">#REF!</definedName>
    <definedName name="FCode" localSheetId="0" hidden="1">#REF!</definedName>
    <definedName name="FCode" localSheetId="4" hidden="1">#REF!</definedName>
    <definedName name="FCode" localSheetId="3" hidden="1">#REF!</definedName>
    <definedName name="FCode" localSheetId="5" hidden="1">#REF!</definedName>
    <definedName name="FCode" hidden="1">#REF!</definedName>
    <definedName name="FCU" localSheetId="4">#REF!</definedName>
    <definedName name="FCU" localSheetId="3">#REF!</definedName>
    <definedName name="FCU" localSheetId="5">#REF!</definedName>
    <definedName name="FCU">#REF!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nfwk" localSheetId="5">#REF!</definedName>
    <definedName name="fdnfwk">#REF!</definedName>
    <definedName name="fdsfs" localSheetId="4">#REF!</definedName>
    <definedName name="fdsfs" localSheetId="3">#REF!</definedName>
    <definedName name="fdsfs" localSheetId="5">#REF!</definedName>
    <definedName name="fdsfs">#REF!</definedName>
    <definedName name="FeeResourceID" localSheetId="0">#REF!</definedName>
    <definedName name="FeeResourceID" localSheetId="4">#REF!</definedName>
    <definedName name="FeeResourceID" localSheetId="3">#REF!</definedName>
    <definedName name="FeeResourceID" localSheetId="5">#REF!</definedName>
    <definedName name="FeeResourceID">#REF!</definedName>
    <definedName name="FEFC_Salary" localSheetId="0">#REF!</definedName>
    <definedName name="FEFC_Salary" localSheetId="4">#REF!</definedName>
    <definedName name="FEFC_Salary" localSheetId="3">#REF!</definedName>
    <definedName name="FEFC_Salary" localSheetId="5">#REF!</definedName>
    <definedName name="FEFC_Salary">#REF!</definedName>
    <definedName name="FF" localSheetId="2">#REF!</definedName>
    <definedName name="FF" localSheetId="1">#REF!</definedName>
    <definedName name="FF" localSheetId="0">#REF!</definedName>
    <definedName name="FF" localSheetId="4">#REF!</definedName>
    <definedName name="FF" localSheetId="3">#REF!</definedName>
    <definedName name="FF" localSheetId="5">#REF!</definedName>
    <definedName name="FF">#REF!</definedName>
    <definedName name="FF_Pumping" localSheetId="4">#REF!</definedName>
    <definedName name="FF_Pumping" localSheetId="3">#REF!</definedName>
    <definedName name="FF_Pumping" localSheetId="5">#REF!</definedName>
    <definedName name="FF_Pumping">#REF!</definedName>
    <definedName name="FF_Valves" localSheetId="4">#REF!</definedName>
    <definedName name="FF_Valves" localSheetId="3">#REF!</definedName>
    <definedName name="FF_Valves" localSheetId="5">#REF!</definedName>
    <definedName name="FF_Valves">#REF!</definedName>
    <definedName name="fffuu" localSheetId="2" hidden="1">{"'Break down'!$A$4"}</definedName>
    <definedName name="fffuu" localSheetId="1" hidden="1">{"'Break down'!$A$4"}</definedName>
    <definedName name="fffuu" localSheetId="0" hidden="1">{"'Break down'!$A$4"}</definedName>
    <definedName name="fffuu" localSheetId="4" hidden="1">{"'Break down'!$A$4"}</definedName>
    <definedName name="fffuu" localSheetId="3" hidden="1">{"'Break down'!$A$4"}</definedName>
    <definedName name="fffuu" localSheetId="5" hidden="1">{"'Break down'!$A$4"}</definedName>
    <definedName name="fffuu" hidden="1">{"'Break down'!$A$4"}</definedName>
    <definedName name="fffuu_1" localSheetId="2" hidden="1">{"'Break down'!$A$4"}</definedName>
    <definedName name="fffuu_1" localSheetId="1" hidden="1">{"'Break down'!$A$4"}</definedName>
    <definedName name="fffuu_1" localSheetId="0" hidden="1">{"'Break down'!$A$4"}</definedName>
    <definedName name="fffuu_1" localSheetId="4" hidden="1">{"'Break down'!$A$4"}</definedName>
    <definedName name="fffuu_1" localSheetId="3" hidden="1">{"'Break down'!$A$4"}</definedName>
    <definedName name="fffuu_1" localSheetId="5" hidden="1">{"'Break down'!$A$4"}</definedName>
    <definedName name="fffuu_1" hidden="1">{"'Break down'!$A$4"}</definedName>
    <definedName name="fffuu_2" localSheetId="2" hidden="1">{"'Break down'!$A$4"}</definedName>
    <definedName name="fffuu_2" localSheetId="1" hidden="1">{"'Break down'!$A$4"}</definedName>
    <definedName name="fffuu_2" localSheetId="0" hidden="1">{"'Break down'!$A$4"}</definedName>
    <definedName name="fffuu_2" localSheetId="4" hidden="1">{"'Break down'!$A$4"}</definedName>
    <definedName name="fffuu_2" localSheetId="3" hidden="1">{"'Break down'!$A$4"}</definedName>
    <definedName name="fffuu_2" localSheetId="5" hidden="1">{"'Break down'!$A$4"}</definedName>
    <definedName name="fffuu_2" hidden="1">{"'Break down'!$A$4"}</definedName>
    <definedName name="FFR" localSheetId="5">#REF!</definedName>
    <definedName name="FFR">#REF!</definedName>
    <definedName name="fg" localSheetId="2" hidden="1">{#N/A,#N/A,TRUE,"Cover";#N/A,#N/A,TRUE,"Conts";#N/A,#N/A,TRUE,"VOS";#N/A,#N/A,TRUE,"Warrington";#N/A,#N/A,TRUE,"Widnes"}</definedName>
    <definedName name="fg" localSheetId="1" hidden="1">{#N/A,#N/A,TRUE,"Cover";#N/A,#N/A,TRUE,"Conts";#N/A,#N/A,TRUE,"VOS";#N/A,#N/A,TRUE,"Warrington";#N/A,#N/A,TRUE,"Widnes"}</definedName>
    <definedName name="f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4">#REF!</definedName>
    <definedName name="fgfg" localSheetId="3">#REF!</definedName>
    <definedName name="fgfg" localSheetId="5">#REF!</definedName>
    <definedName name="fgfg">#REF!</definedName>
    <definedName name="FGH" localSheetId="2" hidden="1">{#N/A,#N/A,FALSE,"估價單  (3)"}</definedName>
    <definedName name="FGH" localSheetId="1" hidden="1">{#N/A,#N/A,FALSE,"估價單  (3)"}</definedName>
    <definedName name="FGH" localSheetId="0" hidden="1">{#N/A,#N/A,FALSE,"估價單  (3)"}</definedName>
    <definedName name="FGH" localSheetId="4" hidden="1">{#N/A,#N/A,FALSE,"估價單  (3)"}</definedName>
    <definedName name="FGH" localSheetId="3" hidden="1">{#N/A,#N/A,FALSE,"估價單  (3)"}</definedName>
    <definedName name="FGH" localSheetId="5" hidden="1">{#N/A,#N/A,FALSE,"估價單  (3)"}</definedName>
    <definedName name="FGH" hidden="1">{#N/A,#N/A,FALSE,"估價單  (3)"}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fh" localSheetId="2">#REF!</definedName>
    <definedName name="fghgfh" localSheetId="1">#REF!</definedName>
    <definedName name="fghgfh" localSheetId="0">#REF!</definedName>
    <definedName name="fghgfh" localSheetId="4">#REF!</definedName>
    <definedName name="fghgfh" localSheetId="3">#REF!</definedName>
    <definedName name="fghgfh" localSheetId="5">#REF!</definedName>
    <definedName name="fghgfh">#REF!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RKRKRKRKRKRKRKRKRKRKRKTBTBSPD" localSheetId="2">#REF!</definedName>
    <definedName name="fgRKRKRKRKRKRKRKRKRKRKRKTBTBSPD" localSheetId="1">#REF!</definedName>
    <definedName name="fgRKRKRKRKRKRKRKRKRKRKRKTBTBSPD" localSheetId="0">#REF!</definedName>
    <definedName name="fgRKRKRKRKRKRKRKRKRKRKRKTBTBSPD" localSheetId="4">#REF!</definedName>
    <definedName name="fgRKRKRKRKRKRKRKRKRKRKRKTBTBSPD" localSheetId="3">#REF!</definedName>
    <definedName name="fgRKRKRKRKRKRKRKRKRKRKRKTBTBSPD" localSheetId="5">#REF!</definedName>
    <definedName name="fgRKRKRKRKRKRKRKRKRKRKRKTBTBSPD">#REF!</definedName>
    <definedName name="FGRKRKRKRKRKRKRKTBTBSPDKDKRT" localSheetId="2">#REF!</definedName>
    <definedName name="FGRKRKRKRKRKRKRKTBTBSPDKDKRT" localSheetId="1">#REF!</definedName>
    <definedName name="FGRKRKRKRKRKRKRKTBTBSPDKDKRT" localSheetId="0">#REF!</definedName>
    <definedName name="FGRKRKRKRKRKRKRKTBTBSPDKDKRT" localSheetId="4">#REF!</definedName>
    <definedName name="FGRKRKRKRKRKRKRKTBTBSPDKDKRT" localSheetId="3">#REF!</definedName>
    <definedName name="FGRKRKRKRKRKRKRKTBTBSPDKDKRT" localSheetId="5">#REF!</definedName>
    <definedName name="FGRKRKRKRKRKRKRKTBTBSPDKDKRT">#REF!</definedName>
    <definedName name="FGRKRKRKRKRKRKTBTBSPDKDKRT" localSheetId="2">#REF!</definedName>
    <definedName name="FGRKRKRKRKRKRKTBTBSPDKDKRT" localSheetId="1">#REF!</definedName>
    <definedName name="FGRKRKRKRKRKRKTBTBSPDKDKRT" localSheetId="4">#REF!</definedName>
    <definedName name="FGRKRKRKRKRKRKTBTBSPDKDKRT" localSheetId="3">#REF!</definedName>
    <definedName name="FGRKRKRKRKRKRKTBTBSPDKDKRT" localSheetId="5">#REF!</definedName>
    <definedName name="FGRKRKRKRKRKRKTBTBSPDKDKRT">#REF!</definedName>
    <definedName name="fgRKTBTBSPDKDKRT" localSheetId="4">#REF!</definedName>
    <definedName name="fgRKTBTBSPDKDKRT" localSheetId="3">#REF!</definedName>
    <definedName name="fgRKTBTBSPDKDKRT" localSheetId="5">#REF!</definedName>
    <definedName name="fgRKTBTBSPDKDKRT">#REF!</definedName>
    <definedName name="FGRKTBTBSPRT" localSheetId="4">#REF!</definedName>
    <definedName name="FGRKTBTBSPRT" localSheetId="3">#REF!</definedName>
    <definedName name="FGRKTBTBSPRT" localSheetId="5">#REF!</definedName>
    <definedName name="FGRKTBTBSPRT">#REF!</definedName>
    <definedName name="fi" localSheetId="2">#REF!</definedName>
    <definedName name="fi" localSheetId="1">#REF!</definedName>
    <definedName name="fi" localSheetId="0">#REF!</definedName>
    <definedName name="fi" localSheetId="4">#REF!</definedName>
    <definedName name="fi" localSheetId="3">#REF!</definedName>
    <definedName name="fi" localSheetId="5">#REF!</definedName>
    <definedName name="fi">#REF!</definedName>
    <definedName name="fi4_" localSheetId="2">#REF!</definedName>
    <definedName name="fi4_" localSheetId="1">#REF!</definedName>
    <definedName name="fi4_" localSheetId="0">#REF!</definedName>
    <definedName name="fi4_" localSheetId="4">#REF!</definedName>
    <definedName name="fi4_" localSheetId="3">#REF!</definedName>
    <definedName name="fi4_" localSheetId="5">#REF!</definedName>
    <definedName name="fi4_">#REF!</definedName>
    <definedName name="fi4a" localSheetId="2">#REF!</definedName>
    <definedName name="fi4a" localSheetId="1">#REF!</definedName>
    <definedName name="fi4a" localSheetId="0">#REF!</definedName>
    <definedName name="fi4a" localSheetId="4">#REF!</definedName>
    <definedName name="fi4a" localSheetId="3">#REF!</definedName>
    <definedName name="fi4a" localSheetId="5">#REF!</definedName>
    <definedName name="fi4a">#REF!</definedName>
    <definedName name="fiber_glass__Flexible_Duct" localSheetId="4">#REF!</definedName>
    <definedName name="fiber_glass__Flexible_Duct" localSheetId="3">#REF!</definedName>
    <definedName name="fiber_glass__Flexible_Duct" localSheetId="5">#REF!</definedName>
    <definedName name="fiber_glass__Flexible_Duct">#REF!</definedName>
    <definedName name="Field_Ofc_OT" localSheetId="4">#REF!</definedName>
    <definedName name="Field_Ofc_OT" localSheetId="3">#REF!</definedName>
    <definedName name="Field_Ofc_OT" localSheetId="5">#REF!</definedName>
    <definedName name="Field_Ofc_OT">#REF!</definedName>
    <definedName name="Field_Ofc_ST" localSheetId="4">#REF!</definedName>
    <definedName name="Field_Ofc_ST" localSheetId="3">#REF!</definedName>
    <definedName name="Field_Ofc_ST" localSheetId="5">#REF!</definedName>
    <definedName name="Field_Ofc_ST">#REF!</definedName>
    <definedName name="fill" localSheetId="2">#REF!</definedName>
    <definedName name="fill" localSheetId="1">#REF!</definedName>
    <definedName name="fill" localSheetId="0">#REF!</definedName>
    <definedName name="fill" localSheetId="4">#REF!</definedName>
    <definedName name="fill" localSheetId="3">#REF!</definedName>
    <definedName name="fill" localSheetId="5">#REF!</definedName>
    <definedName name="fill">#REF!</definedName>
    <definedName name="Filter_input_fac" localSheetId="2">#REF!</definedName>
    <definedName name="Filter_input_fac" localSheetId="1">#REF!</definedName>
    <definedName name="Filter_input_fac" localSheetId="0">#REF!</definedName>
    <definedName name="Filter_input_fac" localSheetId="4">#REF!</definedName>
    <definedName name="Filter_input_fac" localSheetId="3">#REF!</definedName>
    <definedName name="Filter_input_fac" localSheetId="5">#REF!</definedName>
    <definedName name="Filter_input_fac">#REF!</definedName>
    <definedName name="Fin_Hrs" localSheetId="2">#REF!</definedName>
    <definedName name="Fin_Hrs" localSheetId="1">#REF!</definedName>
    <definedName name="Fin_Hrs" localSheetId="0">#REF!</definedName>
    <definedName name="Fin_Hrs" localSheetId="4">#REF!</definedName>
    <definedName name="Fin_Hrs" localSheetId="3">#REF!</definedName>
    <definedName name="Fin_Hrs" localSheetId="5">#REF!</definedName>
    <definedName name="Fin_Hrs">#REF!</definedName>
    <definedName name="Fin_Rev" localSheetId="2">#REF!</definedName>
    <definedName name="Fin_Rev" localSheetId="1">#REF!</definedName>
    <definedName name="Fin_Rev" localSheetId="0">#REF!</definedName>
    <definedName name="Fin_Rev" localSheetId="4">#REF!</definedName>
    <definedName name="Fin_Rev" localSheetId="3">#REF!</definedName>
    <definedName name="Fin_Rev" localSheetId="5">#REF!</definedName>
    <definedName name="Fin_Rev">#REF!</definedName>
    <definedName name="fini" localSheetId="2">#REF!</definedName>
    <definedName name="fini" localSheetId="1">#REF!</definedName>
    <definedName name="fini" localSheetId="0">#REF!</definedName>
    <definedName name="fini" localSheetId="4">#REF!</definedName>
    <definedName name="fini" localSheetId="3">#REF!</definedName>
    <definedName name="fini" localSheetId="5">#REF!</definedName>
    <definedName name="fini">#REF!</definedName>
    <definedName name="fini4" localSheetId="2">#REF!</definedName>
    <definedName name="fini4" localSheetId="1">#REF!</definedName>
    <definedName name="fini4" localSheetId="0">#REF!</definedName>
    <definedName name="fini4" localSheetId="4">#REF!</definedName>
    <definedName name="fini4" localSheetId="3">#REF!</definedName>
    <definedName name="fini4" localSheetId="5">#REF!</definedName>
    <definedName name="fini4">#REF!</definedName>
    <definedName name="FIRE" localSheetId="2">#REF!</definedName>
    <definedName name="FIRE" localSheetId="1">#REF!</definedName>
    <definedName name="FIRE" localSheetId="0">#REF!</definedName>
    <definedName name="FIRE" localSheetId="4">#REF!</definedName>
    <definedName name="FIRE" localSheetId="3">#REF!</definedName>
    <definedName name="FIRE" localSheetId="5">#REF!</definedName>
    <definedName name="FIRE">#REF!</definedName>
    <definedName name="Fire_Alarm" localSheetId="4">#REF!</definedName>
    <definedName name="Fire_Alarm" localSheetId="3">#REF!</definedName>
    <definedName name="Fire_Alarm" localSheetId="5">#REF!</definedName>
    <definedName name="Fire_Alarm">#REF!</definedName>
    <definedName name="Fire_extinguishers_blankets" localSheetId="4">#REF!</definedName>
    <definedName name="Fire_extinguishers_blankets" localSheetId="3">#REF!</definedName>
    <definedName name="Fire_extinguishers_blankets" localSheetId="5">#REF!</definedName>
    <definedName name="Fire_extinguishers_blankets">#REF!</definedName>
    <definedName name="Fire_hose_cabinet" localSheetId="4">#REF!</definedName>
    <definedName name="Fire_hose_cabinet" localSheetId="3">#REF!</definedName>
    <definedName name="Fire_hose_cabinet" localSheetId="5">#REF!</definedName>
    <definedName name="Fire_hose_cabinet">#REF!</definedName>
    <definedName name="First" localSheetId="2">#REF!</definedName>
    <definedName name="First" localSheetId="1">#REF!</definedName>
    <definedName name="First" localSheetId="0">#REF!</definedName>
    <definedName name="First" localSheetId="4">#REF!</definedName>
    <definedName name="First" localSheetId="3">#REF!</definedName>
    <definedName name="First" localSheetId="5">#REF!</definedName>
    <definedName name="First">#REF!</definedName>
    <definedName name="FirstCell" localSheetId="4">#REF!</definedName>
    <definedName name="FirstCell" localSheetId="3">#REF!</definedName>
    <definedName name="FirstCell" localSheetId="5">#REF!</definedName>
    <definedName name="FirstCell">#REF!</definedName>
    <definedName name="FKIS_Salary" localSheetId="2">#REF!</definedName>
    <definedName name="FKIS_Salary" localSheetId="1">#REF!</definedName>
    <definedName name="FKIS_Salary" localSheetId="0">#REF!</definedName>
    <definedName name="FKIS_Salary" localSheetId="4">#REF!</definedName>
    <definedName name="FKIS_Salary" localSheetId="3">#REF!</definedName>
    <definedName name="FKIS_Salary" localSheetId="5">#REF!</definedName>
    <definedName name="FKIS_Salary">#REF!</definedName>
    <definedName name="FLA" localSheetId="2">#REF!</definedName>
    <definedName name="FLA" localSheetId="1">#REF!</definedName>
    <definedName name="FLA" localSheetId="4">#REF!</definedName>
    <definedName name="FLA" localSheetId="3">#REF!</definedName>
    <definedName name="FLA" localSheetId="5">#REF!</definedName>
    <definedName name="FLA">#REF!</definedName>
    <definedName name="FlArea" localSheetId="2">#REF!</definedName>
    <definedName name="FlArea" localSheetId="1">#REF!</definedName>
    <definedName name="FlArea" localSheetId="0">#REF!</definedName>
    <definedName name="FlArea" localSheetId="4">#REF!</definedName>
    <definedName name="FlArea" localSheetId="3">#REF!</definedName>
    <definedName name="FlArea" localSheetId="5">#REF!</definedName>
    <definedName name="FlArea">#REF!</definedName>
    <definedName name="FLEXCELL" localSheetId="4">#REF!</definedName>
    <definedName name="FLEXCELL" localSheetId="3">#REF!</definedName>
    <definedName name="FLEXCELL" localSheetId="5">#REF!</definedName>
    <definedName name="FLEXCELL">#REF!</definedName>
    <definedName name="FLG" localSheetId="2">#REF!</definedName>
    <definedName name="FLG" localSheetId="1">#REF!</definedName>
    <definedName name="FLG" localSheetId="0">#REF!</definedName>
    <definedName name="FLG" localSheetId="4">#REF!</definedName>
    <definedName name="FLG" localSheetId="3">#REF!</definedName>
    <definedName name="FLG" localSheetId="5">#REF!</definedName>
    <definedName name="FLG">#REF!</definedName>
    <definedName name="FLG_Orifice" localSheetId="2">#REF!</definedName>
    <definedName name="FLG_Orifice" localSheetId="1">#REF!</definedName>
    <definedName name="FLG_Orifice" localSheetId="0">#REF!</definedName>
    <definedName name="FLG_Orifice" localSheetId="4">#REF!</definedName>
    <definedName name="FLG_Orifice" localSheetId="3">#REF!</definedName>
    <definedName name="FLG_Orifice" localSheetId="5">#REF!</definedName>
    <definedName name="FLG_Orifice">#REF!</definedName>
    <definedName name="FLOOR" localSheetId="2">#REF!</definedName>
    <definedName name="FLOOR" localSheetId="1">#REF!</definedName>
    <definedName name="FLOOR" localSheetId="0">#REF!</definedName>
    <definedName name="FLOOR" localSheetId="4">#REF!</definedName>
    <definedName name="FLOOR" localSheetId="3">#REF!</definedName>
    <definedName name="FLOOR" localSheetId="5">#REF!</definedName>
    <definedName name="FLOOR">#REF!</definedName>
    <definedName name="floor_drain___clean_out" localSheetId="4">#REF!</definedName>
    <definedName name="floor_drain___clean_out" localSheetId="3">#REF!</definedName>
    <definedName name="floor_drain___clean_out" localSheetId="5">#REF!</definedName>
    <definedName name="floor_drain___clean_out">#REF!</definedName>
    <definedName name="FLOORING" localSheetId="2">#REF!</definedName>
    <definedName name="FLOORING" localSheetId="1">#REF!</definedName>
    <definedName name="FLOORING" localSheetId="0">#REF!</definedName>
    <definedName name="FLOORING" localSheetId="4">#REF!</definedName>
    <definedName name="FLOORING" localSheetId="3">#REF!</definedName>
    <definedName name="FLOORING" localSheetId="5">#REF!</definedName>
    <definedName name="FLOORING">#REF!</definedName>
    <definedName name="flushdoor" localSheetId="2">#REF!</definedName>
    <definedName name="flushdoor" localSheetId="1">#REF!</definedName>
    <definedName name="flushdoor" localSheetId="0">#REF!</definedName>
    <definedName name="flushdoor" localSheetId="4">#REF!</definedName>
    <definedName name="flushdoor" localSheetId="3">#REF!</definedName>
    <definedName name="flushdoor" localSheetId="5">#REF!</definedName>
    <definedName name="flushdoor">#REF!</definedName>
    <definedName name="FM_200" localSheetId="4">#REF!</definedName>
    <definedName name="FM_200" localSheetId="3">#REF!</definedName>
    <definedName name="FM_200" localSheetId="5">#REF!</definedName>
    <definedName name="FM_200">#REF!</definedName>
    <definedName name="FMWKOIL" localSheetId="4">#REF!</definedName>
    <definedName name="FMWKOIL" localSheetId="3">#REF!</definedName>
    <definedName name="FMWKOIL" localSheetId="5">#REF!</definedName>
    <definedName name="FMWKOIL">#REF!</definedName>
    <definedName name="FMWKOILPR" localSheetId="4">#REF!</definedName>
    <definedName name="FMWKOILPR" localSheetId="3">#REF!</definedName>
    <definedName name="FMWKOILPR" localSheetId="5">#REF!</definedName>
    <definedName name="FMWKOILPR">#REF!</definedName>
    <definedName name="FMWKOILRATE" localSheetId="4">#REF!</definedName>
    <definedName name="FMWKOILRATE" localSheetId="3">#REF!</definedName>
    <definedName name="FMWKOILRATE" localSheetId="5">#REF!</definedName>
    <definedName name="FMWKOILRATE">#REF!</definedName>
    <definedName name="Foam_Tank" localSheetId="4">#REF!</definedName>
    <definedName name="Foam_Tank" localSheetId="3">#REF!</definedName>
    <definedName name="Foam_Tank" localSheetId="5">#REF!</definedName>
    <definedName name="Foam_Tank">#REF!</definedName>
    <definedName name="FONT6" localSheetId="2">#REF!</definedName>
    <definedName name="FONT6" localSheetId="1">#REF!</definedName>
    <definedName name="FONT6" localSheetId="0">#REF!</definedName>
    <definedName name="FONT6" localSheetId="4">#REF!</definedName>
    <definedName name="FONT6" localSheetId="3">#REF!</definedName>
    <definedName name="FONT6" localSheetId="5">#REF!</definedName>
    <definedName name="FONT6">#REF!</definedName>
    <definedName name="foot" localSheetId="2">#REF!</definedName>
    <definedName name="foot" localSheetId="1">#REF!</definedName>
    <definedName name="foot" localSheetId="0">#REF!</definedName>
    <definedName name="foot" localSheetId="4">#REF!</definedName>
    <definedName name="foot" localSheetId="3">#REF!</definedName>
    <definedName name="foot" localSheetId="5">#REF!</definedName>
    <definedName name="foot">#REF!</definedName>
    <definedName name="Footer" localSheetId="0">IF([0]!areaa=GE,"GE","ST")</definedName>
    <definedName name="Footer" localSheetId="4">IF([0]!_xlnm.Print_Area=GE,"GE","ST")</definedName>
    <definedName name="Footer" localSheetId="3">IF([0]!_xlnm.Print_Area=GE,"GE","ST")</definedName>
    <definedName name="Footer" localSheetId="5">IF([0]!areaa=GE,"GE","ST")</definedName>
    <definedName name="Footer">IF([0]!areaa=GE,"GE","ST")</definedName>
    <definedName name="for" localSheetId="0">#REF!</definedName>
    <definedName name="for" localSheetId="4">#REF!</definedName>
    <definedName name="for" localSheetId="3">#REF!</definedName>
    <definedName name="for" localSheetId="5">#REF!</definedName>
    <definedName name="for">#REF!</definedName>
    <definedName name="ForecastData" localSheetId="4">#REF!</definedName>
    <definedName name="ForecastData" localSheetId="3">#REF!</definedName>
    <definedName name="ForecastData" localSheetId="5">#REF!</definedName>
    <definedName name="ForecastData">#REF!</definedName>
    <definedName name="form300" localSheetId="4">#REF!</definedName>
    <definedName name="form300" localSheetId="3">#REF!</definedName>
    <definedName name="form300" localSheetId="5">#REF!</definedName>
    <definedName name="form300">#REF!</definedName>
    <definedName name="FORMCOL" localSheetId="4">#REF!</definedName>
    <definedName name="FORMCOL" localSheetId="3">#REF!</definedName>
    <definedName name="FORMCOL" localSheetId="5">#REF!</definedName>
    <definedName name="FORMCOL">#REF!</definedName>
    <definedName name="FormQty" localSheetId="2">IF('A10 Design + Subs fee'!BASE=1,#REF!*#REF!,#REF!*#REF!/8.2296)</definedName>
    <definedName name="FormQty" localSheetId="1">IF('A9 Design + Subs fee '!BASE=1,#REF!*#REF!,#REF!*#REF!/8.2296)</definedName>
    <definedName name="FormQty" localSheetId="0">IF('FEE RECON RAIHAN'!BASE=1,#REF!*#REF!,#REF!*#REF!/8.2296)</definedName>
    <definedName name="FormQty" localSheetId="4">IF('Mastersheet-Projects'!BASE=1,#REF!*#REF!,#REF!*#REF!/8.2296)</definedName>
    <definedName name="FormQty" localSheetId="3">IF('Mastersheet-Resources'!BASE=1,#REF!*#REF!,#REF!*#REF!/8.2296)</definedName>
    <definedName name="FormQty" localSheetId="5">IF('Tender List'!BASE=1,#REF!*#REF!,#REF!*#REF!/8.2296)</definedName>
    <definedName name="FormQty">IF(BASE=1,#REF!*#REF!,#REF!*#REF!/8.2296)</definedName>
    <definedName name="FormQty1">#N/A</definedName>
    <definedName name="FORMSLAB" localSheetId="4">#REF!</definedName>
    <definedName name="FORMSLAB" localSheetId="3">#REF!</definedName>
    <definedName name="FORMSLAB" localSheetId="5">#REF!</definedName>
    <definedName name="FORMSLAB">#REF!</definedName>
    <definedName name="FORMULA_ELECT" localSheetId="2">#REF!</definedName>
    <definedName name="FORMULA_ELECT" localSheetId="1">#REF!</definedName>
    <definedName name="FORMULA_ELECT" localSheetId="0">#REF!</definedName>
    <definedName name="FORMULA_ELECT" localSheetId="4">#REF!</definedName>
    <definedName name="FORMULA_ELECT" localSheetId="3">#REF!</definedName>
    <definedName name="FORMULA_ELECT" localSheetId="5">#REF!</definedName>
    <definedName name="FORMULA_ELECT">#REF!</definedName>
    <definedName name="FORMULES" localSheetId="4">#REF!</definedName>
    <definedName name="FORMULES" localSheetId="3">#REF!</definedName>
    <definedName name="FORMULES" localSheetId="5">#REF!</definedName>
    <definedName name="FORMULES">#REF!</definedName>
    <definedName name="FORMWALL" localSheetId="4">#REF!</definedName>
    <definedName name="FORMWALL" localSheetId="3">#REF!</definedName>
    <definedName name="FORMWALL" localSheetId="5">#REF!</definedName>
    <definedName name="FORMWALL">#REF!</definedName>
    <definedName name="FOS" localSheetId="2">#REF!</definedName>
    <definedName name="FOS" localSheetId="1">#REF!</definedName>
    <definedName name="FOS" localSheetId="0">#REF!</definedName>
    <definedName name="FOS" localSheetId="4">#REF!</definedName>
    <definedName name="FOS" localSheetId="3">#REF!</definedName>
    <definedName name="FOS" localSheetId="5">#REF!</definedName>
    <definedName name="FOS">#REF!</definedName>
    <definedName name="FR" localSheetId="2">#REF!</definedName>
    <definedName name="FR" localSheetId="1">#REF!</definedName>
    <definedName name="FR" localSheetId="0">#REF!</definedName>
    <definedName name="FR" localSheetId="4">#REF!</definedName>
    <definedName name="FR" localSheetId="3">#REF!</definedName>
    <definedName name="FR" localSheetId="5">#REF!</definedName>
    <definedName name="FR">#REF!</definedName>
    <definedName name="FRF" localSheetId="2">#REF!</definedName>
    <definedName name="FRF" localSheetId="1">#REF!</definedName>
    <definedName name="FRF" localSheetId="0">#REF!</definedName>
    <definedName name="FRF" localSheetId="4">#REF!</definedName>
    <definedName name="FRF" localSheetId="3">#REF!</definedName>
    <definedName name="FRF" localSheetId="5">#REF!</definedName>
    <definedName name="FRF">#REF!</definedName>
    <definedName name="From_page_Bill_No.05___5.2___Q___Page_5_of_63" localSheetId="2">#REF!</definedName>
    <definedName name="From_page_Bill_No.05___5.2___Q___Page_5_of_63" localSheetId="1">#REF!</definedName>
    <definedName name="From_page_Bill_No.05___5.2___Q___Page_5_of_63" localSheetId="0">#REF!</definedName>
    <definedName name="From_page_Bill_No.05___5.2___Q___Page_5_of_63" localSheetId="4">#REF!</definedName>
    <definedName name="From_page_Bill_No.05___5.2___Q___Page_5_of_63" localSheetId="3">#REF!</definedName>
    <definedName name="From_page_Bill_No.05___5.2___Q___Page_5_of_63" localSheetId="5">#REF!</definedName>
    <definedName name="From_page_Bill_No.05___5.2___Q___Page_5_of_63">#REF!</definedName>
    <definedName name="ft_sch" localSheetId="2">#REF!</definedName>
    <definedName name="ft_sch" localSheetId="1">#REF!</definedName>
    <definedName name="ft_sch" localSheetId="0">#REF!</definedName>
    <definedName name="ft_sch" localSheetId="4">#REF!</definedName>
    <definedName name="ft_sch" localSheetId="3">#REF!</definedName>
    <definedName name="ft_sch" localSheetId="5">#REF!</definedName>
    <definedName name="ft_sch">#REF!</definedName>
    <definedName name="Full_Print" localSheetId="2">#REF!</definedName>
    <definedName name="Full_Print" localSheetId="1">#REF!</definedName>
    <definedName name="Full_Print" localSheetId="0">#REF!</definedName>
    <definedName name="Full_Print" localSheetId="4">#REF!</definedName>
    <definedName name="Full_Print" localSheetId="3">#REF!</definedName>
    <definedName name="Full_Print" localSheetId="5">#REF!</definedName>
    <definedName name="Full_Print">#REF!</definedName>
    <definedName name="Furniture_Charge_Rate" localSheetId="2">#REF!</definedName>
    <definedName name="Furniture_Charge_Rate" localSheetId="1">#REF!</definedName>
    <definedName name="Furniture_Charge_Rate" localSheetId="0">#REF!</definedName>
    <definedName name="Furniture_Charge_Rate" localSheetId="4">#REF!</definedName>
    <definedName name="Furniture_Charge_Rate" localSheetId="3">#REF!</definedName>
    <definedName name="Furniture_Charge_Rate" localSheetId="5">#REF!</definedName>
    <definedName name="Furniture_Charge_Rate">#REF!</definedName>
    <definedName name="fwkbm" localSheetId="4">#REF!</definedName>
    <definedName name="fwkbm" localSheetId="3">#REF!</definedName>
    <definedName name="fwkbm" localSheetId="5">#REF!</definedName>
    <definedName name="fwkbm">#REF!</definedName>
    <definedName name="fwkcol" localSheetId="4">#REF!</definedName>
    <definedName name="fwkcol" localSheetId="3">#REF!</definedName>
    <definedName name="fwkcol" localSheetId="5">#REF!</definedName>
    <definedName name="fwkcol">#REF!</definedName>
    <definedName name="fwkrakingslab" localSheetId="4">#REF!</definedName>
    <definedName name="fwkrakingslab" localSheetId="3">#REF!</definedName>
    <definedName name="fwkrakingslab" localSheetId="5">#REF!</definedName>
    <definedName name="fwkrakingslab">#REF!</definedName>
    <definedName name="fwkslab" localSheetId="4">#REF!</definedName>
    <definedName name="fwkslab" localSheetId="3">#REF!</definedName>
    <definedName name="fwkslab" localSheetId="5">#REF!</definedName>
    <definedName name="fwkslab">#REF!</definedName>
    <definedName name="G" localSheetId="2">#REF!</definedName>
    <definedName name="G" localSheetId="1">#REF!</definedName>
    <definedName name="G" localSheetId="0">#REF!</definedName>
    <definedName name="G" localSheetId="4">#REF!</definedName>
    <definedName name="G" localSheetId="3">#REF!</definedName>
    <definedName name="G" localSheetId="5">#REF!</definedName>
    <definedName name="G">#REF!</definedName>
    <definedName name="G_74" localSheetId="4">#REF!</definedName>
    <definedName name="G_74" localSheetId="3">#REF!</definedName>
    <definedName name="G_74" localSheetId="5">#REF!</definedName>
    <definedName name="G_74">#REF!</definedName>
    <definedName name="GAEU_LAB" localSheetId="4">#REF!</definedName>
    <definedName name="GAEU_LAB" localSheetId="3">#REF!</definedName>
    <definedName name="GAEU_LAB" localSheetId="5">#REF!</definedName>
    <definedName name="GAEU_LAB">#REF!</definedName>
    <definedName name="gajkbgsf" localSheetId="2">#REF!</definedName>
    <definedName name="gajkbgsf" localSheetId="1">#REF!</definedName>
    <definedName name="gajkbgsf" localSheetId="0">#REF!</definedName>
    <definedName name="gajkbgsf" localSheetId="4">#REF!</definedName>
    <definedName name="gajkbgsf" localSheetId="3">#REF!</definedName>
    <definedName name="gajkbgsf" localSheetId="5">#REF!</definedName>
    <definedName name="gajkbgsf">#REF!</definedName>
    <definedName name="GAS" localSheetId="2">#REF!</definedName>
    <definedName name="GAS" localSheetId="1">#REF!</definedName>
    <definedName name="GAS" localSheetId="0">#REF!</definedName>
    <definedName name="GAS" localSheetId="4">#REF!</definedName>
    <definedName name="GAS" localSheetId="3">#REF!</definedName>
    <definedName name="GAS" localSheetId="5">#REF!</definedName>
    <definedName name="GAS">#REF!</definedName>
    <definedName name="gate" localSheetId="2">#REF!</definedName>
    <definedName name="gate" localSheetId="1">#REF!</definedName>
    <definedName name="gate" localSheetId="0">#REF!</definedName>
    <definedName name="gate" localSheetId="4">#REF!</definedName>
    <definedName name="gate" localSheetId="3">#REF!</definedName>
    <definedName name="gate" localSheetId="5">#REF!</definedName>
    <definedName name="gate">#REF!</definedName>
    <definedName name="gb" localSheetId="2">#REF!</definedName>
    <definedName name="gb" localSheetId="1">#REF!</definedName>
    <definedName name="gb" localSheetId="0">#REF!</definedName>
    <definedName name="gb" localSheetId="4">#REF!</definedName>
    <definedName name="gb" localSheetId="3">#REF!</definedName>
    <definedName name="gb" localSheetId="5">#REF!</definedName>
    <definedName name="gb">#REF!</definedName>
    <definedName name="GB_Sched" localSheetId="2">#REF!</definedName>
    <definedName name="GB_Sched" localSheetId="1">#REF!</definedName>
    <definedName name="GB_Sched" localSheetId="0">#REF!</definedName>
    <definedName name="GB_Sched" localSheetId="4">#REF!</definedName>
    <definedName name="GB_Sched" localSheetId="3">#REF!</definedName>
    <definedName name="GB_Sched" localSheetId="5">#REF!</definedName>
    <definedName name="GB_Sched">#REF!</definedName>
    <definedName name="GBPtoDhs" localSheetId="4">#REF!</definedName>
    <definedName name="GBPtoDhs" localSheetId="3">#REF!</definedName>
    <definedName name="GBPtoDhs" localSheetId="5">#REF!</definedName>
    <definedName name="GBPtoDhs">#REF!</definedName>
    <definedName name="gdf" localSheetId="2">#REF!</definedName>
    <definedName name="gdf" localSheetId="1">#REF!</definedName>
    <definedName name="gdf" localSheetId="0">#REF!</definedName>
    <definedName name="gdf" localSheetId="4">#REF!</definedName>
    <definedName name="gdf" localSheetId="3">#REF!</definedName>
    <definedName name="gdf" localSheetId="5">#REF!</definedName>
    <definedName name="gdf">#REF!</definedName>
    <definedName name="GEN" localSheetId="2">#REF!</definedName>
    <definedName name="GEN" localSheetId="1">#REF!</definedName>
    <definedName name="GEN" localSheetId="0">#REF!</definedName>
    <definedName name="GEN" localSheetId="4">#REF!</definedName>
    <definedName name="GEN" localSheetId="3">#REF!</definedName>
    <definedName name="GEN" localSheetId="5">#REF!</definedName>
    <definedName name="GEN">#REF!</definedName>
    <definedName name="GEN_VALVE" localSheetId="2">#REF!</definedName>
    <definedName name="GEN_VALVE" localSheetId="1">#REF!</definedName>
    <definedName name="GEN_VALVE" localSheetId="0">#REF!</definedName>
    <definedName name="GEN_VALVE" localSheetId="4">#REF!</definedName>
    <definedName name="GEN_VALVE" localSheetId="3">#REF!</definedName>
    <definedName name="GEN_VALVE" localSheetId="5">#REF!</definedName>
    <definedName name="GEN_VALVE">#REF!</definedName>
    <definedName name="General" localSheetId="2">#REF!</definedName>
    <definedName name="General" localSheetId="1">#REF!</definedName>
    <definedName name="General" localSheetId="0">#REF!</definedName>
    <definedName name="General" localSheetId="4">#REF!</definedName>
    <definedName name="General" localSheetId="3">#REF!</definedName>
    <definedName name="General" localSheetId="5">#REF!</definedName>
    <definedName name="General">#REF!</definedName>
    <definedName name="General_No" localSheetId="2">#REF!</definedName>
    <definedName name="General_No" localSheetId="1">#REF!</definedName>
    <definedName name="General_No" localSheetId="0">#REF!</definedName>
    <definedName name="General_No" localSheetId="4">#REF!</definedName>
    <definedName name="General_No" localSheetId="3">#REF!</definedName>
    <definedName name="General_No" localSheetId="5">#REF!</definedName>
    <definedName name="General_No">#REF!</definedName>
    <definedName name="Generator" localSheetId="4">#REF!</definedName>
    <definedName name="Generator" localSheetId="3">#REF!</definedName>
    <definedName name="Generator" localSheetId="5">#REF!</definedName>
    <definedName name="Generator">#REF!</definedName>
    <definedName name="GFA" localSheetId="2">#REF!</definedName>
    <definedName name="GFA" localSheetId="1">#REF!</definedName>
    <definedName name="GFA" localSheetId="0">#REF!</definedName>
    <definedName name="GFA" localSheetId="4">#REF!</definedName>
    <definedName name="GFA" localSheetId="3">#REF!</definedName>
    <definedName name="GFA" localSheetId="5">#REF!</definedName>
    <definedName name="GFA">#REF!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r" localSheetId="2">#REF!</definedName>
    <definedName name="gfr" localSheetId="1">#REF!</definedName>
    <definedName name="gfr" localSheetId="0">#REF!</definedName>
    <definedName name="gfr" localSheetId="4">#REF!</definedName>
    <definedName name="gfr" localSheetId="3">#REF!</definedName>
    <definedName name="gfr" localSheetId="5">#REF!</definedName>
    <definedName name="gfr">#REF!</definedName>
    <definedName name="gfsdhfkk" localSheetId="0">#REF!</definedName>
    <definedName name="gfsdhfkk" localSheetId="4">#REF!</definedName>
    <definedName name="gfsdhfkk" localSheetId="3">#REF!</definedName>
    <definedName name="gfsdhfkk" localSheetId="5">#REF!</definedName>
    <definedName name="gfsdhfkk">#REF!</definedName>
    <definedName name="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g" localSheetId="2">#REF!</definedName>
    <definedName name="ggg" localSheetId="1">#REF!</definedName>
    <definedName name="ggg" localSheetId="0">#REF!</definedName>
    <definedName name="ggg" localSheetId="4">#REF!</definedName>
    <definedName name="ggg" localSheetId="3">#REF!</definedName>
    <definedName name="ggg" localSheetId="5">#REF!</definedName>
    <definedName name="ggg">#REF!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localSheetId="2">#REF!</definedName>
    <definedName name="ggggggg" localSheetId="1">#REF!</definedName>
    <definedName name="ggggggg" localSheetId="0">#REF!</definedName>
    <definedName name="ggggggg" localSheetId="4">#REF!</definedName>
    <definedName name="ggggggg" localSheetId="3">#REF!</definedName>
    <definedName name="ggggggg" localSheetId="5">#REF!</definedName>
    <definedName name="ggggggg">#REF!</definedName>
    <definedName name="gh" localSheetId="2">#REF!</definedName>
    <definedName name="gh" localSheetId="1">#REF!</definedName>
    <definedName name="GH" localSheetId="0">#REF!</definedName>
    <definedName name="GH" localSheetId="4">#REF!</definedName>
    <definedName name="GH" localSheetId="3">#REF!</definedName>
    <definedName name="GH" localSheetId="5">#REF!</definedName>
    <definedName name="GH">#REF!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 localSheetId="5" hidden="1">#REF!</definedName>
    <definedName name="ghj" hidden="1">#REF!</definedName>
    <definedName name="GI_Piping" localSheetId="4">#REF!</definedName>
    <definedName name="GI_Piping" localSheetId="3">#REF!</definedName>
    <definedName name="GI_Piping" localSheetId="5">#REF!</definedName>
    <definedName name="GI_Piping">#REF!</definedName>
    <definedName name="GIA" localSheetId="4">#REF!</definedName>
    <definedName name="GIA" localSheetId="3">#REF!</definedName>
    <definedName name="GIA" localSheetId="5">#REF!</definedName>
    <definedName name="GIA">#REF!</definedName>
    <definedName name="GIP" localSheetId="2">#REF!</definedName>
    <definedName name="GIP" localSheetId="1">#REF!</definedName>
    <definedName name="GIP" localSheetId="0">#REF!</definedName>
    <definedName name="GIP" localSheetId="4">#REF!</definedName>
    <definedName name="GIP" localSheetId="3">#REF!</definedName>
    <definedName name="GIP" localSheetId="5">#REF!</definedName>
    <definedName name="GIP">#REF!</definedName>
    <definedName name="GivenFamilyName" localSheetId="4">#REF!</definedName>
    <definedName name="GivenFamilyName" localSheetId="3">#REF!</definedName>
    <definedName name="GivenFamilyName" localSheetId="5">#REF!</definedName>
    <definedName name="GivenFamilyName">#REF!</definedName>
    <definedName name="GL_Account_Description" localSheetId="2">#REF!</definedName>
    <definedName name="GL_Account_Description" localSheetId="1">#REF!</definedName>
    <definedName name="GL_Account_Description" localSheetId="0">#REF!</definedName>
    <definedName name="GL_Account_Description" localSheetId="4">#REF!</definedName>
    <definedName name="GL_Account_Description" localSheetId="3">#REF!</definedName>
    <definedName name="GL_Account_Description" localSheetId="5">#REF!</definedName>
    <definedName name="GL_Account_Description">#REF!</definedName>
    <definedName name="GL_Cat_Code" localSheetId="2">#REF!</definedName>
    <definedName name="GL_Cat_Code" localSheetId="1">#REF!</definedName>
    <definedName name="GL_Cat_Code" localSheetId="0">#REF!</definedName>
    <definedName name="GL_Cat_Code" localSheetId="4">#REF!</definedName>
    <definedName name="GL_Cat_Code" localSheetId="3">#REF!</definedName>
    <definedName name="GL_Cat_Code" localSheetId="5">#REF!</definedName>
    <definedName name="GL_Cat_Code">#REF!</definedName>
    <definedName name="GL_Cat_Desc" localSheetId="2">#REF!</definedName>
    <definedName name="GL_Cat_Desc" localSheetId="1">#REF!</definedName>
    <definedName name="GL_Cat_Desc" localSheetId="0">#REF!</definedName>
    <definedName name="GL_Cat_Desc" localSheetId="4">#REF!</definedName>
    <definedName name="GL_Cat_Desc" localSheetId="3">#REF!</definedName>
    <definedName name="GL_Cat_Desc" localSheetId="5">#REF!</definedName>
    <definedName name="GL_Cat_Desc">#REF!</definedName>
    <definedName name="GL_Cat_Description" localSheetId="2">#REF!</definedName>
    <definedName name="GL_Cat_Description" localSheetId="1">#REF!</definedName>
    <definedName name="GL_Cat_Description" localSheetId="0">#REF!</definedName>
    <definedName name="GL_Cat_Description" localSheetId="4">#REF!</definedName>
    <definedName name="GL_Cat_Description" localSheetId="3">#REF!</definedName>
    <definedName name="GL_Cat_Description" localSheetId="5">#REF!</definedName>
    <definedName name="GL_Cat_Description">#REF!</definedName>
    <definedName name="GL_Cat_Name" localSheetId="2">#REF!</definedName>
    <definedName name="GL_Cat_Name" localSheetId="1">#REF!</definedName>
    <definedName name="GL_Cat_Name" localSheetId="0">#REF!</definedName>
    <definedName name="GL_Cat_Name" localSheetId="4">#REF!</definedName>
    <definedName name="GL_Cat_Name" localSheetId="3">#REF!</definedName>
    <definedName name="GL_Cat_Name" localSheetId="5">#REF!</definedName>
    <definedName name="GL_Cat_Name">#REF!</definedName>
    <definedName name="globe" localSheetId="2">#REF!</definedName>
    <definedName name="globe" localSheetId="1">#REF!</definedName>
    <definedName name="globe" localSheetId="0">#REF!</definedName>
    <definedName name="globe" localSheetId="4">#REF!</definedName>
    <definedName name="globe" localSheetId="3">#REF!</definedName>
    <definedName name="globe" localSheetId="5">#REF!</definedName>
    <definedName name="globe">#REF!</definedName>
    <definedName name="GM" localSheetId="4">#REF!</definedName>
    <definedName name="GM" localSheetId="3">#REF!</definedName>
    <definedName name="GM" localSheetId="5">#REF!</definedName>
    <definedName name="GM">#REF!</definedName>
    <definedName name="gm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ade" localSheetId="5">#REF!</definedName>
    <definedName name="Grade">#REF!</definedName>
    <definedName name="graph" localSheetId="0" hidden="1">#REF!</definedName>
    <definedName name="graph" localSheetId="4" hidden="1">#REF!</definedName>
    <definedName name="graph" localSheetId="3" hidden="1">#REF!</definedName>
    <definedName name="graph" localSheetId="5" hidden="1">#REF!</definedName>
    <definedName name="graph" hidden="1">#REF!</definedName>
    <definedName name="greee" localSheetId="2">#REF!</definedName>
    <definedName name="greee" localSheetId="1">#REF!</definedName>
    <definedName name="greee" localSheetId="0">#REF!</definedName>
    <definedName name="greee" localSheetId="4">#REF!</definedName>
    <definedName name="greee" localSheetId="3">#REF!</definedName>
    <definedName name="greee" localSheetId="5">#REF!</definedName>
    <definedName name="greee">#REF!</definedName>
    <definedName name="Green" localSheetId="4">#REF!</definedName>
    <definedName name="Green" localSheetId="3">#REF!</definedName>
    <definedName name="Green" localSheetId="5">#REF!</definedName>
    <definedName name="Green">#REF!</definedName>
    <definedName name="gro" localSheetId="2">#REF!</definedName>
    <definedName name="gro" localSheetId="1">#REF!</definedName>
    <definedName name="gro" localSheetId="0">#REF!</definedName>
    <definedName name="gro" localSheetId="4">#REF!</definedName>
    <definedName name="gro" localSheetId="3">#REF!</definedName>
    <definedName name="gro" localSheetId="5">#REF!</definedName>
    <definedName name="gro">#REF!</definedName>
    <definedName name="Ground" localSheetId="2">#REF!</definedName>
    <definedName name="Ground" localSheetId="1">#REF!</definedName>
    <definedName name="Ground" localSheetId="0">#REF!</definedName>
    <definedName name="Ground" localSheetId="4">#REF!</definedName>
    <definedName name="Ground" localSheetId="3">#REF!</definedName>
    <definedName name="Ground" localSheetId="5">#REF!</definedName>
    <definedName name="Ground">#REF!</definedName>
    <definedName name="GROUND_WIRE" localSheetId="2">#REF!</definedName>
    <definedName name="GROUND_WIRE" localSheetId="1">#REF!</definedName>
    <definedName name="GROUND_WIRE" localSheetId="0">#REF!</definedName>
    <definedName name="GROUND_WIRE" localSheetId="4">#REF!</definedName>
    <definedName name="GROUND_WIRE" localSheetId="3">#REF!</definedName>
    <definedName name="GROUND_WIRE" localSheetId="5">#REF!</definedName>
    <definedName name="GROUND_WIRE">#REF!</definedName>
    <definedName name="GROUNDING" localSheetId="2">#REF!</definedName>
    <definedName name="GROUNDING" localSheetId="1">#REF!</definedName>
    <definedName name="GROUNDING" localSheetId="0">#REF!</definedName>
    <definedName name="GROUNDING" localSheetId="4">#REF!</definedName>
    <definedName name="GROUNDING" localSheetId="3">#REF!</definedName>
    <definedName name="GROUNDING" localSheetId="5">#REF!</definedName>
    <definedName name="GROUNDING">#REF!</definedName>
    <definedName name="GRP_water_piping" localSheetId="4">#REF!</definedName>
    <definedName name="GRP_water_piping" localSheetId="3">#REF!</definedName>
    <definedName name="GRP_water_piping" localSheetId="5">#REF!</definedName>
    <definedName name="GRP_water_piping">#REF!</definedName>
    <definedName name="GS" localSheetId="4">#REF!</definedName>
    <definedName name="GS" localSheetId="3">#REF!</definedName>
    <definedName name="GS" localSheetId="5">#REF!</definedName>
    <definedName name="GS">#REF!</definedName>
    <definedName name="GT_ELECT" localSheetId="2">#REF!</definedName>
    <definedName name="GT_ELECT" localSheetId="1">#REF!</definedName>
    <definedName name="GT_ELECT" localSheetId="0">#REF!</definedName>
    <definedName name="GT_ELECT" localSheetId="4">#REF!</definedName>
    <definedName name="GT_ELECT" localSheetId="3">#REF!</definedName>
    <definedName name="GT_ELECT" localSheetId="5">#REF!</definedName>
    <definedName name="GT_ELECT">#REF!</definedName>
    <definedName name="GTTA" localSheetId="4">#REF!</definedName>
    <definedName name="GTTA" localSheetId="3">#REF!</definedName>
    <definedName name="GTTA" localSheetId="5">#REF!</definedName>
    <definedName name="GTTA">#REF!</definedName>
    <definedName name="GTTB" localSheetId="4">#REF!</definedName>
    <definedName name="GTTB" localSheetId="3">#REF!</definedName>
    <definedName name="GTTB" localSheetId="5">#REF!</definedName>
    <definedName name="GTTB">#REF!</definedName>
    <definedName name="H" localSheetId="2">#REF!</definedName>
    <definedName name="H" localSheetId="1">#REF!</definedName>
    <definedName name="H" localSheetId="0">#REF!</definedName>
    <definedName name="H" localSheetId="4">#REF!</definedName>
    <definedName name="H" localSheetId="3">#REF!</definedName>
    <definedName name="H" localSheetId="5">#REF!</definedName>
    <definedName name="H">#REF!</definedName>
    <definedName name="H_RAIL_FE" localSheetId="4">#REF!</definedName>
    <definedName name="H_RAIL_FE" localSheetId="3">#REF!</definedName>
    <definedName name="H_RAIL_FE" localSheetId="5">#REF!</definedName>
    <definedName name="H_RAIL_FE">#REF!</definedName>
    <definedName name="Halcrow" localSheetId="4">#REF!</definedName>
    <definedName name="Halcrow" localSheetId="3">#REF!</definedName>
    <definedName name="Halcrow" localSheetId="5">#REF!</definedName>
    <definedName name="Halcrow">#REF!</definedName>
    <definedName name="HAND_VLV_MANIF" localSheetId="2">#REF!</definedName>
    <definedName name="HAND_VLV_MANIF" localSheetId="1">#REF!</definedName>
    <definedName name="HAND_VLV_MANIF" localSheetId="0">#REF!</definedName>
    <definedName name="HAND_VLV_MANIF" localSheetId="4">#REF!</definedName>
    <definedName name="HAND_VLV_MANIF" localSheetId="3">#REF!</definedName>
    <definedName name="HAND_VLV_MANIF" localSheetId="5">#REF!</definedName>
    <definedName name="HAND_VLV_MANIF">#REF!</definedName>
    <definedName name="hb" localSheetId="2" hidden="1">{#N/A,#N/A,TRUE,"Cover";#N/A,#N/A,TRUE,"Conts";#N/A,#N/A,TRUE,"VOS";#N/A,#N/A,TRUE,"Warrington";#N/A,#N/A,TRUE,"Widnes"}</definedName>
    <definedName name="hb" localSheetId="1" hidden="1">{#N/A,#N/A,TRUE,"Cover";#N/A,#N/A,TRUE,"Conts";#N/A,#N/A,TRUE,"VOS";#N/A,#N/A,TRUE,"Warrington";#N/A,#N/A,TRUE,"Widnes"}</definedName>
    <definedName name="hb" localSheetId="0" hidden="1">{#N/A,#N/A,TRUE,"Cover";#N/A,#N/A,TRUE,"Conts";#N/A,#N/A,TRUE,"VOS";#N/A,#N/A,TRUE,"Warrington";#N/A,#N/A,TRUE,"Widnes"}</definedName>
    <definedName name="hb" localSheetId="4" hidden="1">{#N/A,#N/A,TRUE,"Cover";#N/A,#N/A,TRUE,"Conts";#N/A,#N/A,TRUE,"VOS";#N/A,#N/A,TRUE,"Warrington";#N/A,#N/A,TRUE,"Widnes"}</definedName>
    <definedName name="hb" localSheetId="3" hidden="1">{#N/A,#N/A,TRUE,"Cover";#N/A,#N/A,TRUE,"Conts";#N/A,#N/A,TRUE,"VOS";#N/A,#N/A,TRUE,"Warrington";#N/A,#N/A,TRUE,"Widnes"}</definedName>
    <definedName name="hb" localSheetId="5" hidden="1">{#N/A,#N/A,TRUE,"Cover";#N/A,#N/A,TRUE,"Conts";#N/A,#N/A,TRUE,"VOS";#N/A,#N/A,TRUE,"Warrington";#N/A,#N/A,TRUE,"Widnes"}</definedName>
    <definedName name="hb" hidden="1">{#N/A,#N/A,TRUE,"Cover";#N/A,#N/A,TRUE,"Conts";#N/A,#N/A,TRUE,"VOS";#N/A,#N/A,TRUE,"Warrington";#N/A,#N/A,TRUE,"Widnes"}</definedName>
    <definedName name="HCD_ALSLIGHTCOND_QTY" localSheetId="2">#REF!</definedName>
    <definedName name="HCD_ALSLIGHTCOND_QTY" localSheetId="1">#REF!</definedName>
    <definedName name="HCD_ALSLIGHTCOND_QTY" localSheetId="0">#REF!</definedName>
    <definedName name="HCD_ALSLIGHTCOND_QTY" localSheetId="4">#REF!</definedName>
    <definedName name="HCD_ALSLIGHTCOND_QTY" localSheetId="3">#REF!</definedName>
    <definedName name="HCD_ALSLIGHTCOND_QTY" localSheetId="5">#REF!</definedName>
    <definedName name="HCD_ALSLIGHTCOND_QTY">#REF!</definedName>
    <definedName name="HCD_BUS_HRS" localSheetId="2">#REF!</definedName>
    <definedName name="HCD_BUS_HRS" localSheetId="1">#REF!</definedName>
    <definedName name="HCD_BUS_HRS" localSheetId="0">#REF!</definedName>
    <definedName name="HCD_BUS_HRS" localSheetId="4">#REF!</definedName>
    <definedName name="HCD_BUS_HRS" localSheetId="3">#REF!</definedName>
    <definedName name="HCD_BUS_HRS" localSheetId="5">#REF!</definedName>
    <definedName name="HCD_BUS_HRS">#REF!</definedName>
    <definedName name="HCD_BUS_LAB" localSheetId="2">#REF!</definedName>
    <definedName name="HCD_BUS_LAB" localSheetId="1">#REF!</definedName>
    <definedName name="HCD_BUS_LAB" localSheetId="0">#REF!</definedName>
    <definedName name="HCD_BUS_LAB" localSheetId="4">#REF!</definedName>
    <definedName name="HCD_BUS_LAB" localSheetId="3">#REF!</definedName>
    <definedName name="HCD_BUS_LAB" localSheetId="5">#REF!</definedName>
    <definedName name="HCD_BUS_LAB">#REF!</definedName>
    <definedName name="HCD_BUS_MAT" localSheetId="2">#REF!</definedName>
    <definedName name="HCD_BUS_MAT" localSheetId="1">#REF!</definedName>
    <definedName name="HCD_BUS_MAT" localSheetId="0">#REF!</definedName>
    <definedName name="HCD_BUS_MAT" localSheetId="4">#REF!</definedName>
    <definedName name="HCD_BUS_MAT" localSheetId="3">#REF!</definedName>
    <definedName name="HCD_BUS_MAT" localSheetId="5">#REF!</definedName>
    <definedName name="HCD_BUS_MAT">#REF!</definedName>
    <definedName name="HCD_BUS_QTY" localSheetId="2">#REF!</definedName>
    <definedName name="HCD_BUS_QTY" localSheetId="1">#REF!</definedName>
    <definedName name="HCD_BUS_QTY" localSheetId="0">#REF!</definedName>
    <definedName name="HCD_BUS_QTY" localSheetId="4">#REF!</definedName>
    <definedName name="HCD_BUS_QTY" localSheetId="3">#REF!</definedName>
    <definedName name="HCD_BUS_QTY" localSheetId="5">#REF!</definedName>
    <definedName name="HCD_BUS_QTY">#REF!</definedName>
    <definedName name="HCD_BUS_SC" localSheetId="2">#REF!</definedName>
    <definedName name="HCD_BUS_SC" localSheetId="1">#REF!</definedName>
    <definedName name="HCD_BUS_SC" localSheetId="0">#REF!</definedName>
    <definedName name="HCD_BUS_SC" localSheetId="4">#REF!</definedName>
    <definedName name="HCD_BUS_SC" localSheetId="3">#REF!</definedName>
    <definedName name="HCD_BUS_SC" localSheetId="5">#REF!</definedName>
    <definedName name="HCD_BUS_SC">#REF!</definedName>
    <definedName name="HCD_BUS_SCHRS" localSheetId="2">#REF!</definedName>
    <definedName name="HCD_BUS_SCHRS" localSheetId="1">#REF!</definedName>
    <definedName name="HCD_BUS_SCHRS" localSheetId="0">#REF!</definedName>
    <definedName name="HCD_BUS_SCHRS" localSheetId="4">#REF!</definedName>
    <definedName name="HCD_BUS_SCHRS" localSheetId="3">#REF!</definedName>
    <definedName name="HCD_BUS_SCHRS" localSheetId="5">#REF!</definedName>
    <definedName name="HCD_BUS_SCHRS">#REF!</definedName>
    <definedName name="HCD_CBL_HRS" localSheetId="2">#REF!</definedName>
    <definedName name="HCD_CBL_HRS" localSheetId="1">#REF!</definedName>
    <definedName name="HCD_CBL_HRS" localSheetId="0">#REF!</definedName>
    <definedName name="HCD_CBL_HRS" localSheetId="4">#REF!</definedName>
    <definedName name="HCD_CBL_HRS" localSheetId="3">#REF!</definedName>
    <definedName name="HCD_CBL_HRS" localSheetId="5">#REF!</definedName>
    <definedName name="HCD_CBL_HRS">#REF!</definedName>
    <definedName name="HCD_CBL_LAB" localSheetId="2">#REF!</definedName>
    <definedName name="HCD_CBL_LAB" localSheetId="1">#REF!</definedName>
    <definedName name="HCD_CBL_LAB" localSheetId="0">#REF!</definedName>
    <definedName name="HCD_CBL_LAB" localSheetId="4">#REF!</definedName>
    <definedName name="HCD_CBL_LAB" localSheetId="3">#REF!</definedName>
    <definedName name="HCD_CBL_LAB" localSheetId="5">#REF!</definedName>
    <definedName name="HCD_CBL_LAB">#REF!</definedName>
    <definedName name="HCD_CBL_MAT" localSheetId="2">#REF!</definedName>
    <definedName name="HCD_CBL_MAT" localSheetId="1">#REF!</definedName>
    <definedName name="HCD_CBL_MAT" localSheetId="0">#REF!</definedName>
    <definedName name="HCD_CBL_MAT" localSheetId="4">#REF!</definedName>
    <definedName name="HCD_CBL_MAT" localSheetId="3">#REF!</definedName>
    <definedName name="HCD_CBL_MAT" localSheetId="5">#REF!</definedName>
    <definedName name="HCD_CBL_MAT">#REF!</definedName>
    <definedName name="HCD_CBL_QTY" localSheetId="2">#REF!</definedName>
    <definedName name="HCD_CBL_QTY" localSheetId="1">#REF!</definedName>
    <definedName name="HCD_CBL_QTY" localSheetId="0">#REF!</definedName>
    <definedName name="HCD_CBL_QTY" localSheetId="4">#REF!</definedName>
    <definedName name="HCD_CBL_QTY" localSheetId="3">#REF!</definedName>
    <definedName name="HCD_CBL_QTY" localSheetId="5">#REF!</definedName>
    <definedName name="HCD_CBL_QTY">#REF!</definedName>
    <definedName name="HCD_CBL_SC" localSheetId="2">#REF!</definedName>
    <definedName name="HCD_CBL_SC" localSheetId="1">#REF!</definedName>
    <definedName name="HCD_CBL_SC" localSheetId="0">#REF!</definedName>
    <definedName name="HCD_CBL_SC" localSheetId="4">#REF!</definedName>
    <definedName name="HCD_CBL_SC" localSheetId="3">#REF!</definedName>
    <definedName name="HCD_CBL_SC" localSheetId="5">#REF!</definedName>
    <definedName name="HCD_CBL_SC">#REF!</definedName>
    <definedName name="HCD_CBL_SCHRS" localSheetId="2">#REF!</definedName>
    <definedName name="HCD_CBL_SCHRS" localSheetId="1">#REF!</definedName>
    <definedName name="HCD_CBL_SCHRS" localSheetId="0">#REF!</definedName>
    <definedName name="HCD_CBL_SCHRS" localSheetId="4">#REF!</definedName>
    <definedName name="HCD_CBL_SCHRS" localSheetId="3">#REF!</definedName>
    <definedName name="HCD_CBL_SCHRS" localSheetId="5">#REF!</definedName>
    <definedName name="HCD_CBL_SCHRS">#REF!</definedName>
    <definedName name="HCD_CKT_QTY" localSheetId="2">#REF!</definedName>
    <definedName name="HCD_CKT_QTY" localSheetId="1">#REF!</definedName>
    <definedName name="HCD_CKT_QTY" localSheetId="0">#REF!</definedName>
    <definedName name="HCD_CKT_QTY" localSheetId="4">#REF!</definedName>
    <definedName name="HCD_CKT_QTY" localSheetId="3">#REF!</definedName>
    <definedName name="HCD_CKT_QTY" localSheetId="5">#REF!</definedName>
    <definedName name="HCD_CKT_QTY">#REF!</definedName>
    <definedName name="HCD_CONNECT_HRS" localSheetId="2">#REF!</definedName>
    <definedName name="HCD_CONNECT_HRS" localSheetId="1">#REF!</definedName>
    <definedName name="HCD_CONNECT_HRS" localSheetId="0">#REF!</definedName>
    <definedName name="HCD_CONNECT_HRS" localSheetId="4">#REF!</definedName>
    <definedName name="HCD_CONNECT_HRS" localSheetId="3">#REF!</definedName>
    <definedName name="HCD_CONNECT_HRS" localSheetId="5">#REF!</definedName>
    <definedName name="HCD_CONNECT_HRS">#REF!</definedName>
    <definedName name="HCD_CONNECT_LAB" localSheetId="2">#REF!</definedName>
    <definedName name="HCD_CONNECT_LAB" localSheetId="1">#REF!</definedName>
    <definedName name="HCD_CONNECT_LAB" localSheetId="0">#REF!</definedName>
    <definedName name="HCD_CONNECT_LAB" localSheetId="4">#REF!</definedName>
    <definedName name="HCD_CONNECT_LAB" localSheetId="3">#REF!</definedName>
    <definedName name="HCD_CONNECT_LAB" localSheetId="5">#REF!</definedName>
    <definedName name="HCD_CONNECT_LAB">#REF!</definedName>
    <definedName name="HCD_CONNECT_MAT" localSheetId="2">#REF!</definedName>
    <definedName name="HCD_CONNECT_MAT" localSheetId="1">#REF!</definedName>
    <definedName name="HCD_CONNECT_MAT" localSheetId="0">#REF!</definedName>
    <definedName name="HCD_CONNECT_MAT" localSheetId="4">#REF!</definedName>
    <definedName name="HCD_CONNECT_MAT" localSheetId="3">#REF!</definedName>
    <definedName name="HCD_CONNECT_MAT" localSheetId="5">#REF!</definedName>
    <definedName name="HCD_CONNECT_MAT">#REF!</definedName>
    <definedName name="HCD_CONNECT_QTY" localSheetId="2">#REF!</definedName>
    <definedName name="HCD_CONNECT_QTY" localSheetId="1">#REF!</definedName>
    <definedName name="HCD_CONNECT_QTY" localSheetId="0">#REF!</definedName>
    <definedName name="HCD_CONNECT_QTY" localSheetId="4">#REF!</definedName>
    <definedName name="HCD_CONNECT_QTY" localSheetId="3">#REF!</definedName>
    <definedName name="HCD_CONNECT_QTY" localSheetId="5">#REF!</definedName>
    <definedName name="HCD_CONNECT_QTY">#REF!</definedName>
    <definedName name="HCD_CONNECT_SC" localSheetId="2">#REF!</definedName>
    <definedName name="HCD_CONNECT_SC" localSheetId="1">#REF!</definedName>
    <definedName name="HCD_CONNECT_SC" localSheetId="0">#REF!</definedName>
    <definedName name="HCD_CONNECT_SC" localSheetId="4">#REF!</definedName>
    <definedName name="HCD_CONNECT_SC" localSheetId="3">#REF!</definedName>
    <definedName name="HCD_CONNECT_SC" localSheetId="5">#REF!</definedName>
    <definedName name="HCD_CONNECT_SC">#REF!</definedName>
    <definedName name="HCD_CONNECT_SCHRS" localSheetId="2">#REF!</definedName>
    <definedName name="HCD_CONNECT_SCHRS" localSheetId="1">#REF!</definedName>
    <definedName name="HCD_CONNECT_SCHRS" localSheetId="0">#REF!</definedName>
    <definedName name="HCD_CONNECT_SCHRS" localSheetId="4">#REF!</definedName>
    <definedName name="HCD_CONNECT_SCHRS" localSheetId="3">#REF!</definedName>
    <definedName name="HCD_CONNECT_SCHRS" localSheetId="5">#REF!</definedName>
    <definedName name="HCD_CONNECT_SCHRS">#REF!</definedName>
    <definedName name="HCD_CSCBL_QTY" localSheetId="2">#REF!</definedName>
    <definedName name="HCD_CSCBL_QTY" localSheetId="1">#REF!</definedName>
    <definedName name="HCD_CSCBL_QTY" localSheetId="0">#REF!</definedName>
    <definedName name="HCD_CSCBL_QTY" localSheetId="4">#REF!</definedName>
    <definedName name="HCD_CSCBL_QTY" localSheetId="3">#REF!</definedName>
    <definedName name="HCD_CSCBL_QTY" localSheetId="5">#REF!</definedName>
    <definedName name="HCD_CSCBL_QTY">#REF!</definedName>
    <definedName name="HCD_CSCOND_QTY" localSheetId="2">#REF!</definedName>
    <definedName name="HCD_CSCOND_QTY" localSheetId="1">#REF!</definedName>
    <definedName name="HCD_CSCOND_QTY" localSheetId="0">#REF!</definedName>
    <definedName name="HCD_CSCOND_QTY" localSheetId="4">#REF!</definedName>
    <definedName name="HCD_CSCOND_QTY" localSheetId="3">#REF!</definedName>
    <definedName name="HCD_CSCOND_QTY" localSheetId="5">#REF!</definedName>
    <definedName name="HCD_CSCOND_QTY">#REF!</definedName>
    <definedName name="HCD_DBLGTCBL_QTY" localSheetId="2">#REF!</definedName>
    <definedName name="HCD_DBLGTCBL_QTY" localSheetId="1">#REF!</definedName>
    <definedName name="HCD_DBLGTCBL_QTY" localSheetId="0">#REF!</definedName>
    <definedName name="HCD_DBLGTCBL_QTY" localSheetId="4">#REF!</definedName>
    <definedName name="HCD_DBLGTCBL_QTY" localSheetId="3">#REF!</definedName>
    <definedName name="HCD_DBLGTCBL_QTY" localSheetId="5">#REF!</definedName>
    <definedName name="HCD_DBLGTCBL_QTY">#REF!</definedName>
    <definedName name="HCD_DCUPS_HRS" localSheetId="2">#REF!</definedName>
    <definedName name="HCD_DCUPS_HRS" localSheetId="1">#REF!</definedName>
    <definedName name="HCD_DCUPS_HRS" localSheetId="0">#REF!</definedName>
    <definedName name="HCD_DCUPS_HRS" localSheetId="4">#REF!</definedName>
    <definedName name="HCD_DCUPS_HRS" localSheetId="3">#REF!</definedName>
    <definedName name="HCD_DCUPS_HRS" localSheetId="5">#REF!</definedName>
    <definedName name="HCD_DCUPS_HRS">#REF!</definedName>
    <definedName name="HCD_DCUPS_LAB" localSheetId="2">#REF!</definedName>
    <definedName name="HCD_DCUPS_LAB" localSheetId="1">#REF!</definedName>
    <definedName name="HCD_DCUPS_LAB" localSheetId="0">#REF!</definedName>
    <definedName name="HCD_DCUPS_LAB" localSheetId="4">#REF!</definedName>
    <definedName name="HCD_DCUPS_LAB" localSheetId="3">#REF!</definedName>
    <definedName name="HCD_DCUPS_LAB" localSheetId="5">#REF!</definedName>
    <definedName name="HCD_DCUPS_LAB">#REF!</definedName>
    <definedName name="HCD_DCUPS_MAT" localSheetId="2">#REF!</definedName>
    <definedName name="HCD_DCUPS_MAT" localSheetId="1">#REF!</definedName>
    <definedName name="HCD_DCUPS_MAT" localSheetId="0">#REF!</definedName>
    <definedName name="HCD_DCUPS_MAT" localSheetId="4">#REF!</definedName>
    <definedName name="HCD_DCUPS_MAT" localSheetId="3">#REF!</definedName>
    <definedName name="HCD_DCUPS_MAT" localSheetId="5">#REF!</definedName>
    <definedName name="HCD_DCUPS_MAT">#REF!</definedName>
    <definedName name="HCD_DCUPS_QTY" localSheetId="2">#REF!</definedName>
    <definedName name="HCD_DCUPS_QTY" localSheetId="1">#REF!</definedName>
    <definedName name="HCD_DCUPS_QTY" localSheetId="0">#REF!</definedName>
    <definedName name="HCD_DCUPS_QTY" localSheetId="4">#REF!</definedName>
    <definedName name="HCD_DCUPS_QTY" localSheetId="3">#REF!</definedName>
    <definedName name="HCD_DCUPS_QTY" localSheetId="5">#REF!</definedName>
    <definedName name="HCD_DCUPS_QTY">#REF!</definedName>
    <definedName name="HCD_DCUPS_SC" localSheetId="2">#REF!</definedName>
    <definedName name="HCD_DCUPS_SC" localSheetId="1">#REF!</definedName>
    <definedName name="HCD_DCUPS_SC" localSheetId="0">#REF!</definedName>
    <definedName name="HCD_DCUPS_SC" localSheetId="4">#REF!</definedName>
    <definedName name="HCD_DCUPS_SC" localSheetId="3">#REF!</definedName>
    <definedName name="HCD_DCUPS_SC" localSheetId="5">#REF!</definedName>
    <definedName name="HCD_DCUPS_SC">#REF!</definedName>
    <definedName name="HCD_DCUPS_SCHRS" localSheetId="2">#REF!</definedName>
    <definedName name="HCD_DCUPS_SCHRS" localSheetId="1">#REF!</definedName>
    <definedName name="HCD_DCUPS_SCHRS" localSheetId="0">#REF!</definedName>
    <definedName name="HCD_DCUPS_SCHRS" localSheetId="4">#REF!</definedName>
    <definedName name="HCD_DCUPS_SCHRS" localSheetId="3">#REF!</definedName>
    <definedName name="HCD_DCUPS_SCHRS" localSheetId="5">#REF!</definedName>
    <definedName name="HCD_DCUPS_SCHRS">#REF!</definedName>
    <definedName name="HCD_DEMO_HRS" localSheetId="2">#REF!</definedName>
    <definedName name="HCD_DEMO_HRS" localSheetId="1">#REF!</definedName>
    <definedName name="HCD_DEMO_HRS" localSheetId="0">#REF!</definedName>
    <definedName name="HCD_DEMO_HRS" localSheetId="4">#REF!</definedName>
    <definedName name="HCD_DEMO_HRS" localSheetId="3">#REF!</definedName>
    <definedName name="HCD_DEMO_HRS" localSheetId="5">#REF!</definedName>
    <definedName name="HCD_DEMO_HRS">#REF!</definedName>
    <definedName name="HCD_DEMO_LAB" localSheetId="2">#REF!</definedName>
    <definedName name="HCD_DEMO_LAB" localSheetId="1">#REF!</definedName>
    <definedName name="HCD_DEMO_LAB" localSheetId="0">#REF!</definedName>
    <definedName name="HCD_DEMO_LAB" localSheetId="4">#REF!</definedName>
    <definedName name="HCD_DEMO_LAB" localSheetId="3">#REF!</definedName>
    <definedName name="HCD_DEMO_LAB" localSheetId="5">#REF!</definedName>
    <definedName name="HCD_DEMO_LAB">#REF!</definedName>
    <definedName name="HCD_DEMO_MAT" localSheetId="2">#REF!</definedName>
    <definedName name="HCD_DEMO_MAT" localSheetId="1">#REF!</definedName>
    <definedName name="HCD_DEMO_MAT" localSheetId="0">#REF!</definedName>
    <definedName name="HCD_DEMO_MAT" localSheetId="4">#REF!</definedName>
    <definedName name="HCD_DEMO_MAT" localSheetId="3">#REF!</definedName>
    <definedName name="HCD_DEMO_MAT" localSheetId="5">#REF!</definedName>
    <definedName name="HCD_DEMO_MAT">#REF!</definedName>
    <definedName name="HCD_DEMO_QTY" localSheetId="2">#REF!</definedName>
    <definedName name="HCD_DEMO_QTY" localSheetId="1">#REF!</definedName>
    <definedName name="HCD_DEMO_QTY" localSheetId="0">#REF!</definedName>
    <definedName name="HCD_DEMO_QTY" localSheetId="4">#REF!</definedName>
    <definedName name="HCD_DEMO_QTY" localSheetId="3">#REF!</definedName>
    <definedName name="HCD_DEMO_QTY" localSheetId="5">#REF!</definedName>
    <definedName name="HCD_DEMO_QTY">#REF!</definedName>
    <definedName name="HCD_DEMO_SC" localSheetId="2">#REF!</definedName>
    <definedName name="HCD_DEMO_SC" localSheetId="1">#REF!</definedName>
    <definedName name="HCD_DEMO_SC" localSheetId="0">#REF!</definedName>
    <definedName name="HCD_DEMO_SC" localSheetId="4">#REF!</definedName>
    <definedName name="HCD_DEMO_SC" localSheetId="3">#REF!</definedName>
    <definedName name="HCD_DEMO_SC" localSheetId="5">#REF!</definedName>
    <definedName name="HCD_DEMO_SC">#REF!</definedName>
    <definedName name="HCD_DEMO_SCHRS" localSheetId="2">#REF!</definedName>
    <definedName name="HCD_DEMO_SCHRS" localSheetId="1">#REF!</definedName>
    <definedName name="HCD_DEMO_SCHRS" localSheetId="0">#REF!</definedName>
    <definedName name="HCD_DEMO_SCHRS" localSheetId="4">#REF!</definedName>
    <definedName name="HCD_DEMO_SCHRS" localSheetId="3">#REF!</definedName>
    <definedName name="HCD_DEMO_SCHRS" localSheetId="5">#REF!</definedName>
    <definedName name="HCD_DEMO_SCHRS">#REF!</definedName>
    <definedName name="HCD_FIXT_QTY" localSheetId="2">#REF!</definedName>
    <definedName name="HCD_FIXT_QTY" localSheetId="1">#REF!</definedName>
    <definedName name="HCD_FIXT_QTY" localSheetId="0">#REF!</definedName>
    <definedName name="HCD_FIXT_QTY" localSheetId="4">#REF!</definedName>
    <definedName name="HCD_FIXT_QTY" localSheetId="3">#REF!</definedName>
    <definedName name="HCD_FIXT_QTY" localSheetId="5">#REF!</definedName>
    <definedName name="HCD_FIXT_QTY">#REF!</definedName>
    <definedName name="HCD_GNDCBL_QTY" localSheetId="2">#REF!</definedName>
    <definedName name="HCD_GNDCBL_QTY" localSheetId="1">#REF!</definedName>
    <definedName name="HCD_GNDCBL_QTY" localSheetId="0">#REF!</definedName>
    <definedName name="HCD_GNDCBL_QTY" localSheetId="4">#REF!</definedName>
    <definedName name="HCD_GNDCBL_QTY" localSheetId="3">#REF!</definedName>
    <definedName name="HCD_GNDCBL_QTY" localSheetId="5">#REF!</definedName>
    <definedName name="HCD_GNDCBL_QTY">#REF!</definedName>
    <definedName name="HCD_INDRFIXT_QTY" localSheetId="2">#REF!</definedName>
    <definedName name="HCD_INDRFIXT_QTY" localSheetId="1">#REF!</definedName>
    <definedName name="HCD_INDRFIXT_QTY" localSheetId="0">#REF!</definedName>
    <definedName name="HCD_INDRFIXT_QTY" localSheetId="4">#REF!</definedName>
    <definedName name="HCD_INDRFIXT_QTY" localSheetId="3">#REF!</definedName>
    <definedName name="HCD_INDRFIXT_QTY" localSheetId="5">#REF!</definedName>
    <definedName name="HCD_INDRFIXT_QTY">#REF!</definedName>
    <definedName name="HCD_INSTRAUXPNL_HRS" localSheetId="2">#REF!</definedName>
    <definedName name="HCD_INSTRAUXPNL_HRS" localSheetId="1">#REF!</definedName>
    <definedName name="HCD_INSTRAUXPNL_HRS" localSheetId="0">#REF!</definedName>
    <definedName name="HCD_INSTRAUXPNL_HRS" localSheetId="4">#REF!</definedName>
    <definedName name="HCD_INSTRAUXPNL_HRS" localSheetId="3">#REF!</definedName>
    <definedName name="HCD_INSTRAUXPNL_HRS" localSheetId="5">#REF!</definedName>
    <definedName name="HCD_INSTRAUXPNL_HRS">#REF!</definedName>
    <definedName name="HCD_INSTRAUXPNL_LAB" localSheetId="2">#REF!</definedName>
    <definedName name="HCD_INSTRAUXPNL_LAB" localSheetId="1">#REF!</definedName>
    <definedName name="HCD_INSTRAUXPNL_LAB" localSheetId="0">#REF!</definedName>
    <definedName name="HCD_INSTRAUXPNL_LAB" localSheetId="4">#REF!</definedName>
    <definedName name="HCD_INSTRAUXPNL_LAB" localSheetId="3">#REF!</definedName>
    <definedName name="HCD_INSTRAUXPNL_LAB" localSheetId="5">#REF!</definedName>
    <definedName name="HCD_INSTRAUXPNL_LAB">#REF!</definedName>
    <definedName name="HCD_INSTRAUXPNL_MAT" localSheetId="2">#REF!</definedName>
    <definedName name="HCD_INSTRAUXPNL_MAT" localSheetId="1">#REF!</definedName>
    <definedName name="HCD_INSTRAUXPNL_MAT" localSheetId="0">#REF!</definedName>
    <definedName name="HCD_INSTRAUXPNL_MAT" localSheetId="4">#REF!</definedName>
    <definedName name="HCD_INSTRAUXPNL_MAT" localSheetId="3">#REF!</definedName>
    <definedName name="HCD_INSTRAUXPNL_MAT" localSheetId="5">#REF!</definedName>
    <definedName name="HCD_INSTRAUXPNL_MAT">#REF!</definedName>
    <definedName name="HCD_INSTRAUXPNL_QTY" localSheetId="2">#REF!</definedName>
    <definedName name="HCD_INSTRAUXPNL_QTY" localSheetId="1">#REF!</definedName>
    <definedName name="HCD_INSTRAUXPNL_QTY" localSheetId="0">#REF!</definedName>
    <definedName name="HCD_INSTRAUXPNL_QTY" localSheetId="4">#REF!</definedName>
    <definedName name="HCD_INSTRAUXPNL_QTY" localSheetId="3">#REF!</definedName>
    <definedName name="HCD_INSTRAUXPNL_QTY" localSheetId="5">#REF!</definedName>
    <definedName name="HCD_INSTRAUXPNL_QTY">#REF!</definedName>
    <definedName name="HCD_INSTRAUXPNL_SC" localSheetId="2">#REF!</definedName>
    <definedName name="HCD_INSTRAUXPNL_SC" localSheetId="1">#REF!</definedName>
    <definedName name="HCD_INSTRAUXPNL_SC" localSheetId="0">#REF!</definedName>
    <definedName name="HCD_INSTRAUXPNL_SC" localSheetId="4">#REF!</definedName>
    <definedName name="HCD_INSTRAUXPNL_SC" localSheetId="3">#REF!</definedName>
    <definedName name="HCD_INSTRAUXPNL_SC" localSheetId="5">#REF!</definedName>
    <definedName name="HCD_INSTRAUXPNL_SC">#REF!</definedName>
    <definedName name="HCD_INSTRAUXPNL_SCHRS" localSheetId="2">#REF!</definedName>
    <definedName name="HCD_INSTRAUXPNL_SCHRS" localSheetId="1">#REF!</definedName>
    <definedName name="HCD_INSTRAUXPNL_SCHRS" localSheetId="0">#REF!</definedName>
    <definedName name="HCD_INSTRAUXPNL_SCHRS" localSheetId="4">#REF!</definedName>
    <definedName name="HCD_INSTRAUXPNL_SCHRS" localSheetId="3">#REF!</definedName>
    <definedName name="HCD_INSTRAUXPNL_SCHRS" localSheetId="5">#REF!</definedName>
    <definedName name="HCD_INSTRAUXPNL_SCHRS">#REF!</definedName>
    <definedName name="HCD_INSTRCEMS_HRS" localSheetId="2">#REF!</definedName>
    <definedName name="HCD_INSTRCEMS_HRS" localSheetId="1">#REF!</definedName>
    <definedName name="HCD_INSTRCEMS_HRS" localSheetId="0">#REF!</definedName>
    <definedName name="HCD_INSTRCEMS_HRS" localSheetId="4">#REF!</definedName>
    <definedName name="HCD_INSTRCEMS_HRS" localSheetId="3">#REF!</definedName>
    <definedName name="HCD_INSTRCEMS_HRS" localSheetId="5">#REF!</definedName>
    <definedName name="HCD_INSTRCEMS_HRS">#REF!</definedName>
    <definedName name="HCD_INSTRCEMS_LAB" localSheetId="2">#REF!</definedName>
    <definedName name="HCD_INSTRCEMS_LAB" localSheetId="1">#REF!</definedName>
    <definedName name="HCD_INSTRCEMS_LAB" localSheetId="0">#REF!</definedName>
    <definedName name="HCD_INSTRCEMS_LAB" localSheetId="4">#REF!</definedName>
    <definedName name="HCD_INSTRCEMS_LAB" localSheetId="3">#REF!</definedName>
    <definedName name="HCD_INSTRCEMS_LAB" localSheetId="5">#REF!</definedName>
    <definedName name="HCD_INSTRCEMS_LAB">#REF!</definedName>
    <definedName name="HCD_INSTRCEMS_MAT" localSheetId="2">#REF!</definedName>
    <definedName name="HCD_INSTRCEMS_MAT" localSheetId="1">#REF!</definedName>
    <definedName name="HCD_INSTRCEMS_MAT" localSheetId="0">#REF!</definedName>
    <definedName name="HCD_INSTRCEMS_MAT" localSheetId="4">#REF!</definedName>
    <definedName name="HCD_INSTRCEMS_MAT" localSheetId="3">#REF!</definedName>
    <definedName name="HCD_INSTRCEMS_MAT" localSheetId="5">#REF!</definedName>
    <definedName name="HCD_INSTRCEMS_MAT">#REF!</definedName>
    <definedName name="HCD_INSTRCEMS_QTY" localSheetId="2">#REF!</definedName>
    <definedName name="HCD_INSTRCEMS_QTY" localSheetId="1">#REF!</definedName>
    <definedName name="HCD_INSTRCEMS_QTY" localSheetId="0">#REF!</definedName>
    <definedName name="HCD_INSTRCEMS_QTY" localSheetId="4">#REF!</definedName>
    <definedName name="HCD_INSTRCEMS_QTY" localSheetId="3">#REF!</definedName>
    <definedName name="HCD_INSTRCEMS_QTY" localSheetId="5">#REF!</definedName>
    <definedName name="HCD_INSTRCEMS_QTY">#REF!</definedName>
    <definedName name="HCD_INSTRCEMS_SC" localSheetId="2">#REF!</definedName>
    <definedName name="HCD_INSTRCEMS_SC" localSheetId="1">#REF!</definedName>
    <definedName name="HCD_INSTRCEMS_SC" localSheetId="0">#REF!</definedName>
    <definedName name="HCD_INSTRCEMS_SC" localSheetId="4">#REF!</definedName>
    <definedName name="HCD_INSTRCEMS_SC" localSheetId="3">#REF!</definedName>
    <definedName name="HCD_INSTRCEMS_SC" localSheetId="5">#REF!</definedName>
    <definedName name="HCD_INSTRCEMS_SC">#REF!</definedName>
    <definedName name="HCD_INSTRCEMS_SCHRS" localSheetId="2">#REF!</definedName>
    <definedName name="HCD_INSTRCEMS_SCHRS" localSheetId="1">#REF!</definedName>
    <definedName name="HCD_INSTRCEMS_SCHRS" localSheetId="0">#REF!</definedName>
    <definedName name="HCD_INSTRCEMS_SCHRS" localSheetId="4">#REF!</definedName>
    <definedName name="HCD_INSTRCEMS_SCHRS" localSheetId="3">#REF!</definedName>
    <definedName name="HCD_INSTRCEMS_SCHRS" localSheetId="5">#REF!</definedName>
    <definedName name="HCD_INSTRCEMS_SCHRS">#REF!</definedName>
    <definedName name="HCD_INSTRDCS_HRS" localSheetId="2">#REF!</definedName>
    <definedName name="HCD_INSTRDCS_HRS" localSheetId="1">#REF!</definedName>
    <definedName name="HCD_INSTRDCS_HRS" localSheetId="0">#REF!</definedName>
    <definedName name="HCD_INSTRDCS_HRS" localSheetId="4">#REF!</definedName>
    <definedName name="HCD_INSTRDCS_HRS" localSheetId="3">#REF!</definedName>
    <definedName name="HCD_INSTRDCS_HRS" localSheetId="5">#REF!</definedName>
    <definedName name="HCD_INSTRDCS_HRS">#REF!</definedName>
    <definedName name="HCD_INSTRDCS_LAB" localSheetId="2">#REF!</definedName>
    <definedName name="HCD_INSTRDCS_LAB" localSheetId="1">#REF!</definedName>
    <definedName name="HCD_INSTRDCS_LAB" localSheetId="0">#REF!</definedName>
    <definedName name="HCD_INSTRDCS_LAB" localSheetId="4">#REF!</definedName>
    <definedName name="HCD_INSTRDCS_LAB" localSheetId="3">#REF!</definedName>
    <definedName name="HCD_INSTRDCS_LAB" localSheetId="5">#REF!</definedName>
    <definedName name="HCD_INSTRDCS_LAB">#REF!</definedName>
    <definedName name="HCD_INSTRDCS_MAT" localSheetId="2">#REF!</definedName>
    <definedName name="HCD_INSTRDCS_MAT" localSheetId="1">#REF!</definedName>
    <definedName name="HCD_INSTRDCS_MAT" localSheetId="0">#REF!</definedName>
    <definedName name="HCD_INSTRDCS_MAT" localSheetId="4">#REF!</definedName>
    <definedName name="HCD_INSTRDCS_MAT" localSheetId="3">#REF!</definedName>
    <definedName name="HCD_INSTRDCS_MAT" localSheetId="5">#REF!</definedName>
    <definedName name="HCD_INSTRDCS_MAT">#REF!</definedName>
    <definedName name="HCD_INSTRDCS_QTY" localSheetId="2">#REF!</definedName>
    <definedName name="HCD_INSTRDCS_QTY" localSheetId="1">#REF!</definedName>
    <definedName name="HCD_INSTRDCS_QTY" localSheetId="0">#REF!</definedName>
    <definedName name="HCD_INSTRDCS_QTY" localSheetId="4">#REF!</definedName>
    <definedName name="HCD_INSTRDCS_QTY" localSheetId="3">#REF!</definedName>
    <definedName name="HCD_INSTRDCS_QTY" localSheetId="5">#REF!</definedName>
    <definedName name="HCD_INSTRDCS_QTY">#REF!</definedName>
    <definedName name="HCD_INSTRDCS_SC" localSheetId="2">#REF!</definedName>
    <definedName name="HCD_INSTRDCS_SC" localSheetId="1">#REF!</definedName>
    <definedName name="HCD_INSTRDCS_SC" localSheetId="0">#REF!</definedName>
    <definedName name="HCD_INSTRDCS_SC" localSheetId="4">#REF!</definedName>
    <definedName name="HCD_INSTRDCS_SC" localSheetId="3">#REF!</definedName>
    <definedName name="HCD_INSTRDCS_SC" localSheetId="5">#REF!</definedName>
    <definedName name="HCD_INSTRDCS_SC">#REF!</definedName>
    <definedName name="HCD_INSTRDCS_SCHRS" localSheetId="2">#REF!</definedName>
    <definedName name="HCD_INSTRDCS_SCHRS" localSheetId="1">#REF!</definedName>
    <definedName name="HCD_INSTRDCS_SCHRS" localSheetId="0">#REF!</definedName>
    <definedName name="HCD_INSTRDCS_SCHRS" localSheetId="4">#REF!</definedName>
    <definedName name="HCD_INSTRDCS_SCHRS" localSheetId="3">#REF!</definedName>
    <definedName name="HCD_INSTRDCS_SCHRS" localSheetId="5">#REF!</definedName>
    <definedName name="HCD_INSTRDCS_SCHRS">#REF!</definedName>
    <definedName name="HCD_INSTRELEC_HRS" localSheetId="2">#REF!</definedName>
    <definedName name="HCD_INSTRELEC_HRS" localSheetId="1">#REF!</definedName>
    <definedName name="HCD_INSTRELEC_HRS" localSheetId="0">#REF!</definedName>
    <definedName name="HCD_INSTRELEC_HRS" localSheetId="4">#REF!</definedName>
    <definedName name="HCD_INSTRELEC_HRS" localSheetId="3">#REF!</definedName>
    <definedName name="HCD_INSTRELEC_HRS" localSheetId="5">#REF!</definedName>
    <definedName name="HCD_INSTRELEC_HRS">#REF!</definedName>
    <definedName name="HCD_INSTRELEC_LAB" localSheetId="2">#REF!</definedName>
    <definedName name="HCD_INSTRELEC_LAB" localSheetId="1">#REF!</definedName>
    <definedName name="HCD_INSTRELEC_LAB" localSheetId="0">#REF!</definedName>
    <definedName name="HCD_INSTRELEC_LAB" localSheetId="4">#REF!</definedName>
    <definedName name="HCD_INSTRELEC_LAB" localSheetId="3">#REF!</definedName>
    <definedName name="HCD_INSTRELEC_LAB" localSheetId="5">#REF!</definedName>
    <definedName name="HCD_INSTRELEC_LAB">#REF!</definedName>
    <definedName name="HCD_INSTRELEC_MAT" localSheetId="2">#REF!</definedName>
    <definedName name="HCD_INSTRELEC_MAT" localSheetId="1">#REF!</definedName>
    <definedName name="HCD_INSTRELEC_MAT" localSheetId="0">#REF!</definedName>
    <definedName name="HCD_INSTRELEC_MAT" localSheetId="4">#REF!</definedName>
    <definedName name="HCD_INSTRELEC_MAT" localSheetId="3">#REF!</definedName>
    <definedName name="HCD_INSTRELEC_MAT" localSheetId="5">#REF!</definedName>
    <definedName name="HCD_INSTRELEC_MAT">#REF!</definedName>
    <definedName name="HCD_INSTRELEC_QTY" localSheetId="2">#REF!</definedName>
    <definedName name="HCD_INSTRELEC_QTY" localSheetId="1">#REF!</definedName>
    <definedName name="HCD_INSTRELEC_QTY" localSheetId="0">#REF!</definedName>
    <definedName name="HCD_INSTRELEC_QTY" localSheetId="4">#REF!</definedName>
    <definedName name="HCD_INSTRELEC_QTY" localSheetId="3">#REF!</definedName>
    <definedName name="HCD_INSTRELEC_QTY" localSheetId="5">#REF!</definedName>
    <definedName name="HCD_INSTRELEC_QTY">#REF!</definedName>
    <definedName name="HCD_INSTRELEC_SC" localSheetId="2">#REF!</definedName>
    <definedName name="HCD_INSTRELEC_SC" localSheetId="1">#REF!</definedName>
    <definedName name="HCD_INSTRELEC_SC" localSheetId="0">#REF!</definedName>
    <definedName name="HCD_INSTRELEC_SC" localSheetId="4">#REF!</definedName>
    <definedName name="HCD_INSTRELEC_SC" localSheetId="3">#REF!</definedName>
    <definedName name="HCD_INSTRELEC_SC" localSheetId="5">#REF!</definedName>
    <definedName name="HCD_INSTRELEC_SC">#REF!</definedName>
    <definedName name="HCD_INSTRELEC_SCHRS" localSheetId="2">#REF!</definedName>
    <definedName name="HCD_INSTRELEC_SCHRS" localSheetId="1">#REF!</definedName>
    <definedName name="HCD_INSTRELEC_SCHRS" localSheetId="0">#REF!</definedName>
    <definedName name="HCD_INSTRELEC_SCHRS" localSheetId="4">#REF!</definedName>
    <definedName name="HCD_INSTRELEC_SCHRS" localSheetId="3">#REF!</definedName>
    <definedName name="HCD_INSTRELEC_SCHRS" localSheetId="5">#REF!</definedName>
    <definedName name="HCD_INSTRELEC_SCHRS">#REF!</definedName>
    <definedName name="HCD_INSTRMECH_HRS" localSheetId="2">#REF!</definedName>
    <definedName name="HCD_INSTRMECH_HRS" localSheetId="1">#REF!</definedName>
    <definedName name="HCD_INSTRMECH_HRS" localSheetId="0">#REF!</definedName>
    <definedName name="HCD_INSTRMECH_HRS" localSheetId="4">#REF!</definedName>
    <definedName name="HCD_INSTRMECH_HRS" localSheetId="3">#REF!</definedName>
    <definedName name="HCD_INSTRMECH_HRS" localSheetId="5">#REF!</definedName>
    <definedName name="HCD_INSTRMECH_HRS">#REF!</definedName>
    <definedName name="HCD_INSTRMECH_LAB" localSheetId="2">#REF!</definedName>
    <definedName name="HCD_INSTRMECH_LAB" localSheetId="1">#REF!</definedName>
    <definedName name="HCD_INSTRMECH_LAB" localSheetId="0">#REF!</definedName>
    <definedName name="HCD_INSTRMECH_LAB" localSheetId="4">#REF!</definedName>
    <definedName name="HCD_INSTRMECH_LAB" localSheetId="3">#REF!</definedName>
    <definedName name="HCD_INSTRMECH_LAB" localSheetId="5">#REF!</definedName>
    <definedName name="HCD_INSTRMECH_LAB">#REF!</definedName>
    <definedName name="HCD_INSTRMECH_MAT" localSheetId="2">#REF!</definedName>
    <definedName name="HCD_INSTRMECH_MAT" localSheetId="1">#REF!</definedName>
    <definedName name="HCD_INSTRMECH_MAT" localSheetId="0">#REF!</definedName>
    <definedName name="HCD_INSTRMECH_MAT" localSheetId="4">#REF!</definedName>
    <definedName name="HCD_INSTRMECH_MAT" localSheetId="3">#REF!</definedName>
    <definedName name="HCD_INSTRMECH_MAT" localSheetId="5">#REF!</definedName>
    <definedName name="HCD_INSTRMECH_MAT">#REF!</definedName>
    <definedName name="HCD_INSTRMECH_QTY" localSheetId="2">#REF!</definedName>
    <definedName name="HCD_INSTRMECH_QTY" localSheetId="1">#REF!</definedName>
    <definedName name="HCD_INSTRMECH_QTY" localSheetId="0">#REF!</definedName>
    <definedName name="HCD_INSTRMECH_QTY" localSheetId="4">#REF!</definedName>
    <definedName name="HCD_INSTRMECH_QTY" localSheetId="3">#REF!</definedName>
    <definedName name="HCD_INSTRMECH_QTY" localSheetId="5">#REF!</definedName>
    <definedName name="HCD_INSTRMECH_QTY">#REF!</definedName>
    <definedName name="HCD_INSTRMECH_SC" localSheetId="2">#REF!</definedName>
    <definedName name="HCD_INSTRMECH_SC" localSheetId="1">#REF!</definedName>
    <definedName name="HCD_INSTRMECH_SC" localSheetId="0">#REF!</definedName>
    <definedName name="HCD_INSTRMECH_SC" localSheetId="4">#REF!</definedName>
    <definedName name="HCD_INSTRMECH_SC" localSheetId="3">#REF!</definedName>
    <definedName name="HCD_INSTRMECH_SC" localSheetId="5">#REF!</definedName>
    <definedName name="HCD_INSTRMECH_SC">#REF!</definedName>
    <definedName name="HCD_INSTRMECH_SCHRS" localSheetId="2">#REF!</definedName>
    <definedName name="HCD_INSTRMECH_SCHRS" localSheetId="1">#REF!</definedName>
    <definedName name="HCD_INSTRMECH_SCHRS" localSheetId="0">#REF!</definedName>
    <definedName name="HCD_INSTRMECH_SCHRS" localSheetId="4">#REF!</definedName>
    <definedName name="HCD_INSTRMECH_SCHRS" localSheetId="3">#REF!</definedName>
    <definedName name="HCD_INSTRMECH_SCHRS" localSheetId="5">#REF!</definedName>
    <definedName name="HCD_INSTRMECH_SCHRS">#REF!</definedName>
    <definedName name="HCD_INSTRMECHMISC_HRS" localSheetId="2">#REF!</definedName>
    <definedName name="HCD_INSTRMECHMISC_HRS" localSheetId="1">#REF!</definedName>
    <definedName name="HCD_INSTRMECHMISC_HRS" localSheetId="0">#REF!</definedName>
    <definedName name="HCD_INSTRMECHMISC_HRS" localSheetId="4">#REF!</definedName>
    <definedName name="HCD_INSTRMECHMISC_HRS" localSheetId="3">#REF!</definedName>
    <definedName name="HCD_INSTRMECHMISC_HRS" localSheetId="5">#REF!</definedName>
    <definedName name="HCD_INSTRMECHMISC_HRS">#REF!</definedName>
    <definedName name="HCD_INSTRMECHMISC_LAB" localSheetId="2">#REF!</definedName>
    <definedName name="HCD_INSTRMECHMISC_LAB" localSheetId="1">#REF!</definedName>
    <definedName name="HCD_INSTRMECHMISC_LAB" localSheetId="0">#REF!</definedName>
    <definedName name="HCD_INSTRMECHMISC_LAB" localSheetId="4">#REF!</definedName>
    <definedName name="HCD_INSTRMECHMISC_LAB" localSheetId="3">#REF!</definedName>
    <definedName name="HCD_INSTRMECHMISC_LAB" localSheetId="5">#REF!</definedName>
    <definedName name="HCD_INSTRMECHMISC_LAB">#REF!</definedName>
    <definedName name="HCD_INSTRMECHMISC_MAT" localSheetId="2">#REF!</definedName>
    <definedName name="HCD_INSTRMECHMISC_MAT" localSheetId="1">#REF!</definedName>
    <definedName name="HCD_INSTRMECHMISC_MAT" localSheetId="0">#REF!</definedName>
    <definedName name="HCD_INSTRMECHMISC_MAT" localSheetId="4">#REF!</definedName>
    <definedName name="HCD_INSTRMECHMISC_MAT" localSheetId="3">#REF!</definedName>
    <definedName name="HCD_INSTRMECHMISC_MAT" localSheetId="5">#REF!</definedName>
    <definedName name="HCD_INSTRMECHMISC_MAT">#REF!</definedName>
    <definedName name="HCD_INSTRMECHMISC_QTY" localSheetId="2">#REF!</definedName>
    <definedName name="HCD_INSTRMECHMISC_QTY" localSheetId="1">#REF!</definedName>
    <definedName name="HCD_INSTRMECHMISC_QTY" localSheetId="0">#REF!</definedName>
    <definedName name="HCD_INSTRMECHMISC_QTY" localSheetId="4">#REF!</definedName>
    <definedName name="HCD_INSTRMECHMISC_QTY" localSheetId="3">#REF!</definedName>
    <definedName name="HCD_INSTRMECHMISC_QTY" localSheetId="5">#REF!</definedName>
    <definedName name="HCD_INSTRMECHMISC_QTY">#REF!</definedName>
    <definedName name="HCD_INSTRMECHMISC_SC" localSheetId="2">#REF!</definedName>
    <definedName name="HCD_INSTRMECHMISC_SC" localSheetId="1">#REF!</definedName>
    <definedName name="HCD_INSTRMECHMISC_SC" localSheetId="0">#REF!</definedName>
    <definedName name="HCD_INSTRMECHMISC_SC" localSheetId="4">#REF!</definedName>
    <definedName name="HCD_INSTRMECHMISC_SC" localSheetId="3">#REF!</definedName>
    <definedName name="HCD_INSTRMECHMISC_SC" localSheetId="5">#REF!</definedName>
    <definedName name="HCD_INSTRMECHMISC_SC">#REF!</definedName>
    <definedName name="HCD_INSTRMECHMISC_SCHRS" localSheetId="2">#REF!</definedName>
    <definedName name="HCD_INSTRMECHMISC_SCHRS" localSheetId="1">#REF!</definedName>
    <definedName name="HCD_INSTRMECHMISC_SCHRS" localSheetId="0">#REF!</definedName>
    <definedName name="HCD_INSTRMECHMISC_SCHRS" localSheetId="4">#REF!</definedName>
    <definedName name="HCD_INSTRMECHMISC_SCHRS" localSheetId="3">#REF!</definedName>
    <definedName name="HCD_INSTRMECHMISC_SCHRS" localSheetId="5">#REF!</definedName>
    <definedName name="HCD_INSTRMECHMISC_SCHRS">#REF!</definedName>
    <definedName name="HCD_INSTRMISC_HRS" localSheetId="2">#REF!</definedName>
    <definedName name="HCD_INSTRMISC_HRS" localSheetId="1">#REF!</definedName>
    <definedName name="HCD_INSTRMISC_HRS" localSheetId="0">#REF!</definedName>
    <definedName name="HCD_INSTRMISC_HRS" localSheetId="4">#REF!</definedName>
    <definedName name="HCD_INSTRMISC_HRS" localSheetId="3">#REF!</definedName>
    <definedName name="HCD_INSTRMISC_HRS" localSheetId="5">#REF!</definedName>
    <definedName name="HCD_INSTRMISC_HRS">#REF!</definedName>
    <definedName name="HCD_INSTRMISC_LAB" localSheetId="2">#REF!</definedName>
    <definedName name="HCD_INSTRMISC_LAB" localSheetId="1">#REF!</definedName>
    <definedName name="HCD_INSTRMISC_LAB" localSheetId="0">#REF!</definedName>
    <definedName name="HCD_INSTRMISC_LAB" localSheetId="4">#REF!</definedName>
    <definedName name="HCD_INSTRMISC_LAB" localSheetId="3">#REF!</definedName>
    <definedName name="HCD_INSTRMISC_LAB" localSheetId="5">#REF!</definedName>
    <definedName name="HCD_INSTRMISC_LAB">#REF!</definedName>
    <definedName name="HCD_INSTRMISC_MAT" localSheetId="2">#REF!</definedName>
    <definedName name="HCD_INSTRMISC_MAT" localSheetId="1">#REF!</definedName>
    <definedName name="HCD_INSTRMISC_MAT" localSheetId="0">#REF!</definedName>
    <definedName name="HCD_INSTRMISC_MAT" localSheetId="4">#REF!</definedName>
    <definedName name="HCD_INSTRMISC_MAT" localSheetId="3">#REF!</definedName>
    <definedName name="HCD_INSTRMISC_MAT" localSheetId="5">#REF!</definedName>
    <definedName name="HCD_INSTRMISC_MAT">#REF!</definedName>
    <definedName name="HCD_INSTRMISC_QTY" localSheetId="2">#REF!</definedName>
    <definedName name="HCD_INSTRMISC_QTY" localSheetId="1">#REF!</definedName>
    <definedName name="HCD_INSTRMISC_QTY" localSheetId="0">#REF!</definedName>
    <definedName name="HCD_INSTRMISC_QTY" localSheetId="4">#REF!</definedName>
    <definedName name="HCD_INSTRMISC_QTY" localSheetId="3">#REF!</definedName>
    <definedName name="HCD_INSTRMISC_QTY" localSheetId="5">#REF!</definedName>
    <definedName name="HCD_INSTRMISC_QTY">#REF!</definedName>
    <definedName name="HCD_INSTRMISC_SC" localSheetId="2">#REF!</definedName>
    <definedName name="HCD_INSTRMISC_SC" localSheetId="1">#REF!</definedName>
    <definedName name="HCD_INSTRMISC_SC" localSheetId="0">#REF!</definedName>
    <definedName name="HCD_INSTRMISC_SC" localSheetId="4">#REF!</definedName>
    <definedName name="HCD_INSTRMISC_SC" localSheetId="3">#REF!</definedName>
    <definedName name="HCD_INSTRMISC_SC" localSheetId="5">#REF!</definedName>
    <definedName name="HCD_INSTRMISC_SC">#REF!</definedName>
    <definedName name="HCD_INSTRMISC_SCHRS" localSheetId="2">#REF!</definedName>
    <definedName name="HCD_INSTRMISC_SCHRS" localSheetId="1">#REF!</definedName>
    <definedName name="HCD_INSTRMISC_SCHRS" localSheetId="0">#REF!</definedName>
    <definedName name="HCD_INSTRMISC_SCHRS" localSheetId="4">#REF!</definedName>
    <definedName name="HCD_INSTRMISC_SCHRS" localSheetId="3">#REF!</definedName>
    <definedName name="HCD_INSTRMISC_SCHRS" localSheetId="5">#REF!</definedName>
    <definedName name="HCD_INSTRMISC_SCHRS">#REF!</definedName>
    <definedName name="HCD_INSTRMODSTND_HRS" localSheetId="2">#REF!</definedName>
    <definedName name="HCD_INSTRMODSTND_HRS" localSheetId="1">#REF!</definedName>
    <definedName name="HCD_INSTRMODSTND_HRS" localSheetId="0">#REF!</definedName>
    <definedName name="HCD_INSTRMODSTND_HRS" localSheetId="4">#REF!</definedName>
    <definedName name="HCD_INSTRMODSTND_HRS" localSheetId="3">#REF!</definedName>
    <definedName name="HCD_INSTRMODSTND_HRS" localSheetId="5">#REF!</definedName>
    <definedName name="HCD_INSTRMODSTND_HRS">#REF!</definedName>
    <definedName name="HCD_INSTRMODSTND_LAB" localSheetId="2">#REF!</definedName>
    <definedName name="HCD_INSTRMODSTND_LAB" localSheetId="1">#REF!</definedName>
    <definedName name="HCD_INSTRMODSTND_LAB" localSheetId="0">#REF!</definedName>
    <definedName name="HCD_INSTRMODSTND_LAB" localSheetId="4">#REF!</definedName>
    <definedName name="HCD_INSTRMODSTND_LAB" localSheetId="3">#REF!</definedName>
    <definedName name="HCD_INSTRMODSTND_LAB" localSheetId="5">#REF!</definedName>
    <definedName name="HCD_INSTRMODSTND_LAB">#REF!</definedName>
    <definedName name="HCD_INSTRMODSTND_MAT" localSheetId="2">#REF!</definedName>
    <definedName name="HCD_INSTRMODSTND_MAT" localSheetId="1">#REF!</definedName>
    <definedName name="HCD_INSTRMODSTND_MAT" localSheetId="0">#REF!</definedName>
    <definedName name="HCD_INSTRMODSTND_MAT" localSheetId="4">#REF!</definedName>
    <definedName name="HCD_INSTRMODSTND_MAT" localSheetId="3">#REF!</definedName>
    <definedName name="HCD_INSTRMODSTND_MAT" localSheetId="5">#REF!</definedName>
    <definedName name="HCD_INSTRMODSTND_MAT">#REF!</definedName>
    <definedName name="HCD_INSTRMODSTND_QTY" localSheetId="2">#REF!</definedName>
    <definedName name="HCD_INSTRMODSTND_QTY" localSheetId="1">#REF!</definedName>
    <definedName name="HCD_INSTRMODSTND_QTY" localSheetId="0">#REF!</definedName>
    <definedName name="HCD_INSTRMODSTND_QTY" localSheetId="4">#REF!</definedName>
    <definedName name="HCD_INSTRMODSTND_QTY" localSheetId="3">#REF!</definedName>
    <definedName name="HCD_INSTRMODSTND_QTY" localSheetId="5">#REF!</definedName>
    <definedName name="HCD_INSTRMODSTND_QTY">#REF!</definedName>
    <definedName name="HCD_INSTRMODSTND_SC" localSheetId="2">#REF!</definedName>
    <definedName name="HCD_INSTRMODSTND_SC" localSheetId="1">#REF!</definedName>
    <definedName name="HCD_INSTRMODSTND_SC" localSheetId="0">#REF!</definedName>
    <definedName name="HCD_INSTRMODSTND_SC" localSheetId="4">#REF!</definedName>
    <definedName name="HCD_INSTRMODSTND_SC" localSheetId="3">#REF!</definedName>
    <definedName name="HCD_INSTRMODSTND_SC" localSheetId="5">#REF!</definedName>
    <definedName name="HCD_INSTRMODSTND_SC">#REF!</definedName>
    <definedName name="HCD_INSTRMODSTND_SCHRS" localSheetId="2">#REF!</definedName>
    <definedName name="HCD_INSTRMODSTND_SCHRS" localSheetId="1">#REF!</definedName>
    <definedName name="HCD_INSTRMODSTND_SCHRS" localSheetId="0">#REF!</definedName>
    <definedName name="HCD_INSTRMODSTND_SCHRS" localSheetId="4">#REF!</definedName>
    <definedName name="HCD_INSTRMODSTND_SCHRS" localSheetId="3">#REF!</definedName>
    <definedName name="HCD_INSTRMODSTND_SCHRS" localSheetId="5">#REF!</definedName>
    <definedName name="HCD_INSTRMODSTND_SCHRS">#REF!</definedName>
    <definedName name="HCD_INSTRTUBE_HRS" localSheetId="2">#REF!</definedName>
    <definedName name="HCD_INSTRTUBE_HRS" localSheetId="1">#REF!</definedName>
    <definedName name="HCD_INSTRTUBE_HRS" localSheetId="0">#REF!</definedName>
    <definedName name="HCD_INSTRTUBE_HRS" localSheetId="4">#REF!</definedName>
    <definedName name="HCD_INSTRTUBE_HRS" localSheetId="3">#REF!</definedName>
    <definedName name="HCD_INSTRTUBE_HRS" localSheetId="5">#REF!</definedName>
    <definedName name="HCD_INSTRTUBE_HRS">#REF!</definedName>
    <definedName name="HCD_INSTRTUBE_LAB" localSheetId="2">#REF!</definedName>
    <definedName name="HCD_INSTRTUBE_LAB" localSheetId="1">#REF!</definedName>
    <definedName name="HCD_INSTRTUBE_LAB" localSheetId="0">#REF!</definedName>
    <definedName name="HCD_INSTRTUBE_LAB" localSheetId="4">#REF!</definedName>
    <definedName name="HCD_INSTRTUBE_LAB" localSheetId="3">#REF!</definedName>
    <definedName name="HCD_INSTRTUBE_LAB" localSheetId="5">#REF!</definedName>
    <definedName name="HCD_INSTRTUBE_LAB">#REF!</definedName>
    <definedName name="HCD_INSTRTUBE_MAT" localSheetId="2">#REF!</definedName>
    <definedName name="HCD_INSTRTUBE_MAT" localSheetId="1">#REF!</definedName>
    <definedName name="HCD_INSTRTUBE_MAT" localSheetId="0">#REF!</definedName>
    <definedName name="HCD_INSTRTUBE_MAT" localSheetId="4">#REF!</definedName>
    <definedName name="HCD_INSTRTUBE_MAT" localSheetId="3">#REF!</definedName>
    <definedName name="HCD_INSTRTUBE_MAT" localSheetId="5">#REF!</definedName>
    <definedName name="HCD_INSTRTUBE_MAT">#REF!</definedName>
    <definedName name="HCD_INSTRTUBE_QTY" localSheetId="2">#REF!</definedName>
    <definedName name="HCD_INSTRTUBE_QTY" localSheetId="1">#REF!</definedName>
    <definedName name="HCD_INSTRTUBE_QTY" localSheetId="0">#REF!</definedName>
    <definedName name="HCD_INSTRTUBE_QTY" localSheetId="4">#REF!</definedName>
    <definedName name="HCD_INSTRTUBE_QTY" localSheetId="3">#REF!</definedName>
    <definedName name="HCD_INSTRTUBE_QTY" localSheetId="5">#REF!</definedName>
    <definedName name="HCD_INSTRTUBE_QTY">#REF!</definedName>
    <definedName name="HCD_INSTRTUBE_SC" localSheetId="2">#REF!</definedName>
    <definedName name="HCD_INSTRTUBE_SC" localSheetId="1">#REF!</definedName>
    <definedName name="HCD_INSTRTUBE_SC" localSheetId="0">#REF!</definedName>
    <definedName name="HCD_INSTRTUBE_SC" localSheetId="4">#REF!</definedName>
    <definedName name="HCD_INSTRTUBE_SC" localSheetId="3">#REF!</definedName>
    <definedName name="HCD_INSTRTUBE_SC" localSheetId="5">#REF!</definedName>
    <definedName name="HCD_INSTRTUBE_SC">#REF!</definedName>
    <definedName name="HCD_INSTRTUBE_SCHRS" localSheetId="2">#REF!</definedName>
    <definedName name="HCD_INSTRTUBE_SCHRS" localSheetId="1">#REF!</definedName>
    <definedName name="HCD_INSTRTUBE_SCHRS" localSheetId="0">#REF!</definedName>
    <definedName name="HCD_INSTRTUBE_SCHRS" localSheetId="4">#REF!</definedName>
    <definedName name="HCD_INSTRTUBE_SCHRS" localSheetId="3">#REF!</definedName>
    <definedName name="HCD_INSTRTUBE_SCHRS" localSheetId="5">#REF!</definedName>
    <definedName name="HCD_INSTRTUBE_SCHRS">#REF!</definedName>
    <definedName name="HCD_INSTRVLVS_HRS" localSheetId="2">#REF!</definedName>
    <definedName name="HCD_INSTRVLVS_HRS" localSheetId="1">#REF!</definedName>
    <definedName name="HCD_INSTRVLVS_HRS" localSheetId="0">#REF!</definedName>
    <definedName name="HCD_INSTRVLVS_HRS" localSheetId="4">#REF!</definedName>
    <definedName name="HCD_INSTRVLVS_HRS" localSheetId="3">#REF!</definedName>
    <definedName name="HCD_INSTRVLVS_HRS" localSheetId="5">#REF!</definedName>
    <definedName name="HCD_INSTRVLVS_HRS">#REF!</definedName>
    <definedName name="HCD_INSTRVLVS_LAB" localSheetId="2">#REF!</definedName>
    <definedName name="HCD_INSTRVLVS_LAB" localSheetId="1">#REF!</definedName>
    <definedName name="HCD_INSTRVLVS_LAB" localSheetId="0">#REF!</definedName>
    <definedName name="HCD_INSTRVLVS_LAB" localSheetId="4">#REF!</definedName>
    <definedName name="HCD_INSTRVLVS_LAB" localSheetId="3">#REF!</definedName>
    <definedName name="HCD_INSTRVLVS_LAB" localSheetId="5">#REF!</definedName>
    <definedName name="HCD_INSTRVLVS_LAB">#REF!</definedName>
    <definedName name="HCD_INSTRVLVS_MAT" localSheetId="2">#REF!</definedName>
    <definedName name="HCD_INSTRVLVS_MAT" localSheetId="1">#REF!</definedName>
    <definedName name="HCD_INSTRVLVS_MAT" localSheetId="0">#REF!</definedName>
    <definedName name="HCD_INSTRVLVS_MAT" localSheetId="4">#REF!</definedName>
    <definedName name="HCD_INSTRVLVS_MAT" localSheetId="3">#REF!</definedName>
    <definedName name="HCD_INSTRVLVS_MAT" localSheetId="5">#REF!</definedName>
    <definedName name="HCD_INSTRVLVS_MAT">#REF!</definedName>
    <definedName name="HCD_INSTRVLVS_QTY" localSheetId="2">#REF!</definedName>
    <definedName name="HCD_INSTRVLVS_QTY" localSheetId="1">#REF!</definedName>
    <definedName name="HCD_INSTRVLVS_QTY" localSheetId="0">#REF!</definedName>
    <definedName name="HCD_INSTRVLVS_QTY" localSheetId="4">#REF!</definedName>
    <definedName name="HCD_INSTRVLVS_QTY" localSheetId="3">#REF!</definedName>
    <definedName name="HCD_INSTRVLVS_QTY" localSheetId="5">#REF!</definedName>
    <definedName name="HCD_INSTRVLVS_QTY">#REF!</definedName>
    <definedName name="HCD_INSTRVLVS_SC" localSheetId="2">#REF!</definedName>
    <definedName name="HCD_INSTRVLVS_SC" localSheetId="1">#REF!</definedName>
    <definedName name="HCD_INSTRVLVS_SC" localSheetId="0">#REF!</definedName>
    <definedName name="HCD_INSTRVLVS_SC" localSheetId="4">#REF!</definedName>
    <definedName name="HCD_INSTRVLVS_SC" localSheetId="3">#REF!</definedName>
    <definedName name="HCD_INSTRVLVS_SC" localSheetId="5">#REF!</definedName>
    <definedName name="HCD_INSTRVLVS_SC">#REF!</definedName>
    <definedName name="HCD_INSTRVLVS_SCHRS" localSheetId="2">#REF!</definedName>
    <definedName name="HCD_INSTRVLVS_SCHRS" localSheetId="1">#REF!</definedName>
    <definedName name="HCD_INSTRVLVS_SCHRS" localSheetId="0">#REF!</definedName>
    <definedName name="HCD_INSTRVLVS_SCHRS" localSheetId="4">#REF!</definedName>
    <definedName name="HCD_INSTRVLVS_SCHRS" localSheetId="3">#REF!</definedName>
    <definedName name="HCD_INSTRVLVS_SCHRS" localSheetId="5">#REF!</definedName>
    <definedName name="HCD_INSTRVLVS_SCHRS">#REF!</definedName>
    <definedName name="HCD_INSTRWRTAN_HRS" localSheetId="2">#REF!</definedName>
    <definedName name="HCD_INSTRWRTAN_HRS" localSheetId="1">#REF!</definedName>
    <definedName name="HCD_INSTRWRTAN_HRS" localSheetId="0">#REF!</definedName>
    <definedName name="HCD_INSTRWRTAN_HRS" localSheetId="4">#REF!</definedName>
    <definedName name="HCD_INSTRWRTAN_HRS" localSheetId="3">#REF!</definedName>
    <definedName name="HCD_INSTRWRTAN_HRS" localSheetId="5">#REF!</definedName>
    <definedName name="HCD_INSTRWRTAN_HRS">#REF!</definedName>
    <definedName name="HCD_INSTRWRTAN_LAB" localSheetId="2">#REF!</definedName>
    <definedName name="HCD_INSTRWRTAN_LAB" localSheetId="1">#REF!</definedName>
    <definedName name="HCD_INSTRWRTAN_LAB" localSheetId="0">#REF!</definedName>
    <definedName name="HCD_INSTRWRTAN_LAB" localSheetId="4">#REF!</definedName>
    <definedName name="HCD_INSTRWRTAN_LAB" localSheetId="3">#REF!</definedName>
    <definedName name="HCD_INSTRWRTAN_LAB" localSheetId="5">#REF!</definedName>
    <definedName name="HCD_INSTRWRTAN_LAB">#REF!</definedName>
    <definedName name="HCD_INSTRWRTAN_MAT" localSheetId="2">#REF!</definedName>
    <definedName name="HCD_INSTRWRTAN_MAT" localSheetId="1">#REF!</definedName>
    <definedName name="HCD_INSTRWRTAN_MAT" localSheetId="0">#REF!</definedName>
    <definedName name="HCD_INSTRWRTAN_MAT" localSheetId="4">#REF!</definedName>
    <definedName name="HCD_INSTRWRTAN_MAT" localSheetId="3">#REF!</definedName>
    <definedName name="HCD_INSTRWRTAN_MAT" localSheetId="5">#REF!</definedName>
    <definedName name="HCD_INSTRWRTAN_MAT">#REF!</definedName>
    <definedName name="HCD_INSTRWRTAN_QTY" localSheetId="2">#REF!</definedName>
    <definedName name="HCD_INSTRWRTAN_QTY" localSheetId="1">#REF!</definedName>
    <definedName name="HCD_INSTRWRTAN_QTY" localSheetId="0">#REF!</definedName>
    <definedName name="HCD_INSTRWRTAN_QTY" localSheetId="4">#REF!</definedName>
    <definedName name="HCD_INSTRWRTAN_QTY" localSheetId="3">#REF!</definedName>
    <definedName name="HCD_INSTRWRTAN_QTY" localSheetId="5">#REF!</definedName>
    <definedName name="HCD_INSTRWRTAN_QTY">#REF!</definedName>
    <definedName name="HCD_INSTRWRTAN_SC" localSheetId="2">#REF!</definedName>
    <definedName name="HCD_INSTRWRTAN_SC" localSheetId="1">#REF!</definedName>
    <definedName name="HCD_INSTRWRTAN_SC" localSheetId="0">#REF!</definedName>
    <definedName name="HCD_INSTRWRTAN_SC" localSheetId="4">#REF!</definedName>
    <definedName name="HCD_INSTRWRTAN_SC" localSheetId="3">#REF!</definedName>
    <definedName name="HCD_INSTRWRTAN_SC" localSheetId="5">#REF!</definedName>
    <definedName name="HCD_INSTRWRTAN_SC">#REF!</definedName>
    <definedName name="HCD_INSTRWRTAN_SCHRS" localSheetId="2">#REF!</definedName>
    <definedName name="HCD_INSTRWRTAN_SCHRS" localSheetId="1">#REF!</definedName>
    <definedName name="HCD_INSTRWRTAN_SCHRS" localSheetId="0">#REF!</definedName>
    <definedName name="HCD_INSTRWRTAN_SCHRS" localSheetId="4">#REF!</definedName>
    <definedName name="HCD_INSTRWRTAN_SCHRS" localSheetId="3">#REF!</definedName>
    <definedName name="HCD_INSTRWRTAN_SCHRS" localSheetId="5">#REF!</definedName>
    <definedName name="HCD_INSTRWRTAN_SCHRS">#REF!</definedName>
    <definedName name="HCD_LGTCBL_QTY" localSheetId="2">#REF!</definedName>
    <definedName name="HCD_LGTCBL_QTY" localSheetId="1">#REF!</definedName>
    <definedName name="HCD_LGTCBL_QTY" localSheetId="0">#REF!</definedName>
    <definedName name="HCD_LGTCBL_QTY" localSheetId="4">#REF!</definedName>
    <definedName name="HCD_LGTCBL_QTY" localSheetId="3">#REF!</definedName>
    <definedName name="HCD_LGTCBL_QTY" localSheetId="5">#REF!</definedName>
    <definedName name="HCD_LGTCBL_QTY">#REF!</definedName>
    <definedName name="HCD_LGTCOND_QTY" localSheetId="2">#REF!</definedName>
    <definedName name="HCD_LGTCOND_QTY" localSheetId="1">#REF!</definedName>
    <definedName name="HCD_LGTCOND_QTY" localSheetId="0">#REF!</definedName>
    <definedName name="HCD_LGTCOND_QTY" localSheetId="4">#REF!</definedName>
    <definedName name="HCD_LGTCOND_QTY" localSheetId="3">#REF!</definedName>
    <definedName name="HCD_LGTCOND_QTY" localSheetId="5">#REF!</definedName>
    <definedName name="HCD_LGTCOND_QTY">#REF!</definedName>
    <definedName name="HCD_LIGHTCOND_QTY" localSheetId="2">#REF!</definedName>
    <definedName name="HCD_LIGHTCOND_QTY" localSheetId="1">#REF!</definedName>
    <definedName name="HCD_LIGHTCOND_QTY" localSheetId="0">#REF!</definedName>
    <definedName name="HCD_LIGHTCOND_QTY" localSheetId="4">#REF!</definedName>
    <definedName name="HCD_LIGHTCOND_QTY" localSheetId="3">#REF!</definedName>
    <definedName name="HCD_LIGHTCOND_QTY" localSheetId="5">#REF!</definedName>
    <definedName name="HCD_LIGHTCOND_QTY">#REF!</definedName>
    <definedName name="HCD_MCC480_HRS" localSheetId="2">#REF!</definedName>
    <definedName name="HCD_MCC480_HRS" localSheetId="1">#REF!</definedName>
    <definedName name="HCD_MCC480_HRS" localSheetId="0">#REF!</definedName>
    <definedName name="HCD_MCC480_HRS" localSheetId="4">#REF!</definedName>
    <definedName name="HCD_MCC480_HRS" localSheetId="3">#REF!</definedName>
    <definedName name="HCD_MCC480_HRS" localSheetId="5">#REF!</definedName>
    <definedName name="HCD_MCC480_HRS">#REF!</definedName>
    <definedName name="HCD_MCC480_LAB" localSheetId="2">#REF!</definedName>
    <definedName name="HCD_MCC480_LAB" localSheetId="1">#REF!</definedName>
    <definedName name="HCD_MCC480_LAB" localSheetId="0">#REF!</definedName>
    <definedName name="HCD_MCC480_LAB" localSheetId="4">#REF!</definedName>
    <definedName name="HCD_MCC480_LAB" localSheetId="3">#REF!</definedName>
    <definedName name="HCD_MCC480_LAB" localSheetId="5">#REF!</definedName>
    <definedName name="HCD_MCC480_LAB">#REF!</definedName>
    <definedName name="HCD_MCC480_MAT" localSheetId="2">#REF!</definedName>
    <definedName name="HCD_MCC480_MAT" localSheetId="1">#REF!</definedName>
    <definedName name="HCD_MCC480_MAT" localSheetId="0">#REF!</definedName>
    <definedName name="HCD_MCC480_MAT" localSheetId="4">#REF!</definedName>
    <definedName name="HCD_MCC480_MAT" localSheetId="3">#REF!</definedName>
    <definedName name="HCD_MCC480_MAT" localSheetId="5">#REF!</definedName>
    <definedName name="HCD_MCC480_MAT">#REF!</definedName>
    <definedName name="HCD_MCC480_QTY" localSheetId="2">#REF!</definedName>
    <definedName name="HCD_MCC480_QTY" localSheetId="1">#REF!</definedName>
    <definedName name="HCD_MCC480_QTY" localSheetId="0">#REF!</definedName>
    <definedName name="HCD_MCC480_QTY" localSheetId="4">#REF!</definedName>
    <definedName name="HCD_MCC480_QTY" localSheetId="3">#REF!</definedName>
    <definedName name="HCD_MCC480_QTY" localSheetId="5">#REF!</definedName>
    <definedName name="HCD_MCC480_QTY">#REF!</definedName>
    <definedName name="HCD_MCC480_SC" localSheetId="2">#REF!</definedName>
    <definedName name="HCD_MCC480_SC" localSheetId="1">#REF!</definedName>
    <definedName name="HCD_MCC480_SC" localSheetId="0">#REF!</definedName>
    <definedName name="HCD_MCC480_SC" localSheetId="4">#REF!</definedName>
    <definedName name="HCD_MCC480_SC" localSheetId="3">#REF!</definedName>
    <definedName name="HCD_MCC480_SC" localSheetId="5">#REF!</definedName>
    <definedName name="HCD_MCC480_SC">#REF!</definedName>
    <definedName name="HCD_MCC480_SCHRS" localSheetId="2">#REF!</definedName>
    <definedName name="HCD_MCC480_SCHRS" localSheetId="1">#REF!</definedName>
    <definedName name="HCD_MCC480_SCHRS" localSheetId="0">#REF!</definedName>
    <definedName name="HCD_MCC480_SCHRS" localSheetId="4">#REF!</definedName>
    <definedName name="HCD_MCC480_SCHRS" localSheetId="3">#REF!</definedName>
    <definedName name="HCD_MCC480_SCHRS" localSheetId="5">#REF!</definedName>
    <definedName name="HCD_MCC480_SCHRS">#REF!</definedName>
    <definedName name="HCD_METCOND_HRS" localSheetId="2">#REF!</definedName>
    <definedName name="HCD_METCOND_HRS" localSheetId="1">#REF!</definedName>
    <definedName name="HCD_METCOND_HRS" localSheetId="0">#REF!</definedName>
    <definedName name="HCD_METCOND_HRS" localSheetId="4">#REF!</definedName>
    <definedName name="HCD_METCOND_HRS" localSheetId="3">#REF!</definedName>
    <definedName name="HCD_METCOND_HRS" localSheetId="5">#REF!</definedName>
    <definedName name="HCD_METCOND_HRS">#REF!</definedName>
    <definedName name="HCD_METCOND_LAB" localSheetId="2">#REF!</definedName>
    <definedName name="HCD_METCOND_LAB" localSheetId="1">#REF!</definedName>
    <definedName name="HCD_METCOND_LAB" localSheetId="0">#REF!</definedName>
    <definedName name="HCD_METCOND_LAB" localSheetId="4">#REF!</definedName>
    <definedName name="HCD_METCOND_LAB" localSheetId="3">#REF!</definedName>
    <definedName name="HCD_METCOND_LAB" localSheetId="5">#REF!</definedName>
    <definedName name="HCD_METCOND_LAB">#REF!</definedName>
    <definedName name="HCD_METCOND_MAT" localSheetId="2">#REF!</definedName>
    <definedName name="HCD_METCOND_MAT" localSheetId="1">#REF!</definedName>
    <definedName name="HCD_METCOND_MAT" localSheetId="0">#REF!</definedName>
    <definedName name="HCD_METCOND_MAT" localSheetId="4">#REF!</definedName>
    <definedName name="HCD_METCOND_MAT" localSheetId="3">#REF!</definedName>
    <definedName name="HCD_METCOND_MAT" localSheetId="5">#REF!</definedName>
    <definedName name="HCD_METCOND_MAT">#REF!</definedName>
    <definedName name="HCD_METCOND_QTY" localSheetId="2">#REF!</definedName>
    <definedName name="HCD_METCOND_QTY" localSheetId="1">#REF!</definedName>
    <definedName name="HCD_METCOND_QTY" localSheetId="0">#REF!</definedName>
    <definedName name="HCD_METCOND_QTY" localSheetId="4">#REF!</definedName>
    <definedName name="HCD_METCOND_QTY" localSheetId="3">#REF!</definedName>
    <definedName name="HCD_METCOND_QTY" localSheetId="5">#REF!</definedName>
    <definedName name="HCD_METCOND_QTY">#REF!</definedName>
    <definedName name="HCD_METCOND_SC" localSheetId="2">#REF!</definedName>
    <definedName name="HCD_METCOND_SC" localSheetId="1">#REF!</definedName>
    <definedName name="HCD_METCOND_SC" localSheetId="0">#REF!</definedName>
    <definedName name="HCD_METCOND_SC" localSheetId="4">#REF!</definedName>
    <definedName name="HCD_METCOND_SC" localSheetId="3">#REF!</definedName>
    <definedName name="HCD_METCOND_SC" localSheetId="5">#REF!</definedName>
    <definedName name="HCD_METCOND_SC">#REF!</definedName>
    <definedName name="HCD_METCOND_SCHRS" localSheetId="2">#REF!</definedName>
    <definedName name="HCD_METCOND_SCHRS" localSheetId="1">#REF!</definedName>
    <definedName name="HCD_METCOND_SCHRS" localSheetId="0">#REF!</definedName>
    <definedName name="HCD_METCOND_SCHRS" localSheetId="4">#REF!</definedName>
    <definedName name="HCD_METCOND_SCHRS" localSheetId="3">#REF!</definedName>
    <definedName name="HCD_METCOND_SCHRS" localSheetId="5">#REF!</definedName>
    <definedName name="HCD_METCOND_SCHRS">#REF!</definedName>
    <definedName name="HCD_METEMBCOND_HRS" localSheetId="2">#REF!</definedName>
    <definedName name="HCD_METEMBCOND_HRS" localSheetId="1">#REF!</definedName>
    <definedName name="HCD_METEMBCOND_HRS" localSheetId="0">#REF!</definedName>
    <definedName name="HCD_METEMBCOND_HRS" localSheetId="4">#REF!</definedName>
    <definedName name="HCD_METEMBCOND_HRS" localSheetId="3">#REF!</definedName>
    <definedName name="HCD_METEMBCOND_HRS" localSheetId="5">#REF!</definedName>
    <definedName name="HCD_METEMBCOND_HRS">#REF!</definedName>
    <definedName name="HCD_METEMBCOND_LAB" localSheetId="2">#REF!</definedName>
    <definedName name="HCD_METEMBCOND_LAB" localSheetId="1">#REF!</definedName>
    <definedName name="HCD_METEMBCOND_LAB" localSheetId="0">#REF!</definedName>
    <definedName name="HCD_METEMBCOND_LAB" localSheetId="4">#REF!</definedName>
    <definedName name="HCD_METEMBCOND_LAB" localSheetId="3">#REF!</definedName>
    <definedName name="HCD_METEMBCOND_LAB" localSheetId="5">#REF!</definedName>
    <definedName name="HCD_METEMBCOND_LAB">#REF!</definedName>
    <definedName name="HCD_METEMBCOND_MAT" localSheetId="2">#REF!</definedName>
    <definedName name="HCD_METEMBCOND_MAT" localSheetId="1">#REF!</definedName>
    <definedName name="HCD_METEMBCOND_MAT" localSheetId="0">#REF!</definedName>
    <definedName name="HCD_METEMBCOND_MAT" localSheetId="4">#REF!</definedName>
    <definedName name="HCD_METEMBCOND_MAT" localSheetId="3">#REF!</definedName>
    <definedName name="HCD_METEMBCOND_MAT" localSheetId="5">#REF!</definedName>
    <definedName name="HCD_METEMBCOND_MAT">#REF!</definedName>
    <definedName name="HCD_METEMBCOND_QTY" localSheetId="2">#REF!</definedName>
    <definedName name="HCD_METEMBCOND_QTY" localSheetId="1">#REF!</definedName>
    <definedName name="HCD_METEMBCOND_QTY" localSheetId="0">#REF!</definedName>
    <definedName name="HCD_METEMBCOND_QTY" localSheetId="4">#REF!</definedName>
    <definedName name="HCD_METEMBCOND_QTY" localSheetId="3">#REF!</definedName>
    <definedName name="HCD_METEMBCOND_QTY" localSheetId="5">#REF!</definedName>
    <definedName name="HCD_METEMBCOND_QTY">#REF!</definedName>
    <definedName name="HCD_METEMBCOND_SC" localSheetId="2">#REF!</definedName>
    <definedName name="HCD_METEMBCOND_SC" localSheetId="1">#REF!</definedName>
    <definedName name="HCD_METEMBCOND_SC" localSheetId="0">#REF!</definedName>
    <definedName name="HCD_METEMBCOND_SC" localSheetId="4">#REF!</definedName>
    <definedName name="HCD_METEMBCOND_SC" localSheetId="3">#REF!</definedName>
    <definedName name="HCD_METEMBCOND_SC" localSheetId="5">#REF!</definedName>
    <definedName name="HCD_METEMBCOND_SC">#REF!</definedName>
    <definedName name="HCD_METEMBCOND_SCHRS" localSheetId="2">#REF!</definedName>
    <definedName name="HCD_METEMBCOND_SCHRS" localSheetId="1">#REF!</definedName>
    <definedName name="HCD_METEMBCOND_SCHRS" localSheetId="0">#REF!</definedName>
    <definedName name="HCD_METEMBCOND_SCHRS" localSheetId="4">#REF!</definedName>
    <definedName name="HCD_METEMBCOND_SCHRS" localSheetId="3">#REF!</definedName>
    <definedName name="HCD_METEMBCOND_SCHRS" localSheetId="5">#REF!</definedName>
    <definedName name="HCD_METEMBCOND_SCHRS">#REF!</definedName>
    <definedName name="HCD_MISCPNLS_HRS" localSheetId="2">#REF!</definedName>
    <definedName name="HCD_MISCPNLS_HRS" localSheetId="1">#REF!</definedName>
    <definedName name="HCD_MISCPNLS_HRS" localSheetId="0">#REF!</definedName>
    <definedName name="HCD_MISCPNLS_HRS" localSheetId="4">#REF!</definedName>
    <definedName name="HCD_MISCPNLS_HRS" localSheetId="3">#REF!</definedName>
    <definedName name="HCD_MISCPNLS_HRS" localSheetId="5">#REF!</definedName>
    <definedName name="HCD_MISCPNLS_HRS">#REF!</definedName>
    <definedName name="HCD_MISCPNLS_LAB" localSheetId="2">#REF!</definedName>
    <definedName name="HCD_MISCPNLS_LAB" localSheetId="1">#REF!</definedName>
    <definedName name="HCD_MISCPNLS_LAB" localSheetId="0">#REF!</definedName>
    <definedName name="HCD_MISCPNLS_LAB" localSheetId="4">#REF!</definedName>
    <definedName name="HCD_MISCPNLS_LAB" localSheetId="3">#REF!</definedName>
    <definedName name="HCD_MISCPNLS_LAB" localSheetId="5">#REF!</definedName>
    <definedName name="HCD_MISCPNLS_LAB">#REF!</definedName>
    <definedName name="HCD_MISCPNLS_MAT" localSheetId="2">#REF!</definedName>
    <definedName name="HCD_MISCPNLS_MAT" localSheetId="1">#REF!</definedName>
    <definedName name="HCD_MISCPNLS_MAT" localSheetId="0">#REF!</definedName>
    <definedName name="HCD_MISCPNLS_MAT" localSheetId="4">#REF!</definedName>
    <definedName name="HCD_MISCPNLS_MAT" localSheetId="3">#REF!</definedName>
    <definedName name="HCD_MISCPNLS_MAT" localSheetId="5">#REF!</definedName>
    <definedName name="HCD_MISCPNLS_MAT">#REF!</definedName>
    <definedName name="HCD_MISCPNLS_QTY" localSheetId="2">#REF!</definedName>
    <definedName name="HCD_MISCPNLS_QTY" localSheetId="1">#REF!</definedName>
    <definedName name="HCD_MISCPNLS_QTY" localSheetId="0">#REF!</definedName>
    <definedName name="HCD_MISCPNLS_QTY" localSheetId="4">#REF!</definedName>
    <definedName name="HCD_MISCPNLS_QTY" localSheetId="3">#REF!</definedName>
    <definedName name="HCD_MISCPNLS_QTY" localSheetId="5">#REF!</definedName>
    <definedName name="HCD_MISCPNLS_QTY">#REF!</definedName>
    <definedName name="HCD_MISCPNLS_SC" localSheetId="2">#REF!</definedName>
    <definedName name="HCD_MISCPNLS_SC" localSheetId="1">#REF!</definedName>
    <definedName name="HCD_MISCPNLS_SC" localSheetId="0">#REF!</definedName>
    <definedName name="HCD_MISCPNLS_SC" localSheetId="4">#REF!</definedName>
    <definedName name="HCD_MISCPNLS_SC" localSheetId="3">#REF!</definedName>
    <definedName name="HCD_MISCPNLS_SC" localSheetId="5">#REF!</definedName>
    <definedName name="HCD_MISCPNLS_SC">#REF!</definedName>
    <definedName name="HCD_MISCPNLS_SCHRS" localSheetId="2">#REF!</definedName>
    <definedName name="HCD_MISCPNLS_SCHRS" localSheetId="1">#REF!</definedName>
    <definedName name="HCD_MISCPNLS_SCHRS" localSheetId="0">#REF!</definedName>
    <definedName name="HCD_MISCPNLS_SCHRS" localSheetId="4">#REF!</definedName>
    <definedName name="HCD_MISCPNLS_SCHRS" localSheetId="3">#REF!</definedName>
    <definedName name="HCD_MISCPNLS_SCHRS" localSheetId="5">#REF!</definedName>
    <definedName name="HCD_MISCPNLS_SCHRS">#REF!</definedName>
    <definedName name="HCD_NMETCOND_HRS" localSheetId="2">#REF!</definedName>
    <definedName name="HCD_NMETCOND_HRS" localSheetId="1">#REF!</definedName>
    <definedName name="HCD_NMETCOND_HRS" localSheetId="0">#REF!</definedName>
    <definedName name="HCD_NMETCOND_HRS" localSheetId="4">#REF!</definedName>
    <definedName name="HCD_NMETCOND_HRS" localSheetId="3">#REF!</definedName>
    <definedName name="HCD_NMETCOND_HRS" localSheetId="5">#REF!</definedName>
    <definedName name="HCD_NMETCOND_HRS">#REF!</definedName>
    <definedName name="HCD_NMETCOND_LAB" localSheetId="2">#REF!</definedName>
    <definedName name="HCD_NMETCOND_LAB" localSheetId="1">#REF!</definedName>
    <definedName name="HCD_NMETCOND_LAB" localSheetId="0">#REF!</definedName>
    <definedName name="HCD_NMETCOND_LAB" localSheetId="4">#REF!</definedName>
    <definedName name="HCD_NMETCOND_LAB" localSheetId="3">#REF!</definedName>
    <definedName name="HCD_NMETCOND_LAB" localSheetId="5">#REF!</definedName>
    <definedName name="HCD_NMETCOND_LAB">#REF!</definedName>
    <definedName name="HCD_NMETCOND_MAT" localSheetId="2">#REF!</definedName>
    <definedName name="HCD_NMETCOND_MAT" localSheetId="1">#REF!</definedName>
    <definedName name="HCD_NMETCOND_MAT" localSheetId="0">#REF!</definedName>
    <definedName name="HCD_NMETCOND_MAT" localSheetId="4">#REF!</definedName>
    <definedName name="HCD_NMETCOND_MAT" localSheetId="3">#REF!</definedName>
    <definedName name="HCD_NMETCOND_MAT" localSheetId="5">#REF!</definedName>
    <definedName name="HCD_NMETCOND_MAT">#REF!</definedName>
    <definedName name="HCD_NMETCOND_QTY" localSheetId="2">#REF!</definedName>
    <definedName name="HCD_NMETCOND_QTY" localSheetId="1">#REF!</definedName>
    <definedName name="HCD_NMETCOND_QTY" localSheetId="0">#REF!</definedName>
    <definedName name="HCD_NMETCOND_QTY" localSheetId="4">#REF!</definedName>
    <definedName name="HCD_NMETCOND_QTY" localSheetId="3">#REF!</definedName>
    <definedName name="HCD_NMETCOND_QTY" localSheetId="5">#REF!</definedName>
    <definedName name="HCD_NMETCOND_QTY">#REF!</definedName>
    <definedName name="HCD_NMETCOND_SC" localSheetId="2">#REF!</definedName>
    <definedName name="HCD_NMETCOND_SC" localSheetId="1">#REF!</definedName>
    <definedName name="HCD_NMETCOND_SC" localSheetId="0">#REF!</definedName>
    <definedName name="HCD_NMETCOND_SC" localSheetId="4">#REF!</definedName>
    <definedName name="HCD_NMETCOND_SC" localSheetId="3">#REF!</definedName>
    <definedName name="HCD_NMETCOND_SC" localSheetId="5">#REF!</definedName>
    <definedName name="HCD_NMETCOND_SC">#REF!</definedName>
    <definedName name="HCD_NMETCOND_SCHRS" localSheetId="2">#REF!</definedName>
    <definedName name="HCD_NMETCOND_SCHRS" localSheetId="1">#REF!</definedName>
    <definedName name="HCD_NMETCOND_SCHRS" localSheetId="0">#REF!</definedName>
    <definedName name="HCD_NMETCOND_SCHRS" localSheetId="4">#REF!</definedName>
    <definedName name="HCD_NMETCOND_SCHRS" localSheetId="3">#REF!</definedName>
    <definedName name="HCD_NMETCOND_SCHRS" localSheetId="5">#REF!</definedName>
    <definedName name="HCD_NMETCOND_SCHRS">#REF!</definedName>
    <definedName name="HCD_OTDRFIXT_QTY" localSheetId="2">#REF!</definedName>
    <definedName name="HCD_OTDRFIXT_QTY" localSheetId="1">#REF!</definedName>
    <definedName name="HCD_OTDRFIXT_QTY" localSheetId="0">#REF!</definedName>
    <definedName name="HCD_OTDRFIXT_QTY" localSheetId="4">#REF!</definedName>
    <definedName name="HCD_OTDRFIXT_QTY" localSheetId="3">#REF!</definedName>
    <definedName name="HCD_OTDRFIXT_QTY" localSheetId="5">#REF!</definedName>
    <definedName name="HCD_OTDRFIXT_QTY">#REF!</definedName>
    <definedName name="HCD_OTHEREQ_HRS" localSheetId="2">#REF!</definedName>
    <definedName name="HCD_OTHEREQ_HRS" localSheetId="1">#REF!</definedName>
    <definedName name="HCD_OTHEREQ_HRS" localSheetId="0">#REF!</definedName>
    <definedName name="HCD_OTHEREQ_HRS" localSheetId="4">#REF!</definedName>
    <definedName name="HCD_OTHEREQ_HRS" localSheetId="3">#REF!</definedName>
    <definedName name="HCD_OTHEREQ_HRS" localSheetId="5">#REF!</definedName>
    <definedName name="HCD_OTHEREQ_HRS">#REF!</definedName>
    <definedName name="HCD_OTHEREQ_LAB" localSheetId="2">#REF!</definedName>
    <definedName name="HCD_OTHEREQ_LAB" localSheetId="1">#REF!</definedName>
    <definedName name="HCD_OTHEREQ_LAB" localSheetId="0">#REF!</definedName>
    <definedName name="HCD_OTHEREQ_LAB" localSheetId="4">#REF!</definedName>
    <definedName name="HCD_OTHEREQ_LAB" localSheetId="3">#REF!</definedName>
    <definedName name="HCD_OTHEREQ_LAB" localSheetId="5">#REF!</definedName>
    <definedName name="HCD_OTHEREQ_LAB">#REF!</definedName>
    <definedName name="HCD_OTHEREQ_MAT" localSheetId="2">#REF!</definedName>
    <definedName name="HCD_OTHEREQ_MAT" localSheetId="1">#REF!</definedName>
    <definedName name="HCD_OTHEREQ_MAT" localSheetId="0">#REF!</definedName>
    <definedName name="HCD_OTHEREQ_MAT" localSheetId="4">#REF!</definedName>
    <definedName name="HCD_OTHEREQ_MAT" localSheetId="3">#REF!</definedName>
    <definedName name="HCD_OTHEREQ_MAT" localSheetId="5">#REF!</definedName>
    <definedName name="HCD_OTHEREQ_MAT">#REF!</definedName>
    <definedName name="HCD_OTHEREQ_QTY" localSheetId="2">#REF!</definedName>
    <definedName name="HCD_OTHEREQ_QTY" localSheetId="1">#REF!</definedName>
    <definedName name="HCD_OTHEREQ_QTY" localSheetId="0">#REF!</definedName>
    <definedName name="HCD_OTHEREQ_QTY" localSheetId="4">#REF!</definedName>
    <definedName name="HCD_OTHEREQ_QTY" localSheetId="3">#REF!</definedName>
    <definedName name="HCD_OTHEREQ_QTY" localSheetId="5">#REF!</definedName>
    <definedName name="HCD_OTHEREQ_QTY">#REF!</definedName>
    <definedName name="HCD_OTHEREQ_SC" localSheetId="2">#REF!</definedName>
    <definedName name="HCD_OTHEREQ_SC" localSheetId="1">#REF!</definedName>
    <definedName name="HCD_OTHEREQ_SC" localSheetId="0">#REF!</definedName>
    <definedName name="HCD_OTHEREQ_SC" localSheetId="4">#REF!</definedName>
    <definedName name="HCD_OTHEREQ_SC" localSheetId="3">#REF!</definedName>
    <definedName name="HCD_OTHEREQ_SC" localSheetId="5">#REF!</definedName>
    <definedName name="HCD_OTHEREQ_SC">#REF!</definedName>
    <definedName name="HCD_OTHEREQ_SCHRS" localSheetId="2">#REF!</definedName>
    <definedName name="HCD_OTHEREQ_SCHRS" localSheetId="1">#REF!</definedName>
    <definedName name="HCD_OTHEREQ_SCHRS" localSheetId="0">#REF!</definedName>
    <definedName name="HCD_OTHEREQ_SCHRS" localSheetId="4">#REF!</definedName>
    <definedName name="HCD_OTHEREQ_SCHRS" localSheetId="3">#REF!</definedName>
    <definedName name="HCD_OTHEREQ_SCHRS" localSheetId="5">#REF!</definedName>
    <definedName name="HCD_OTHEREQ_SCHRS">#REF!</definedName>
    <definedName name="HCD_PNLS_QTY" localSheetId="2">#REF!</definedName>
    <definedName name="HCD_PNLS_QTY" localSheetId="1">#REF!</definedName>
    <definedName name="HCD_PNLS_QTY" localSheetId="0">#REF!</definedName>
    <definedName name="HCD_PNLS_QTY" localSheetId="4">#REF!</definedName>
    <definedName name="HCD_PNLS_QTY" localSheetId="3">#REF!</definedName>
    <definedName name="HCD_PNLS_QTY" localSheetId="5">#REF!</definedName>
    <definedName name="HCD_PNLS_QTY">#REF!</definedName>
    <definedName name="HCD_POLEFIXT_QTY" localSheetId="2">#REF!</definedName>
    <definedName name="HCD_POLEFIXT_QTY" localSheetId="1">#REF!</definedName>
    <definedName name="HCD_POLEFIXT_QTY" localSheetId="0">#REF!</definedName>
    <definedName name="HCD_POLEFIXT_QTY" localSheetId="4">#REF!</definedName>
    <definedName name="HCD_POLEFIXT_QTY" localSheetId="3">#REF!</definedName>
    <definedName name="HCD_POLEFIXT_QTY" localSheetId="5">#REF!</definedName>
    <definedName name="HCD_POLEFIXT_QTY">#REF!</definedName>
    <definedName name="HCD_RACKTRAY_QTY" localSheetId="2">#REF!</definedName>
    <definedName name="HCD_RACKTRAY_QTY" localSheetId="1">#REF!</definedName>
    <definedName name="HCD_RACKTRAY_QTY" localSheetId="0">#REF!</definedName>
    <definedName name="HCD_RACKTRAY_QTY" localSheetId="4">#REF!</definedName>
    <definedName name="HCD_RACKTRAY_QTY" localSheetId="3">#REF!</definedName>
    <definedName name="HCD_RACKTRAY_QTY" localSheetId="5">#REF!</definedName>
    <definedName name="HCD_RACKTRAY_QTY">#REF!</definedName>
    <definedName name="HCD_RECEPT_QTY" localSheetId="2">#REF!</definedName>
    <definedName name="HCD_RECEPT_QTY" localSheetId="1">#REF!</definedName>
    <definedName name="HCD_RECEPT_QTY" localSheetId="0">#REF!</definedName>
    <definedName name="HCD_RECEPT_QTY" localSheetId="4">#REF!</definedName>
    <definedName name="HCD_RECEPT_QTY" localSheetId="3">#REF!</definedName>
    <definedName name="HCD_RECEPT_QTY" localSheetId="5">#REF!</definedName>
    <definedName name="HCD_RECEPT_QTY">#REF!</definedName>
    <definedName name="HCD_SCHCOND_HRS" localSheetId="2">#REF!</definedName>
    <definedName name="HCD_SCHCOND_HRS" localSheetId="1">#REF!</definedName>
    <definedName name="HCD_SCHCOND_HRS" localSheetId="0">#REF!</definedName>
    <definedName name="HCD_SCHCOND_HRS" localSheetId="4">#REF!</definedName>
    <definedName name="HCD_SCHCOND_HRS" localSheetId="3">#REF!</definedName>
    <definedName name="HCD_SCHCOND_HRS" localSheetId="5">#REF!</definedName>
    <definedName name="HCD_SCHCOND_HRS">#REF!</definedName>
    <definedName name="HCD_SCHCOND_LAB" localSheetId="2">#REF!</definedName>
    <definedName name="HCD_SCHCOND_LAB" localSheetId="1">#REF!</definedName>
    <definedName name="HCD_SCHCOND_LAB" localSheetId="0">#REF!</definedName>
    <definedName name="HCD_SCHCOND_LAB" localSheetId="4">#REF!</definedName>
    <definedName name="HCD_SCHCOND_LAB" localSheetId="3">#REF!</definedName>
    <definedName name="HCD_SCHCOND_LAB" localSheetId="5">#REF!</definedName>
    <definedName name="HCD_SCHCOND_LAB">#REF!</definedName>
    <definedName name="HCD_SCHCOND_MAT" localSheetId="2">#REF!</definedName>
    <definedName name="HCD_SCHCOND_MAT" localSheetId="1">#REF!</definedName>
    <definedName name="HCD_SCHCOND_MAT" localSheetId="0">#REF!</definedName>
    <definedName name="HCD_SCHCOND_MAT" localSheetId="4">#REF!</definedName>
    <definedName name="HCD_SCHCOND_MAT" localSheetId="3">#REF!</definedName>
    <definedName name="HCD_SCHCOND_MAT" localSheetId="5">#REF!</definedName>
    <definedName name="HCD_SCHCOND_MAT">#REF!</definedName>
    <definedName name="HCD_SCHCOND_SC" localSheetId="2">#REF!</definedName>
    <definedName name="HCD_SCHCOND_SC" localSheetId="1">#REF!</definedName>
    <definedName name="HCD_SCHCOND_SC" localSheetId="0">#REF!</definedName>
    <definedName name="HCD_SCHCOND_SC" localSheetId="4">#REF!</definedName>
    <definedName name="HCD_SCHCOND_SC" localSheetId="3">#REF!</definedName>
    <definedName name="HCD_SCHCOND_SC" localSheetId="5">#REF!</definedName>
    <definedName name="HCD_SCHCOND_SC">#REF!</definedName>
    <definedName name="HCD_SCHCOND_SCHRS" localSheetId="2">#REF!</definedName>
    <definedName name="HCD_SCHCOND_SCHRS" localSheetId="1">#REF!</definedName>
    <definedName name="HCD_SCHCOND_SCHRS" localSheetId="0">#REF!</definedName>
    <definedName name="HCD_SCHCOND_SCHRS" localSheetId="4">#REF!</definedName>
    <definedName name="HCD_SCHCOND_SCHRS" localSheetId="3">#REF!</definedName>
    <definedName name="HCD_SCHCOND_SCHRS" localSheetId="5">#REF!</definedName>
    <definedName name="HCD_SCHCOND_SCHRS">#REF!</definedName>
    <definedName name="HCD_SWGR_HRS" localSheetId="2">#REF!</definedName>
    <definedName name="HCD_SWGR_HRS" localSheetId="1">#REF!</definedName>
    <definedName name="HCD_SWGR_HRS" localSheetId="0">#REF!</definedName>
    <definedName name="HCD_SWGR_HRS" localSheetId="4">#REF!</definedName>
    <definedName name="HCD_SWGR_HRS" localSheetId="3">#REF!</definedName>
    <definedName name="HCD_SWGR_HRS" localSheetId="5">#REF!</definedName>
    <definedName name="HCD_SWGR_HRS">#REF!</definedName>
    <definedName name="HCD_SWGR_LAB" localSheetId="2">#REF!</definedName>
    <definedName name="HCD_SWGR_LAB" localSheetId="1">#REF!</definedName>
    <definedName name="HCD_SWGR_LAB" localSheetId="0">#REF!</definedName>
    <definedName name="HCD_SWGR_LAB" localSheetId="4">#REF!</definedName>
    <definedName name="HCD_SWGR_LAB" localSheetId="3">#REF!</definedName>
    <definedName name="HCD_SWGR_LAB" localSheetId="5">#REF!</definedName>
    <definedName name="HCD_SWGR_LAB">#REF!</definedName>
    <definedName name="HCD_SWGR_MAT" localSheetId="2">#REF!</definedName>
    <definedName name="HCD_SWGR_MAT" localSheetId="1">#REF!</definedName>
    <definedName name="HCD_SWGR_MAT" localSheetId="0">#REF!</definedName>
    <definedName name="HCD_SWGR_MAT" localSheetId="4">#REF!</definedName>
    <definedName name="HCD_SWGR_MAT" localSheetId="3">#REF!</definedName>
    <definedName name="HCD_SWGR_MAT" localSheetId="5">#REF!</definedName>
    <definedName name="HCD_SWGR_MAT">#REF!</definedName>
    <definedName name="HCD_SWGR_QTY" localSheetId="2">#REF!</definedName>
    <definedName name="HCD_SWGR_QTY" localSheetId="1">#REF!</definedName>
    <definedName name="HCD_SWGR_QTY" localSheetId="0">#REF!</definedName>
    <definedName name="HCD_SWGR_QTY" localSheetId="4">#REF!</definedName>
    <definedName name="HCD_SWGR_QTY" localSheetId="3">#REF!</definedName>
    <definedName name="HCD_SWGR_QTY" localSheetId="5">#REF!</definedName>
    <definedName name="HCD_SWGR_QTY">#REF!</definedName>
    <definedName name="HCD_SWGR_SC" localSheetId="2">#REF!</definedName>
    <definedName name="HCD_SWGR_SC" localSheetId="1">#REF!</definedName>
    <definedName name="HCD_SWGR_SC" localSheetId="0">#REF!</definedName>
    <definedName name="HCD_SWGR_SC" localSheetId="4">#REF!</definedName>
    <definedName name="HCD_SWGR_SC" localSheetId="3">#REF!</definedName>
    <definedName name="HCD_SWGR_SC" localSheetId="5">#REF!</definedName>
    <definedName name="HCD_SWGR_SC">#REF!</definedName>
    <definedName name="HCD_SWGR_SCHRS" localSheetId="2">#REF!</definedName>
    <definedName name="HCD_SWGR_SCHRS" localSheetId="1">#REF!</definedName>
    <definedName name="HCD_SWGR_SCHRS" localSheetId="0">#REF!</definedName>
    <definedName name="HCD_SWGR_SCHRS" localSheetId="4">#REF!</definedName>
    <definedName name="HCD_SWGR_SCHRS" localSheetId="3">#REF!</definedName>
    <definedName name="HCD_SWGR_SCHRS" localSheetId="5">#REF!</definedName>
    <definedName name="HCD_SWGR_SCHRS">#REF!</definedName>
    <definedName name="HCD_SWYD_HRS" localSheetId="2">#REF!</definedName>
    <definedName name="HCD_SWYD_HRS" localSheetId="1">#REF!</definedName>
    <definedName name="HCD_SWYD_HRS" localSheetId="0">#REF!</definedName>
    <definedName name="HCD_SWYD_HRS" localSheetId="4">#REF!</definedName>
    <definedName name="HCD_SWYD_HRS" localSheetId="3">#REF!</definedName>
    <definedName name="HCD_SWYD_HRS" localSheetId="5">#REF!</definedName>
    <definedName name="HCD_SWYD_HRS">#REF!</definedName>
    <definedName name="HCD_SWYD_LAB" localSheetId="2">#REF!</definedName>
    <definedName name="HCD_SWYD_LAB" localSheetId="1">#REF!</definedName>
    <definedName name="HCD_SWYD_LAB" localSheetId="0">#REF!</definedName>
    <definedName name="HCD_SWYD_LAB" localSheetId="4">#REF!</definedName>
    <definedName name="HCD_SWYD_LAB" localSheetId="3">#REF!</definedName>
    <definedName name="HCD_SWYD_LAB" localSheetId="5">#REF!</definedName>
    <definedName name="HCD_SWYD_LAB">#REF!</definedName>
    <definedName name="HCD_SWYD_MAT" localSheetId="2">#REF!</definedName>
    <definedName name="HCD_SWYD_MAT" localSheetId="1">#REF!</definedName>
    <definedName name="HCD_SWYD_MAT" localSheetId="0">#REF!</definedName>
    <definedName name="HCD_SWYD_MAT" localSheetId="4">#REF!</definedName>
    <definedName name="HCD_SWYD_MAT" localSheetId="3">#REF!</definedName>
    <definedName name="HCD_SWYD_MAT" localSheetId="5">#REF!</definedName>
    <definedName name="HCD_SWYD_MAT">#REF!</definedName>
    <definedName name="HCD_SWYD_QTY" localSheetId="2">#REF!</definedName>
    <definedName name="HCD_SWYD_QTY" localSheetId="1">#REF!</definedName>
    <definedName name="HCD_SWYD_QTY" localSheetId="0">#REF!</definedName>
    <definedName name="HCD_SWYD_QTY" localSheetId="4">#REF!</definedName>
    <definedName name="HCD_SWYD_QTY" localSheetId="3">#REF!</definedName>
    <definedName name="HCD_SWYD_QTY" localSheetId="5">#REF!</definedName>
    <definedName name="HCD_SWYD_QTY">#REF!</definedName>
    <definedName name="HCD_SWYD_SC" localSheetId="2">#REF!</definedName>
    <definedName name="HCD_SWYD_SC" localSheetId="1">#REF!</definedName>
    <definedName name="HCD_SWYD_SC" localSheetId="0">#REF!</definedName>
    <definedName name="HCD_SWYD_SC" localSheetId="4">#REF!</definedName>
    <definedName name="HCD_SWYD_SC" localSheetId="3">#REF!</definedName>
    <definedName name="HCD_SWYD_SC" localSheetId="5">#REF!</definedName>
    <definedName name="HCD_SWYD_SC">#REF!</definedName>
    <definedName name="HCD_SWYD_SCHRS" localSheetId="2">#REF!</definedName>
    <definedName name="HCD_SWYD_SCHRS" localSheetId="1">#REF!</definedName>
    <definedName name="HCD_SWYD_SCHRS" localSheetId="0">#REF!</definedName>
    <definedName name="HCD_SWYD_SCHRS" localSheetId="4">#REF!</definedName>
    <definedName name="HCD_SWYD_SCHRS" localSheetId="3">#REF!</definedName>
    <definedName name="HCD_SWYD_SCHRS" localSheetId="5">#REF!</definedName>
    <definedName name="HCD_SWYD_SCHRS">#REF!</definedName>
    <definedName name="HCD_TL_HRS" localSheetId="2">#REF!</definedName>
    <definedName name="HCD_TL_HRS" localSheetId="1">#REF!</definedName>
    <definedName name="HCD_TL_HRS" localSheetId="0">#REF!</definedName>
    <definedName name="HCD_TL_HRS" localSheetId="4">#REF!</definedName>
    <definedName name="HCD_TL_HRS" localSheetId="3">#REF!</definedName>
    <definedName name="HCD_TL_HRS" localSheetId="5">#REF!</definedName>
    <definedName name="HCD_TL_HRS">#REF!</definedName>
    <definedName name="HCD_TL_LAB" localSheetId="2">#REF!</definedName>
    <definedName name="HCD_TL_LAB" localSheetId="1">#REF!</definedName>
    <definedName name="HCD_TL_LAB" localSheetId="0">#REF!</definedName>
    <definedName name="HCD_TL_LAB" localSheetId="4">#REF!</definedName>
    <definedName name="HCD_TL_LAB" localSheetId="3">#REF!</definedName>
    <definedName name="HCD_TL_LAB" localSheetId="5">#REF!</definedName>
    <definedName name="HCD_TL_LAB">#REF!</definedName>
    <definedName name="HCD_TL_MAT" localSheetId="2">#REF!</definedName>
    <definedName name="HCD_TL_MAT" localSheetId="1">#REF!</definedName>
    <definedName name="HCD_TL_MAT" localSheetId="0">#REF!</definedName>
    <definedName name="HCD_TL_MAT" localSheetId="4">#REF!</definedName>
    <definedName name="HCD_TL_MAT" localSheetId="3">#REF!</definedName>
    <definedName name="HCD_TL_MAT" localSheetId="5">#REF!</definedName>
    <definedName name="HCD_TL_MAT">#REF!</definedName>
    <definedName name="HCD_TL_QTY" localSheetId="2">#REF!</definedName>
    <definedName name="HCD_TL_QTY" localSheetId="1">#REF!</definedName>
    <definedName name="HCD_TL_QTY" localSheetId="0">#REF!</definedName>
    <definedName name="HCD_TL_QTY" localSheetId="4">#REF!</definedName>
    <definedName name="HCD_TL_QTY" localSheetId="3">#REF!</definedName>
    <definedName name="HCD_TL_QTY" localSheetId="5">#REF!</definedName>
    <definedName name="HCD_TL_QTY">#REF!</definedName>
    <definedName name="HCD_TL_SC" localSheetId="2">#REF!</definedName>
    <definedName name="HCD_TL_SC" localSheetId="1">#REF!</definedName>
    <definedName name="HCD_TL_SC" localSheetId="0">#REF!</definedName>
    <definedName name="HCD_TL_SC" localSheetId="4">#REF!</definedName>
    <definedName name="HCD_TL_SC" localSheetId="3">#REF!</definedName>
    <definedName name="HCD_TL_SC" localSheetId="5">#REF!</definedName>
    <definedName name="HCD_TL_SC">#REF!</definedName>
    <definedName name="HCD_TL_SCHRS" localSheetId="2">#REF!</definedName>
    <definedName name="HCD_TL_SCHRS" localSheetId="1">#REF!</definedName>
    <definedName name="HCD_TL_SCHRS" localSheetId="0">#REF!</definedName>
    <definedName name="HCD_TL_SCHRS" localSheetId="4">#REF!</definedName>
    <definedName name="HCD_TL_SCHRS" localSheetId="3">#REF!</definedName>
    <definedName name="HCD_TL_SCHRS" localSheetId="5">#REF!</definedName>
    <definedName name="HCD_TL_SCHRS">#REF!</definedName>
    <definedName name="HCD_TRAY_HRS" localSheetId="2">#REF!</definedName>
    <definedName name="HCD_TRAY_HRS" localSheetId="1">#REF!</definedName>
    <definedName name="HCD_TRAY_HRS" localSheetId="0">#REF!</definedName>
    <definedName name="HCD_TRAY_HRS" localSheetId="4">#REF!</definedName>
    <definedName name="HCD_TRAY_HRS" localSheetId="3">#REF!</definedName>
    <definedName name="HCD_TRAY_HRS" localSheetId="5">#REF!</definedName>
    <definedName name="HCD_TRAY_HRS">#REF!</definedName>
    <definedName name="HCD_TRAY_LAB" localSheetId="2">#REF!</definedName>
    <definedName name="HCD_TRAY_LAB" localSheetId="1">#REF!</definedName>
    <definedName name="HCD_TRAY_LAB" localSheetId="0">#REF!</definedName>
    <definedName name="HCD_TRAY_LAB" localSheetId="4">#REF!</definedName>
    <definedName name="HCD_TRAY_LAB" localSheetId="3">#REF!</definedName>
    <definedName name="HCD_TRAY_LAB" localSheetId="5">#REF!</definedName>
    <definedName name="HCD_TRAY_LAB">#REF!</definedName>
    <definedName name="HCD_TRAY_MAT" localSheetId="2">#REF!</definedName>
    <definedName name="HCD_TRAY_MAT" localSheetId="1">#REF!</definedName>
    <definedName name="HCD_TRAY_MAT" localSheetId="0">#REF!</definedName>
    <definedName name="HCD_TRAY_MAT" localSheetId="4">#REF!</definedName>
    <definedName name="HCD_TRAY_MAT" localSheetId="3">#REF!</definedName>
    <definedName name="HCD_TRAY_MAT" localSheetId="5">#REF!</definedName>
    <definedName name="HCD_TRAY_MAT">#REF!</definedName>
    <definedName name="HCD_TRAY_QTY" localSheetId="2">#REF!</definedName>
    <definedName name="HCD_TRAY_QTY" localSheetId="1">#REF!</definedName>
    <definedName name="HCD_TRAY_QTY" localSheetId="0">#REF!</definedName>
    <definedName name="HCD_TRAY_QTY" localSheetId="4">#REF!</definedName>
    <definedName name="HCD_TRAY_QTY" localSheetId="3">#REF!</definedName>
    <definedName name="HCD_TRAY_QTY" localSheetId="5">#REF!</definedName>
    <definedName name="HCD_TRAY_QTY">#REF!</definedName>
    <definedName name="HCD_TRAY_SC" localSheetId="2">#REF!</definedName>
    <definedName name="HCD_TRAY_SC" localSheetId="1">#REF!</definedName>
    <definedName name="HCD_TRAY_SC" localSheetId="0">#REF!</definedName>
    <definedName name="HCD_TRAY_SC" localSheetId="4">#REF!</definedName>
    <definedName name="HCD_TRAY_SC" localSheetId="3">#REF!</definedName>
    <definedName name="HCD_TRAY_SC" localSheetId="5">#REF!</definedName>
    <definedName name="HCD_TRAY_SC">#REF!</definedName>
    <definedName name="HCD_TRAY_SCHRS" localSheetId="2">#REF!</definedName>
    <definedName name="HCD_TRAY_SCHRS" localSheetId="1">#REF!</definedName>
    <definedName name="HCD_TRAY_SCHRS" localSheetId="0">#REF!</definedName>
    <definedName name="HCD_TRAY_SCHRS" localSheetId="4">#REF!</definedName>
    <definedName name="HCD_TRAY_SCHRS" localSheetId="3">#REF!</definedName>
    <definedName name="HCD_TRAY_SCHRS" localSheetId="5">#REF!</definedName>
    <definedName name="HCD_TRAY_SCHRS">#REF!</definedName>
    <definedName name="HCD_UNSCHCBL_HRS" localSheetId="2">#REF!</definedName>
    <definedName name="HCD_UNSCHCBL_HRS" localSheetId="1">#REF!</definedName>
    <definedName name="HCD_UNSCHCBL_HRS" localSheetId="0">#REF!</definedName>
    <definedName name="HCD_UNSCHCBL_HRS" localSheetId="4">#REF!</definedName>
    <definedName name="HCD_UNSCHCBL_HRS" localSheetId="3">#REF!</definedName>
    <definedName name="HCD_UNSCHCBL_HRS" localSheetId="5">#REF!</definedName>
    <definedName name="HCD_UNSCHCBL_HRS">#REF!</definedName>
    <definedName name="HCD_UNSCHCBL_LAB" localSheetId="2">#REF!</definedName>
    <definedName name="HCD_UNSCHCBL_LAB" localSheetId="1">#REF!</definedName>
    <definedName name="HCD_UNSCHCBL_LAB" localSheetId="0">#REF!</definedName>
    <definedName name="HCD_UNSCHCBL_LAB" localSheetId="4">#REF!</definedName>
    <definedName name="HCD_UNSCHCBL_LAB" localSheetId="3">#REF!</definedName>
    <definedName name="HCD_UNSCHCBL_LAB" localSheetId="5">#REF!</definedName>
    <definedName name="HCD_UNSCHCBL_LAB">#REF!</definedName>
    <definedName name="HCD_UNSCHCBL_MAT" localSheetId="2">#REF!</definedName>
    <definedName name="HCD_UNSCHCBL_MAT" localSheetId="1">#REF!</definedName>
    <definedName name="HCD_UNSCHCBL_MAT" localSheetId="0">#REF!</definedName>
    <definedName name="HCD_UNSCHCBL_MAT" localSheetId="4">#REF!</definedName>
    <definedName name="HCD_UNSCHCBL_MAT" localSheetId="3">#REF!</definedName>
    <definedName name="HCD_UNSCHCBL_MAT" localSheetId="5">#REF!</definedName>
    <definedName name="HCD_UNSCHCBL_MAT">#REF!</definedName>
    <definedName name="HCD_UNSCHCBL_QTY" localSheetId="2">#REF!</definedName>
    <definedName name="HCD_UNSCHCBL_QTY" localSheetId="1">#REF!</definedName>
    <definedName name="HCD_UNSCHCBL_QTY" localSheetId="0">#REF!</definedName>
    <definedName name="HCD_UNSCHCBL_QTY" localSheetId="4">#REF!</definedName>
    <definedName name="HCD_UNSCHCBL_QTY" localSheetId="3">#REF!</definedName>
    <definedName name="HCD_UNSCHCBL_QTY" localSheetId="5">#REF!</definedName>
    <definedName name="HCD_UNSCHCBL_QTY">#REF!</definedName>
    <definedName name="HCD_UNSCHCBL_SC" localSheetId="2">#REF!</definedName>
    <definedName name="HCD_UNSCHCBL_SC" localSheetId="1">#REF!</definedName>
    <definedName name="HCD_UNSCHCBL_SC" localSheetId="0">#REF!</definedName>
    <definedName name="HCD_UNSCHCBL_SC" localSheetId="4">#REF!</definedName>
    <definedName name="HCD_UNSCHCBL_SC" localSheetId="3">#REF!</definedName>
    <definedName name="HCD_UNSCHCBL_SC" localSheetId="5">#REF!</definedName>
    <definedName name="HCD_UNSCHCBL_SC">#REF!</definedName>
    <definedName name="HCD_UNSCHCBL_SCHRS" localSheetId="2">#REF!</definedName>
    <definedName name="HCD_UNSCHCBL_SCHRS" localSheetId="1">#REF!</definedName>
    <definedName name="HCD_UNSCHCBL_SCHRS" localSheetId="0">#REF!</definedName>
    <definedName name="HCD_UNSCHCBL_SCHRS" localSheetId="4">#REF!</definedName>
    <definedName name="HCD_UNSCHCBL_SCHRS" localSheetId="3">#REF!</definedName>
    <definedName name="HCD_UNSCHCBL_SCHRS" localSheetId="5">#REF!</definedName>
    <definedName name="HCD_UNSCHCBL_SCHRS">#REF!</definedName>
    <definedName name="HCD_UNSCHCOND_HRS" localSheetId="2">#REF!</definedName>
    <definedName name="HCD_UNSCHCOND_HRS" localSheetId="1">#REF!</definedName>
    <definedName name="HCD_UNSCHCOND_HRS" localSheetId="0">#REF!</definedName>
    <definedName name="HCD_UNSCHCOND_HRS" localSheetId="4">#REF!</definedName>
    <definedName name="HCD_UNSCHCOND_HRS" localSheetId="3">#REF!</definedName>
    <definedName name="HCD_UNSCHCOND_HRS" localSheetId="5">#REF!</definedName>
    <definedName name="HCD_UNSCHCOND_HRS">#REF!</definedName>
    <definedName name="HCD_UNSCHCOND_LAB" localSheetId="2">#REF!</definedName>
    <definedName name="HCD_UNSCHCOND_LAB" localSheetId="1">#REF!</definedName>
    <definedName name="HCD_UNSCHCOND_LAB" localSheetId="0">#REF!</definedName>
    <definedName name="HCD_UNSCHCOND_LAB" localSheetId="4">#REF!</definedName>
    <definedName name="HCD_UNSCHCOND_LAB" localSheetId="3">#REF!</definedName>
    <definedName name="HCD_UNSCHCOND_LAB" localSheetId="5">#REF!</definedName>
    <definedName name="HCD_UNSCHCOND_LAB">#REF!</definedName>
    <definedName name="HCD_UNSCHCOND_MAT" localSheetId="2">#REF!</definedName>
    <definedName name="HCD_UNSCHCOND_MAT" localSheetId="1">#REF!</definedName>
    <definedName name="HCD_UNSCHCOND_MAT" localSheetId="0">#REF!</definedName>
    <definedName name="HCD_UNSCHCOND_MAT" localSheetId="4">#REF!</definedName>
    <definedName name="HCD_UNSCHCOND_MAT" localSheetId="3">#REF!</definedName>
    <definedName name="HCD_UNSCHCOND_MAT" localSheetId="5">#REF!</definedName>
    <definedName name="HCD_UNSCHCOND_MAT">#REF!</definedName>
    <definedName name="HCD_UNSCHCOND_QTY" localSheetId="2">#REF!</definedName>
    <definedName name="HCD_UNSCHCOND_QTY" localSheetId="1">#REF!</definedName>
    <definedName name="HCD_UNSCHCOND_QTY" localSheetId="0">#REF!</definedName>
    <definedName name="HCD_UNSCHCOND_QTY" localSheetId="4">#REF!</definedName>
    <definedName name="HCD_UNSCHCOND_QTY" localSheetId="3">#REF!</definedName>
    <definedName name="HCD_UNSCHCOND_QTY" localSheetId="5">#REF!</definedName>
    <definedName name="HCD_UNSCHCOND_QTY">#REF!</definedName>
    <definedName name="HCD_UNSCHCOND_SC" localSheetId="2">#REF!</definedName>
    <definedName name="HCD_UNSCHCOND_SC" localSheetId="1">#REF!</definedName>
    <definedName name="HCD_UNSCHCOND_SC" localSheetId="0">#REF!</definedName>
    <definedName name="HCD_UNSCHCOND_SC" localSheetId="4">#REF!</definedName>
    <definedName name="HCD_UNSCHCOND_SC" localSheetId="3">#REF!</definedName>
    <definedName name="HCD_UNSCHCOND_SC" localSheetId="5">#REF!</definedName>
    <definedName name="HCD_UNSCHCOND_SC">#REF!</definedName>
    <definedName name="HCD_UNSCHCOND_SCHRS" localSheetId="2">#REF!</definedName>
    <definedName name="HCD_UNSCHCOND_SCHRS" localSheetId="1">#REF!</definedName>
    <definedName name="HCD_UNSCHCOND_SCHRS" localSheetId="0">#REF!</definedName>
    <definedName name="HCD_UNSCHCOND_SCHRS" localSheetId="4">#REF!</definedName>
    <definedName name="HCD_UNSCHCOND_SCHRS" localSheetId="3">#REF!</definedName>
    <definedName name="HCD_UNSCHCOND_SCHRS" localSheetId="5">#REF!</definedName>
    <definedName name="HCD_UNSCHCOND_SCHRS">#REF!</definedName>
    <definedName name="HCD_XFMR_HRS" localSheetId="2">#REF!</definedName>
    <definedName name="HCD_XFMR_HRS" localSheetId="1">#REF!</definedName>
    <definedName name="HCD_XFMR_HRS" localSheetId="0">#REF!</definedName>
    <definedName name="HCD_XFMR_HRS" localSheetId="4">#REF!</definedName>
    <definedName name="HCD_XFMR_HRS" localSheetId="3">#REF!</definedName>
    <definedName name="HCD_XFMR_HRS" localSheetId="5">#REF!</definedName>
    <definedName name="HCD_XFMR_HRS">#REF!</definedName>
    <definedName name="HCD_XFMR_LAB" localSheetId="2">#REF!</definedName>
    <definedName name="HCD_XFMR_LAB" localSheetId="1">#REF!</definedName>
    <definedName name="HCD_XFMR_LAB" localSheetId="0">#REF!</definedName>
    <definedName name="HCD_XFMR_LAB" localSheetId="4">#REF!</definedName>
    <definedName name="HCD_XFMR_LAB" localSheetId="3">#REF!</definedName>
    <definedName name="HCD_XFMR_LAB" localSheetId="5">#REF!</definedName>
    <definedName name="HCD_XFMR_LAB">#REF!</definedName>
    <definedName name="HCD_XFMR_MAT" localSheetId="2">#REF!</definedName>
    <definedName name="HCD_XFMR_MAT" localSheetId="1">#REF!</definedName>
    <definedName name="HCD_XFMR_MAT" localSheetId="0">#REF!</definedName>
    <definedName name="HCD_XFMR_MAT" localSheetId="4">#REF!</definedName>
    <definedName name="HCD_XFMR_MAT" localSheetId="3">#REF!</definedName>
    <definedName name="HCD_XFMR_MAT" localSheetId="5">#REF!</definedName>
    <definedName name="HCD_XFMR_MAT">#REF!</definedName>
    <definedName name="HCD_XFMR_QTY" localSheetId="2">#REF!</definedName>
    <definedName name="HCD_XFMR_QTY" localSheetId="1">#REF!</definedName>
    <definedName name="HCD_XFMR_QTY" localSheetId="0">#REF!</definedName>
    <definedName name="HCD_XFMR_QTY" localSheetId="4">#REF!</definedName>
    <definedName name="HCD_XFMR_QTY" localSheetId="3">#REF!</definedName>
    <definedName name="HCD_XFMR_QTY" localSheetId="5">#REF!</definedName>
    <definedName name="HCD_XFMR_QTY">#REF!</definedName>
    <definedName name="HCD_XFMR_SC" localSheetId="2">#REF!</definedName>
    <definedName name="HCD_XFMR_SC" localSheetId="1">#REF!</definedName>
    <definedName name="HCD_XFMR_SC" localSheetId="0">#REF!</definedName>
    <definedName name="HCD_XFMR_SC" localSheetId="4">#REF!</definedName>
    <definedName name="HCD_XFMR_SC" localSheetId="3">#REF!</definedName>
    <definedName name="HCD_XFMR_SC" localSheetId="5">#REF!</definedName>
    <definedName name="HCD_XFMR_SC">#REF!</definedName>
    <definedName name="HCD_XFMR_SCHRS" localSheetId="2">#REF!</definedName>
    <definedName name="HCD_XFMR_SCHRS" localSheetId="1">#REF!</definedName>
    <definedName name="HCD_XFMR_SCHRS" localSheetId="0">#REF!</definedName>
    <definedName name="HCD_XFMR_SCHRS" localSheetId="4">#REF!</definedName>
    <definedName name="HCD_XFMR_SCHRS" localSheetId="3">#REF!</definedName>
    <definedName name="HCD_XFMR_SCHRS" localSheetId="5">#REF!</definedName>
    <definedName name="HCD_XFMR_SCHRS">#REF!</definedName>
    <definedName name="HCDNMETCOND_HRS" localSheetId="2">#REF!</definedName>
    <definedName name="HCDNMETCOND_HRS" localSheetId="1">#REF!</definedName>
    <definedName name="HCDNMETCOND_HRS" localSheetId="0">#REF!</definedName>
    <definedName name="HCDNMETCOND_HRS" localSheetId="4">#REF!</definedName>
    <definedName name="HCDNMETCOND_HRS" localSheetId="3">#REF!</definedName>
    <definedName name="HCDNMETCOND_HRS" localSheetId="5">#REF!</definedName>
    <definedName name="HCDNMETCOND_HRS">#REF!</definedName>
    <definedName name="HCDNMETCOND_LAB" localSheetId="2">#REF!</definedName>
    <definedName name="HCDNMETCOND_LAB" localSheetId="1">#REF!</definedName>
    <definedName name="HCDNMETCOND_LAB" localSheetId="0">#REF!</definedName>
    <definedName name="HCDNMETCOND_LAB" localSheetId="4">#REF!</definedName>
    <definedName name="HCDNMETCOND_LAB" localSheetId="3">#REF!</definedName>
    <definedName name="HCDNMETCOND_LAB" localSheetId="5">#REF!</definedName>
    <definedName name="HCDNMETCOND_LAB">#REF!</definedName>
    <definedName name="HCDNMETCOND_MAT" localSheetId="2">#REF!</definedName>
    <definedName name="HCDNMETCOND_MAT" localSheetId="1">#REF!</definedName>
    <definedName name="HCDNMETCOND_MAT" localSheetId="0">#REF!</definedName>
    <definedName name="HCDNMETCOND_MAT" localSheetId="4">#REF!</definedName>
    <definedName name="HCDNMETCOND_MAT" localSheetId="3">#REF!</definedName>
    <definedName name="HCDNMETCOND_MAT" localSheetId="5">#REF!</definedName>
    <definedName name="HCDNMETCOND_MAT">#REF!</definedName>
    <definedName name="HCDNMETCOND_SC" localSheetId="2">#REF!</definedName>
    <definedName name="HCDNMETCOND_SC" localSheetId="1">#REF!</definedName>
    <definedName name="HCDNMETCOND_SC" localSheetId="0">#REF!</definedName>
    <definedName name="HCDNMETCOND_SC" localSheetId="4">#REF!</definedName>
    <definedName name="HCDNMETCOND_SC" localSheetId="3">#REF!</definedName>
    <definedName name="HCDNMETCOND_SC" localSheetId="5">#REF!</definedName>
    <definedName name="HCDNMETCOND_SC">#REF!</definedName>
    <definedName name="HEAD" localSheetId="4">#REF!</definedName>
    <definedName name="HEAD" localSheetId="3">#REF!</definedName>
    <definedName name="HEAD" localSheetId="5">#REF!</definedName>
    <definedName name="HEAD">#REF!</definedName>
    <definedName name="head1" localSheetId="4">#REF!</definedName>
    <definedName name="head1" localSheetId="3">#REF!</definedName>
    <definedName name="head1" localSheetId="5">#REF!</definedName>
    <definedName name="head1">#REF!</definedName>
    <definedName name="HEADA" localSheetId="2">#REF!</definedName>
    <definedName name="HEADA" localSheetId="1">#REF!</definedName>
    <definedName name="HEADA" localSheetId="0">#REF!</definedName>
    <definedName name="HEADA" localSheetId="4">#REF!</definedName>
    <definedName name="HEADA" localSheetId="3">#REF!</definedName>
    <definedName name="HEADA" localSheetId="5">#REF!</definedName>
    <definedName name="HEADA">#REF!</definedName>
    <definedName name="HEADC" localSheetId="2">#REF!</definedName>
    <definedName name="HEADC" localSheetId="1">#REF!</definedName>
    <definedName name="HEADC" localSheetId="0">#REF!</definedName>
    <definedName name="HEADC" localSheetId="4">#REF!</definedName>
    <definedName name="HEADC" localSheetId="3">#REF!</definedName>
    <definedName name="HEADC" localSheetId="5">#REF!</definedName>
    <definedName name="HEADC">#REF!</definedName>
    <definedName name="HEADD" localSheetId="2">#REF!</definedName>
    <definedName name="HEADD" localSheetId="1">#REF!</definedName>
    <definedName name="HEADD" localSheetId="0">#REF!</definedName>
    <definedName name="HEADD" localSheetId="4">#REF!</definedName>
    <definedName name="HEADD" localSheetId="3">#REF!</definedName>
    <definedName name="HEADD" localSheetId="5">#REF!</definedName>
    <definedName name="HEADD">#REF!</definedName>
    <definedName name="HEADE" localSheetId="2">#REF!</definedName>
    <definedName name="HEADE" localSheetId="1">#REF!</definedName>
    <definedName name="HEADE" localSheetId="0">#REF!</definedName>
    <definedName name="HEADE" localSheetId="4">#REF!</definedName>
    <definedName name="HEADE" localSheetId="3">#REF!</definedName>
    <definedName name="HEADE" localSheetId="5">#REF!</definedName>
    <definedName name="HEADE">#REF!</definedName>
    <definedName name="HEADER" localSheetId="2">#REF!</definedName>
    <definedName name="HEADER" localSheetId="1">#REF!</definedName>
    <definedName name="HEADER" localSheetId="0">#REF!</definedName>
    <definedName name="HEADER" localSheetId="4">#REF!</definedName>
    <definedName name="HEADER" localSheetId="3">#REF!</definedName>
    <definedName name="HEADER" localSheetId="5">#REF!</definedName>
    <definedName name="HEADER">#REF!</definedName>
    <definedName name="Header_Row" localSheetId="2">ROW(#REF!)</definedName>
    <definedName name="Header_Row" localSheetId="1">ROW(#REF!)</definedName>
    <definedName name="Header_Row">ROW(#REF!)</definedName>
    <definedName name="HEADF" localSheetId="2">#REF!</definedName>
    <definedName name="HEADF" localSheetId="1">#REF!</definedName>
    <definedName name="HEADF" localSheetId="0">#REF!</definedName>
    <definedName name="HEADF" localSheetId="4">#REF!</definedName>
    <definedName name="HEADF" localSheetId="3">#REF!</definedName>
    <definedName name="HEADF" localSheetId="5">#REF!</definedName>
    <definedName name="HEADF">#REF!</definedName>
    <definedName name="HEADL" localSheetId="2">#REF!</definedName>
    <definedName name="HEADL" localSheetId="1">#REF!</definedName>
    <definedName name="HEADL" localSheetId="0">#REF!</definedName>
    <definedName name="HEADL" localSheetId="4">#REF!</definedName>
    <definedName name="HEADL" localSheetId="3">#REF!</definedName>
    <definedName name="HEADL" localSheetId="5">#REF!</definedName>
    <definedName name="HEADL">#REF!</definedName>
    <definedName name="HEADPS" localSheetId="2">#REF!</definedName>
    <definedName name="HEADPS" localSheetId="1">#REF!</definedName>
    <definedName name="HEADPS" localSheetId="0">#REF!</definedName>
    <definedName name="HEADPS" localSheetId="4">#REF!</definedName>
    <definedName name="HEADPS" localSheetId="3">#REF!</definedName>
    <definedName name="HEADPS" localSheetId="5">#REF!</definedName>
    <definedName name="HEADPS">#REF!</definedName>
    <definedName name="Heat_Exchanger" localSheetId="4">#REF!</definedName>
    <definedName name="Heat_Exchanger" localSheetId="3">#REF!</definedName>
    <definedName name="Heat_Exchanger" localSheetId="5">#REF!</definedName>
    <definedName name="Heat_Exchanger">#REF!</definedName>
    <definedName name="HEAT_TRACE" localSheetId="2">#REF!</definedName>
    <definedName name="HEAT_TRACE" localSheetId="1">#REF!</definedName>
    <definedName name="HEAT_TRACE" localSheetId="0">#REF!</definedName>
    <definedName name="HEAT_TRACE" localSheetId="4">#REF!</definedName>
    <definedName name="HEAT_TRACE" localSheetId="3">#REF!</definedName>
    <definedName name="HEAT_TRACE" localSheetId="5">#REF!</definedName>
    <definedName name="HEAT_TRACE">#REF!</definedName>
    <definedName name="HEAT_TRACE_PROT" localSheetId="2">#REF!</definedName>
    <definedName name="HEAT_TRACE_PROT" localSheetId="1">#REF!</definedName>
    <definedName name="HEAT_TRACE_PROT" localSheetId="0">#REF!</definedName>
    <definedName name="HEAT_TRACE_PROT" localSheetId="4">#REF!</definedName>
    <definedName name="HEAT_TRACE_PROT" localSheetId="3">#REF!</definedName>
    <definedName name="HEAT_TRACE_PROT" localSheetId="5">#REF!</definedName>
    <definedName name="HEAT_TRACE_PROT">#REF!</definedName>
    <definedName name="HEIGHT_FV1_GF__Damp_Proofing" localSheetId="2">#REF!</definedName>
    <definedName name="HEIGHT_FV1_GF__Damp_Proofing" localSheetId="1">#REF!</definedName>
    <definedName name="HEIGHT_FV1_GF__Damp_Proofing" localSheetId="0">#REF!</definedName>
    <definedName name="HEIGHT_FV1_GF__Damp_Proofing" localSheetId="4">#REF!</definedName>
    <definedName name="HEIGHT_FV1_GF__Damp_Proofing" localSheetId="3">#REF!</definedName>
    <definedName name="HEIGHT_FV1_GF__Damp_Proofing" localSheetId="5">#REF!</definedName>
    <definedName name="HEIGHT_FV1_GF__Damp_Proofing">#REF!</definedName>
    <definedName name="HEIGHT_FV1_Mez__Damp_Proofing" localSheetId="2">#REF!</definedName>
    <definedName name="HEIGHT_FV1_Mez__Damp_Proofing" localSheetId="1">#REF!</definedName>
    <definedName name="HEIGHT_FV1_Mez__Damp_Proofing" localSheetId="0">#REF!</definedName>
    <definedName name="HEIGHT_FV1_Mez__Damp_Proofing" localSheetId="4">#REF!</definedName>
    <definedName name="HEIGHT_FV1_Mez__Damp_Proofing" localSheetId="3">#REF!</definedName>
    <definedName name="HEIGHT_FV1_Mez__Damp_Proofing" localSheetId="5">#REF!</definedName>
    <definedName name="HEIGHT_FV1_Mez__Damp_Proofing">#REF!</definedName>
    <definedName name="HEIGHT_FV1_P01__Damp_Proofing" localSheetId="2">#REF!</definedName>
    <definedName name="HEIGHT_FV1_P01__Damp_Proofing" localSheetId="1">#REF!</definedName>
    <definedName name="HEIGHT_FV1_P01__Damp_Proofing" localSheetId="0">#REF!</definedName>
    <definedName name="HEIGHT_FV1_P01__Damp_Proofing" localSheetId="4">#REF!</definedName>
    <definedName name="HEIGHT_FV1_P01__Damp_Proofing" localSheetId="3">#REF!</definedName>
    <definedName name="HEIGHT_FV1_P01__Damp_Proofing" localSheetId="5">#REF!</definedName>
    <definedName name="HEIGHT_FV1_P01__Damp_Proofing">#REF!</definedName>
    <definedName name="HEIGHT_FV1_P02__Damp_Proofing___Omission" localSheetId="2">#REF!</definedName>
    <definedName name="HEIGHT_FV1_P02__Damp_Proofing___Omission" localSheetId="1">#REF!</definedName>
    <definedName name="HEIGHT_FV1_P02__Damp_Proofing___Omission" localSheetId="0">#REF!</definedName>
    <definedName name="HEIGHT_FV1_P02__Damp_Proofing___Omission" localSheetId="4">#REF!</definedName>
    <definedName name="HEIGHT_FV1_P02__Damp_Proofing___Omission" localSheetId="3">#REF!</definedName>
    <definedName name="HEIGHT_FV1_P02__Damp_Proofing___Omission" localSheetId="5">#REF!</definedName>
    <definedName name="HEIGHT_FV1_P02__Damp_Proofing___Omission">#REF!</definedName>
    <definedName name="HEIGHT_FV1_P03__Damp_Proofing___Omission" localSheetId="2">#REF!</definedName>
    <definedName name="HEIGHT_FV1_P03__Damp_Proofing___Omission" localSheetId="1">#REF!</definedName>
    <definedName name="HEIGHT_FV1_P03__Damp_Proofing___Omission" localSheetId="0">#REF!</definedName>
    <definedName name="HEIGHT_FV1_P03__Damp_Proofing___Omission" localSheetId="4">#REF!</definedName>
    <definedName name="HEIGHT_FV1_P03__Damp_Proofing___Omission" localSheetId="3">#REF!</definedName>
    <definedName name="HEIGHT_FV1_P03__Damp_Proofing___Omission" localSheetId="5">#REF!</definedName>
    <definedName name="HEIGHT_FV1_P03__Damp_Proofing___Omission">#REF!</definedName>
    <definedName name="HEIGHT_FV1_P04__Damp_Proofing___Omission" localSheetId="2">#REF!</definedName>
    <definedName name="HEIGHT_FV1_P04__Damp_Proofing___Omission" localSheetId="1">#REF!</definedName>
    <definedName name="HEIGHT_FV1_P04__Damp_Proofing___Omission" localSheetId="0">#REF!</definedName>
    <definedName name="HEIGHT_FV1_P04__Damp_Proofing___Omission" localSheetId="4">#REF!</definedName>
    <definedName name="HEIGHT_FV1_P04__Damp_Proofing___Omission" localSheetId="3">#REF!</definedName>
    <definedName name="HEIGHT_FV1_P04__Damp_Proofing___Omission" localSheetId="5">#REF!</definedName>
    <definedName name="HEIGHT_FV1_P04__Damp_Proofing___Omission">#REF!</definedName>
    <definedName name="HEIGHT_FV1_P05__Damp_Proofing___Omission" localSheetId="2">#REF!</definedName>
    <definedName name="HEIGHT_FV1_P05__Damp_Proofing___Omission" localSheetId="1">#REF!</definedName>
    <definedName name="HEIGHT_FV1_P05__Damp_Proofing___Omission" localSheetId="0">#REF!</definedName>
    <definedName name="HEIGHT_FV1_P05__Damp_Proofing___Omission" localSheetId="4">#REF!</definedName>
    <definedName name="HEIGHT_FV1_P05__Damp_Proofing___Omission" localSheetId="3">#REF!</definedName>
    <definedName name="HEIGHT_FV1_P05__Damp_Proofing___Omission" localSheetId="5">#REF!</definedName>
    <definedName name="HEIGHT_FV1_P05__Damp_Proofing___Omission">#REF!</definedName>
    <definedName name="HEIGHT_FV1_P10__Damp_Proofing" localSheetId="2">#REF!</definedName>
    <definedName name="HEIGHT_FV1_P10__Damp_Proofing" localSheetId="1">#REF!</definedName>
    <definedName name="HEIGHT_FV1_P10__Damp_Proofing" localSheetId="0">#REF!</definedName>
    <definedName name="HEIGHT_FV1_P10__Damp_Proofing" localSheetId="4">#REF!</definedName>
    <definedName name="HEIGHT_FV1_P10__Damp_Proofing" localSheetId="3">#REF!</definedName>
    <definedName name="HEIGHT_FV1_P10__Damp_Proofing" localSheetId="5">#REF!</definedName>
    <definedName name="HEIGHT_FV1_P10__Damp_Proofing">#REF!</definedName>
    <definedName name="HEIGHT_FV2_GF__Damp_Proofing" localSheetId="2">#REF!</definedName>
    <definedName name="HEIGHT_FV2_GF__Damp_Proofing" localSheetId="1">#REF!</definedName>
    <definedName name="HEIGHT_FV2_GF__Damp_Proofing" localSheetId="0">#REF!</definedName>
    <definedName name="HEIGHT_FV2_GF__Damp_Proofing" localSheetId="4">#REF!</definedName>
    <definedName name="HEIGHT_FV2_GF__Damp_Proofing" localSheetId="3">#REF!</definedName>
    <definedName name="HEIGHT_FV2_GF__Damp_Proofing" localSheetId="5">#REF!</definedName>
    <definedName name="HEIGHT_FV2_GF__Damp_Proofing">#REF!</definedName>
    <definedName name="HEIGHT_FV2_Mez__Damp_Proofing" localSheetId="2">#REF!</definedName>
    <definedName name="HEIGHT_FV2_Mez__Damp_Proofing" localSheetId="1">#REF!</definedName>
    <definedName name="HEIGHT_FV2_Mez__Damp_Proofing" localSheetId="0">#REF!</definedName>
    <definedName name="HEIGHT_FV2_Mez__Damp_Proofing" localSheetId="4">#REF!</definedName>
    <definedName name="HEIGHT_FV2_Mez__Damp_Proofing" localSheetId="3">#REF!</definedName>
    <definedName name="HEIGHT_FV2_Mez__Damp_Proofing" localSheetId="5">#REF!</definedName>
    <definedName name="HEIGHT_FV2_Mez__Damp_Proofing">#REF!</definedName>
    <definedName name="HEIGHT_FV2_P01__Damp_Proofing" localSheetId="2">#REF!</definedName>
    <definedName name="HEIGHT_FV2_P01__Damp_Proofing" localSheetId="1">#REF!</definedName>
    <definedName name="HEIGHT_FV2_P01__Damp_Proofing" localSheetId="0">#REF!</definedName>
    <definedName name="HEIGHT_FV2_P01__Damp_Proofing" localSheetId="4">#REF!</definedName>
    <definedName name="HEIGHT_FV2_P01__Damp_Proofing" localSheetId="3">#REF!</definedName>
    <definedName name="HEIGHT_FV2_P01__Damp_Proofing" localSheetId="5">#REF!</definedName>
    <definedName name="HEIGHT_FV2_P01__Damp_Proofing">#REF!</definedName>
    <definedName name="HEIGHT_FV2_P02__Damp_Proofing" localSheetId="2">#REF!</definedName>
    <definedName name="HEIGHT_FV2_P02__Damp_Proofing" localSheetId="1">#REF!</definedName>
    <definedName name="HEIGHT_FV2_P02__Damp_Proofing" localSheetId="0">#REF!</definedName>
    <definedName name="HEIGHT_FV2_P02__Damp_Proofing" localSheetId="4">#REF!</definedName>
    <definedName name="HEIGHT_FV2_P02__Damp_Proofing" localSheetId="3">#REF!</definedName>
    <definedName name="HEIGHT_FV2_P02__Damp_Proofing" localSheetId="5">#REF!</definedName>
    <definedName name="HEIGHT_FV2_P02__Damp_Proofing">#REF!</definedName>
    <definedName name="HEIGHT_FV2_P02__Damp_Proofing___Omission" localSheetId="2">#REF!</definedName>
    <definedName name="HEIGHT_FV2_P02__Damp_Proofing___Omission" localSheetId="1">#REF!</definedName>
    <definedName name="HEIGHT_FV2_P02__Damp_Proofing___Omission" localSheetId="0">#REF!</definedName>
    <definedName name="HEIGHT_FV2_P02__Damp_Proofing___Omission" localSheetId="4">#REF!</definedName>
    <definedName name="HEIGHT_FV2_P02__Damp_Proofing___Omission" localSheetId="3">#REF!</definedName>
    <definedName name="HEIGHT_FV2_P02__Damp_Proofing___Omission" localSheetId="5">#REF!</definedName>
    <definedName name="HEIGHT_FV2_P02__Damp_Proofing___Omission">#REF!</definedName>
    <definedName name="HEIGHT_FV2_P03__Damp_Proofing" localSheetId="2">#REF!</definedName>
    <definedName name="HEIGHT_FV2_P03__Damp_Proofing" localSheetId="1">#REF!</definedName>
    <definedName name="HEIGHT_FV2_P03__Damp_Proofing" localSheetId="0">#REF!</definedName>
    <definedName name="HEIGHT_FV2_P03__Damp_Proofing" localSheetId="4">#REF!</definedName>
    <definedName name="HEIGHT_FV2_P03__Damp_Proofing" localSheetId="3">#REF!</definedName>
    <definedName name="HEIGHT_FV2_P03__Damp_Proofing" localSheetId="5">#REF!</definedName>
    <definedName name="HEIGHT_FV2_P03__Damp_Proofing">#REF!</definedName>
    <definedName name="HEIGHT_FV2_P03__Damp_Proofing___Omission" localSheetId="2">#REF!</definedName>
    <definedName name="HEIGHT_FV2_P03__Damp_Proofing___Omission" localSheetId="1">#REF!</definedName>
    <definedName name="HEIGHT_FV2_P03__Damp_Proofing___Omission" localSheetId="0">#REF!</definedName>
    <definedName name="HEIGHT_FV2_P03__Damp_Proofing___Omission" localSheetId="4">#REF!</definedName>
    <definedName name="HEIGHT_FV2_P03__Damp_Proofing___Omission" localSheetId="3">#REF!</definedName>
    <definedName name="HEIGHT_FV2_P03__Damp_Proofing___Omission" localSheetId="5">#REF!</definedName>
    <definedName name="HEIGHT_FV2_P03__Damp_Proofing___Omission">#REF!</definedName>
    <definedName name="HEIGHT_FV2_P04__Damp_Proofing" localSheetId="2">#REF!</definedName>
    <definedName name="HEIGHT_FV2_P04__Damp_Proofing" localSheetId="1">#REF!</definedName>
    <definedName name="HEIGHT_FV2_P04__Damp_Proofing" localSheetId="0">#REF!</definedName>
    <definedName name="HEIGHT_FV2_P04__Damp_Proofing" localSheetId="4">#REF!</definedName>
    <definedName name="HEIGHT_FV2_P04__Damp_Proofing" localSheetId="3">#REF!</definedName>
    <definedName name="HEIGHT_FV2_P04__Damp_Proofing" localSheetId="5">#REF!</definedName>
    <definedName name="HEIGHT_FV2_P04__Damp_Proofing">#REF!</definedName>
    <definedName name="HEIGHT_FV2_P04__Damp_Proofing___Omission" localSheetId="2">#REF!</definedName>
    <definedName name="HEIGHT_FV2_P04__Damp_Proofing___Omission" localSheetId="1">#REF!</definedName>
    <definedName name="HEIGHT_FV2_P04__Damp_Proofing___Omission" localSheetId="0">#REF!</definedName>
    <definedName name="HEIGHT_FV2_P04__Damp_Proofing___Omission" localSheetId="4">#REF!</definedName>
    <definedName name="HEIGHT_FV2_P04__Damp_Proofing___Omission" localSheetId="3">#REF!</definedName>
    <definedName name="HEIGHT_FV2_P04__Damp_Proofing___Omission" localSheetId="5">#REF!</definedName>
    <definedName name="HEIGHT_FV2_P04__Damp_Proofing___Omission">#REF!</definedName>
    <definedName name="HEIGHT_FV2_P05__Damp_Proofing" localSheetId="2">#REF!</definedName>
    <definedName name="HEIGHT_FV2_P05__Damp_Proofing" localSheetId="1">#REF!</definedName>
    <definedName name="HEIGHT_FV2_P05__Damp_Proofing" localSheetId="0">#REF!</definedName>
    <definedName name="HEIGHT_FV2_P05__Damp_Proofing" localSheetId="4">#REF!</definedName>
    <definedName name="HEIGHT_FV2_P05__Damp_Proofing" localSheetId="3">#REF!</definedName>
    <definedName name="HEIGHT_FV2_P05__Damp_Proofing" localSheetId="5">#REF!</definedName>
    <definedName name="HEIGHT_FV2_P05__Damp_Proofing">#REF!</definedName>
    <definedName name="HEIGHT_FV2_P05__Damp_Proofing___Omission" localSheetId="2">#REF!</definedName>
    <definedName name="HEIGHT_FV2_P05__Damp_Proofing___Omission" localSheetId="1">#REF!</definedName>
    <definedName name="HEIGHT_FV2_P05__Damp_Proofing___Omission" localSheetId="0">#REF!</definedName>
    <definedName name="HEIGHT_FV2_P05__Damp_Proofing___Omission" localSheetId="4">#REF!</definedName>
    <definedName name="HEIGHT_FV2_P05__Damp_Proofing___Omission" localSheetId="3">#REF!</definedName>
    <definedName name="HEIGHT_FV2_P05__Damp_Proofing___Omission" localSheetId="5">#REF!</definedName>
    <definedName name="HEIGHT_FV2_P05__Damp_Proofing___Omission">#REF!</definedName>
    <definedName name="HEIGHT_FV2_P06__Damp_Proofing" localSheetId="2">#REF!</definedName>
    <definedName name="HEIGHT_FV2_P06__Damp_Proofing" localSheetId="1">#REF!</definedName>
    <definedName name="HEIGHT_FV2_P06__Damp_Proofing" localSheetId="0">#REF!</definedName>
    <definedName name="HEIGHT_FV2_P06__Damp_Proofing" localSheetId="4">#REF!</definedName>
    <definedName name="HEIGHT_FV2_P06__Damp_Proofing" localSheetId="3">#REF!</definedName>
    <definedName name="HEIGHT_FV2_P06__Damp_Proofing" localSheetId="5">#REF!</definedName>
    <definedName name="HEIGHT_FV2_P06__Damp_Proofing">#REF!</definedName>
    <definedName name="HEIGHT_FV2_P06__Damp_Proofing___Omission" localSheetId="2">#REF!</definedName>
    <definedName name="HEIGHT_FV2_P06__Damp_Proofing___Omission" localSheetId="1">#REF!</definedName>
    <definedName name="HEIGHT_FV2_P06__Damp_Proofing___Omission" localSheetId="0">#REF!</definedName>
    <definedName name="HEIGHT_FV2_P06__Damp_Proofing___Omission" localSheetId="4">#REF!</definedName>
    <definedName name="HEIGHT_FV2_P06__Damp_Proofing___Omission" localSheetId="3">#REF!</definedName>
    <definedName name="HEIGHT_FV2_P06__Damp_Proofing___Omission" localSheetId="5">#REF!</definedName>
    <definedName name="HEIGHT_FV2_P06__Damp_Proofing___Omission">#REF!</definedName>
    <definedName name="HEIGHT_FV2_P07__Damp_Proofing" localSheetId="2">#REF!</definedName>
    <definedName name="HEIGHT_FV2_P07__Damp_Proofing" localSheetId="1">#REF!</definedName>
    <definedName name="HEIGHT_FV2_P07__Damp_Proofing" localSheetId="0">#REF!</definedName>
    <definedName name="HEIGHT_FV2_P07__Damp_Proofing" localSheetId="4">#REF!</definedName>
    <definedName name="HEIGHT_FV2_P07__Damp_Proofing" localSheetId="3">#REF!</definedName>
    <definedName name="HEIGHT_FV2_P07__Damp_Proofing" localSheetId="5">#REF!</definedName>
    <definedName name="HEIGHT_FV2_P07__Damp_Proofing">#REF!</definedName>
    <definedName name="HEIGHT_FV2_P07__Damp_Proofing___Omission" localSheetId="2">#REF!</definedName>
    <definedName name="HEIGHT_FV2_P07__Damp_Proofing___Omission" localSheetId="1">#REF!</definedName>
    <definedName name="HEIGHT_FV2_P07__Damp_Proofing___Omission" localSheetId="0">#REF!</definedName>
    <definedName name="HEIGHT_FV2_P07__Damp_Proofing___Omission" localSheetId="4">#REF!</definedName>
    <definedName name="HEIGHT_FV2_P07__Damp_Proofing___Omission" localSheetId="3">#REF!</definedName>
    <definedName name="HEIGHT_FV2_P07__Damp_Proofing___Omission" localSheetId="5">#REF!</definedName>
    <definedName name="HEIGHT_FV2_P07__Damp_Proofing___Omission">#REF!</definedName>
    <definedName name="HEIGHT_FV2_P08__Damp_Proofing" localSheetId="2">#REF!</definedName>
    <definedName name="HEIGHT_FV2_P08__Damp_Proofing" localSheetId="1">#REF!</definedName>
    <definedName name="HEIGHT_FV2_P08__Damp_Proofing" localSheetId="0">#REF!</definedName>
    <definedName name="HEIGHT_FV2_P08__Damp_Proofing" localSheetId="4">#REF!</definedName>
    <definedName name="HEIGHT_FV2_P08__Damp_Proofing" localSheetId="3">#REF!</definedName>
    <definedName name="HEIGHT_FV2_P08__Damp_Proofing" localSheetId="5">#REF!</definedName>
    <definedName name="HEIGHT_FV2_P08__Damp_Proofing">#REF!</definedName>
    <definedName name="HEIGHT_FV2_P08__Damp_Proofing___Omission" localSheetId="2">#REF!</definedName>
    <definedName name="HEIGHT_FV2_P08__Damp_Proofing___Omission" localSheetId="1">#REF!</definedName>
    <definedName name="HEIGHT_FV2_P08__Damp_Proofing___Omission" localSheetId="0">#REF!</definedName>
    <definedName name="HEIGHT_FV2_P08__Damp_Proofing___Omission" localSheetId="4">#REF!</definedName>
    <definedName name="HEIGHT_FV2_P08__Damp_Proofing___Omission" localSheetId="3">#REF!</definedName>
    <definedName name="HEIGHT_FV2_P08__Damp_Proofing___Omission" localSheetId="5">#REF!</definedName>
    <definedName name="HEIGHT_FV2_P08__Damp_Proofing___Omission">#REF!</definedName>
    <definedName name="HEIGHT_FV2_P09__Damp_Proofing" localSheetId="2">#REF!</definedName>
    <definedName name="HEIGHT_FV2_P09__Damp_Proofing" localSheetId="1">#REF!</definedName>
    <definedName name="HEIGHT_FV2_P09__Damp_Proofing" localSheetId="0">#REF!</definedName>
    <definedName name="HEIGHT_FV2_P09__Damp_Proofing" localSheetId="4">#REF!</definedName>
    <definedName name="HEIGHT_FV2_P09__Damp_Proofing" localSheetId="3">#REF!</definedName>
    <definedName name="HEIGHT_FV2_P09__Damp_Proofing" localSheetId="5">#REF!</definedName>
    <definedName name="HEIGHT_FV2_P09__Damp_Proofing">#REF!</definedName>
    <definedName name="HEIGHT_FV2_P10__Damp_Proofing" localSheetId="2">#REF!</definedName>
    <definedName name="HEIGHT_FV2_P10__Damp_Proofing" localSheetId="1">#REF!</definedName>
    <definedName name="HEIGHT_FV2_P10__Damp_Proofing" localSheetId="0">#REF!</definedName>
    <definedName name="HEIGHT_FV2_P10__Damp_Proofing" localSheetId="4">#REF!</definedName>
    <definedName name="HEIGHT_FV2_P10__Damp_Proofing" localSheetId="3">#REF!</definedName>
    <definedName name="HEIGHT_FV2_P10__Damp_Proofing" localSheetId="5">#REF!</definedName>
    <definedName name="HEIGHT_FV2_P10__Damp_Proofing">#REF!</definedName>
    <definedName name="HEIGHT_FV3_GF__Damp_Proofing" localSheetId="2">#REF!</definedName>
    <definedName name="HEIGHT_FV3_GF__Damp_Proofing" localSheetId="1">#REF!</definedName>
    <definedName name="HEIGHT_FV3_GF__Damp_Proofing" localSheetId="0">#REF!</definedName>
    <definedName name="HEIGHT_FV3_GF__Damp_Proofing" localSheetId="4">#REF!</definedName>
    <definedName name="HEIGHT_FV3_GF__Damp_Proofing" localSheetId="3">#REF!</definedName>
    <definedName name="HEIGHT_FV3_GF__Damp_Proofing" localSheetId="5">#REF!</definedName>
    <definedName name="HEIGHT_FV3_GF__Damp_Proofing">#REF!</definedName>
    <definedName name="HEIGHT_FV3_Mez__Damp_Proofing" localSheetId="2">#REF!</definedName>
    <definedName name="HEIGHT_FV3_Mez__Damp_Proofing" localSheetId="1">#REF!</definedName>
    <definedName name="HEIGHT_FV3_Mez__Damp_Proofing" localSheetId="0">#REF!</definedName>
    <definedName name="HEIGHT_FV3_Mez__Damp_Proofing" localSheetId="4">#REF!</definedName>
    <definedName name="HEIGHT_FV3_Mez__Damp_Proofing" localSheetId="3">#REF!</definedName>
    <definedName name="HEIGHT_FV3_Mez__Damp_Proofing" localSheetId="5">#REF!</definedName>
    <definedName name="HEIGHT_FV3_Mez__Damp_Proofing">#REF!</definedName>
    <definedName name="HEIGHT_FV3_P02__Damp_Proofing" localSheetId="2">#REF!</definedName>
    <definedName name="HEIGHT_FV3_P02__Damp_Proofing" localSheetId="1">#REF!</definedName>
    <definedName name="HEIGHT_FV3_P02__Damp_Proofing" localSheetId="0">#REF!</definedName>
    <definedName name="HEIGHT_FV3_P02__Damp_Proofing" localSheetId="4">#REF!</definedName>
    <definedName name="HEIGHT_FV3_P02__Damp_Proofing" localSheetId="3">#REF!</definedName>
    <definedName name="HEIGHT_FV3_P02__Damp_Proofing" localSheetId="5">#REF!</definedName>
    <definedName name="HEIGHT_FV3_P02__Damp_Proofing">#REF!</definedName>
    <definedName name="HEIGHT_FV3_P02__Damp_Proofing___Omission" localSheetId="2">#REF!</definedName>
    <definedName name="HEIGHT_FV3_P02__Damp_Proofing___Omission" localSheetId="1">#REF!</definedName>
    <definedName name="HEIGHT_FV3_P02__Damp_Proofing___Omission" localSheetId="0">#REF!</definedName>
    <definedName name="HEIGHT_FV3_P02__Damp_Proofing___Omission" localSheetId="4">#REF!</definedName>
    <definedName name="HEIGHT_FV3_P02__Damp_Proofing___Omission" localSheetId="3">#REF!</definedName>
    <definedName name="HEIGHT_FV3_P02__Damp_Proofing___Omission" localSheetId="5">#REF!</definedName>
    <definedName name="HEIGHT_FV3_P02__Damp_Proofing___Omission">#REF!</definedName>
    <definedName name="HEIGHT_FV3_P03__Damp_Proofing___Omission" localSheetId="2">#REF!</definedName>
    <definedName name="HEIGHT_FV3_P03__Damp_Proofing___Omission" localSheetId="1">#REF!</definedName>
    <definedName name="HEIGHT_FV3_P03__Damp_Proofing___Omission" localSheetId="0">#REF!</definedName>
    <definedName name="HEIGHT_FV3_P03__Damp_Proofing___Omission" localSheetId="4">#REF!</definedName>
    <definedName name="HEIGHT_FV3_P03__Damp_Proofing___Omission" localSheetId="3">#REF!</definedName>
    <definedName name="HEIGHT_FV3_P03__Damp_Proofing___Omission" localSheetId="5">#REF!</definedName>
    <definedName name="HEIGHT_FV3_P03__Damp_Proofing___Omission">#REF!</definedName>
    <definedName name="HEIGHT_FV3_P04__Damp_Proofing___Omission" localSheetId="2">#REF!</definedName>
    <definedName name="HEIGHT_FV3_P04__Damp_Proofing___Omission" localSheetId="1">#REF!</definedName>
    <definedName name="HEIGHT_FV3_P04__Damp_Proofing___Omission" localSheetId="0">#REF!</definedName>
    <definedName name="HEIGHT_FV3_P04__Damp_Proofing___Omission" localSheetId="4">#REF!</definedName>
    <definedName name="HEIGHT_FV3_P04__Damp_Proofing___Omission" localSheetId="3">#REF!</definedName>
    <definedName name="HEIGHT_FV3_P04__Damp_Proofing___Omission" localSheetId="5">#REF!</definedName>
    <definedName name="HEIGHT_FV3_P04__Damp_Proofing___Omission">#REF!</definedName>
    <definedName name="HEIGHT_FV3_P05__Damp_Proofing___Omission" localSheetId="2">#REF!</definedName>
    <definedName name="HEIGHT_FV3_P05__Damp_Proofing___Omission" localSheetId="1">#REF!</definedName>
    <definedName name="HEIGHT_FV3_P05__Damp_Proofing___Omission" localSheetId="0">#REF!</definedName>
    <definedName name="HEIGHT_FV3_P05__Damp_Proofing___Omission" localSheetId="4">#REF!</definedName>
    <definedName name="HEIGHT_FV3_P05__Damp_Proofing___Omission" localSheetId="3">#REF!</definedName>
    <definedName name="HEIGHT_FV3_P05__Damp_Proofing___Omission" localSheetId="5">#REF!</definedName>
    <definedName name="HEIGHT_FV3_P05__Damp_Proofing___Omission">#REF!</definedName>
    <definedName name="HEIGHT_FV3_P06__Damp_Proofing___Omission" localSheetId="2">#REF!</definedName>
    <definedName name="HEIGHT_FV3_P06__Damp_Proofing___Omission" localSheetId="1">#REF!</definedName>
    <definedName name="HEIGHT_FV3_P06__Damp_Proofing___Omission" localSheetId="0">#REF!</definedName>
    <definedName name="HEIGHT_FV3_P06__Damp_Proofing___Omission" localSheetId="4">#REF!</definedName>
    <definedName name="HEIGHT_FV3_P06__Damp_Proofing___Omission" localSheetId="3">#REF!</definedName>
    <definedName name="HEIGHT_FV3_P06__Damp_Proofing___Omission" localSheetId="5">#REF!</definedName>
    <definedName name="HEIGHT_FV3_P06__Damp_Proofing___Omission">#REF!</definedName>
    <definedName name="HEIGHT_FV3_P07__Damp_Proofing___Omission" localSheetId="2">#REF!</definedName>
    <definedName name="HEIGHT_FV3_P07__Damp_Proofing___Omission" localSheetId="1">#REF!</definedName>
    <definedName name="HEIGHT_FV3_P07__Damp_Proofing___Omission" localSheetId="0">#REF!</definedName>
    <definedName name="HEIGHT_FV3_P07__Damp_Proofing___Omission" localSheetId="4">#REF!</definedName>
    <definedName name="HEIGHT_FV3_P07__Damp_Proofing___Omission" localSheetId="3">#REF!</definedName>
    <definedName name="HEIGHT_FV3_P07__Damp_Proofing___Omission" localSheetId="5">#REF!</definedName>
    <definedName name="HEIGHT_FV3_P07__Damp_Proofing___Omission">#REF!</definedName>
    <definedName name="HEIGHT_FV3_P08__Damp_Proofing___Omission" localSheetId="2">#REF!</definedName>
    <definedName name="HEIGHT_FV3_P08__Damp_Proofing___Omission" localSheetId="1">#REF!</definedName>
    <definedName name="HEIGHT_FV3_P08__Damp_Proofing___Omission" localSheetId="0">#REF!</definedName>
    <definedName name="HEIGHT_FV3_P08__Damp_Proofing___Omission" localSheetId="4">#REF!</definedName>
    <definedName name="HEIGHT_FV3_P08__Damp_Proofing___Omission" localSheetId="3">#REF!</definedName>
    <definedName name="HEIGHT_FV3_P08__Damp_Proofing___Omission" localSheetId="5">#REF!</definedName>
    <definedName name="HEIGHT_FV3_P08__Damp_Proofing___Omission">#REF!</definedName>
    <definedName name="HEIGHT_FV3_P09__Damp_Proofing" localSheetId="2">#REF!</definedName>
    <definedName name="HEIGHT_FV3_P09__Damp_Proofing" localSheetId="1">#REF!</definedName>
    <definedName name="HEIGHT_FV3_P09__Damp_Proofing" localSheetId="0">#REF!</definedName>
    <definedName name="HEIGHT_FV3_P09__Damp_Proofing" localSheetId="4">#REF!</definedName>
    <definedName name="HEIGHT_FV3_P09__Damp_Proofing" localSheetId="3">#REF!</definedName>
    <definedName name="HEIGHT_FV3_P09__Damp_Proofing" localSheetId="5">#REF!</definedName>
    <definedName name="HEIGHT_FV3_P09__Damp_Proofing">#REF!</definedName>
    <definedName name="HEIGHT_FV3_P09__Damp_Proofing___Omission" localSheetId="2">#REF!</definedName>
    <definedName name="HEIGHT_FV3_P09__Damp_Proofing___Omission" localSheetId="1">#REF!</definedName>
    <definedName name="HEIGHT_FV3_P09__Damp_Proofing___Omission" localSheetId="0">#REF!</definedName>
    <definedName name="HEIGHT_FV3_P09__Damp_Proofing___Omission" localSheetId="4">#REF!</definedName>
    <definedName name="HEIGHT_FV3_P09__Damp_Proofing___Omission" localSheetId="3">#REF!</definedName>
    <definedName name="HEIGHT_FV3_P09__Damp_Proofing___Omission" localSheetId="5">#REF!</definedName>
    <definedName name="HEIGHT_FV3_P09__Damp_Proofing___Omission">#REF!</definedName>
    <definedName name="HEIGHT_FV3_P10__Damp_Proofing" localSheetId="2">#REF!</definedName>
    <definedName name="HEIGHT_FV3_P10__Damp_Proofing" localSheetId="1">#REF!</definedName>
    <definedName name="HEIGHT_FV3_P10__Damp_Proofing" localSheetId="0">#REF!</definedName>
    <definedName name="HEIGHT_FV3_P10__Damp_Proofing" localSheetId="4">#REF!</definedName>
    <definedName name="HEIGHT_FV3_P10__Damp_Proofing" localSheetId="3">#REF!</definedName>
    <definedName name="HEIGHT_FV3_P10__Damp_Proofing" localSheetId="5">#REF!</definedName>
    <definedName name="HEIGHT_FV3_P10__Damp_Proofing">#REF!</definedName>
    <definedName name="hello" localSheetId="2">#REF!</definedName>
    <definedName name="hello" localSheetId="1">#REF!</definedName>
    <definedName name="hello" localSheetId="0">#REF!</definedName>
    <definedName name="hello" localSheetId="4">#REF!</definedName>
    <definedName name="hello" localSheetId="3">#REF!</definedName>
    <definedName name="hello" localSheetId="5">#REF!</definedName>
    <definedName name="hello">#REF!</definedName>
    <definedName name="hfgh" localSheetId="2" hidden="1">{#N/A,#N/A,FALSE,"估價單  (3)"}</definedName>
    <definedName name="hfgh" localSheetId="1" hidden="1">{#N/A,#N/A,FALSE,"估價單  (3)"}</definedName>
    <definedName name="hfgh" localSheetId="0" hidden="1">{#N/A,#N/A,FALSE,"估價單  (3)"}</definedName>
    <definedName name="hfgh" localSheetId="4" hidden="1">{#N/A,#N/A,FALSE,"估價單  (3)"}</definedName>
    <definedName name="hfgh" localSheetId="3" hidden="1">{#N/A,#N/A,FALSE,"估價單  (3)"}</definedName>
    <definedName name="hfgh" localSheetId="5" hidden="1">{#N/A,#N/A,FALSE,"估價單  (3)"}</definedName>
    <definedName name="hfgh" hidden="1">{#N/A,#N/A,FALSE,"估價單  (3)"}</definedName>
    <definedName name="hg" localSheetId="5">#REF!</definedName>
    <definedName name="hg">#REF!</definedName>
    <definedName name="hgkhkg" localSheetId="2" hidden="1">{#N/A,#N/A,TRUE,"Cover";#N/A,#N/A,TRUE,"Conts";#N/A,#N/A,TRUE,"VOS";#N/A,#N/A,TRUE,"Warrington";#N/A,#N/A,TRUE,"Widnes"}</definedName>
    <definedName name="hgkhkg" localSheetId="1" hidden="1">{#N/A,#N/A,TRUE,"Cover";#N/A,#N/A,TRUE,"Conts";#N/A,#N/A,TRUE,"VOS";#N/A,#N/A,TRUE,"Warrington";#N/A,#N/A,TRUE,"Widnes"}</definedName>
    <definedName name="hgkhkg" localSheetId="0" hidden="1">{#N/A,#N/A,TRUE,"Cover";#N/A,#N/A,TRUE,"Conts";#N/A,#N/A,TRUE,"VOS";#N/A,#N/A,TRUE,"Warrington";#N/A,#N/A,TRUE,"Widnes"}</definedName>
    <definedName name="hgkhkg" localSheetId="4" hidden="1">{#N/A,#N/A,TRUE,"Cover";#N/A,#N/A,TRUE,"Conts";#N/A,#N/A,TRUE,"VOS";#N/A,#N/A,TRUE,"Warrington";#N/A,#N/A,TRUE,"Widnes"}</definedName>
    <definedName name="hgkhkg" localSheetId="3" hidden="1">{#N/A,#N/A,TRUE,"Cover";#N/A,#N/A,TRUE,"Conts";#N/A,#N/A,TRUE,"VOS";#N/A,#N/A,TRUE,"Warrington";#N/A,#N/A,TRUE,"Widnes"}</definedName>
    <definedName name="hgkhkg" localSheetId="5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H" localSheetId="2">#REF!</definedName>
    <definedName name="HH" localSheetId="1">#REF!</definedName>
    <definedName name="HH" localSheetId="0">#REF!</definedName>
    <definedName name="HH" localSheetId="4">#REF!</definedName>
    <definedName name="HH" localSheetId="3">#REF!</definedName>
    <definedName name="HH" localSheetId="5">#REF!</definedName>
    <definedName name="HH">#REF!</definedName>
    <definedName name="HHJGJHGH" localSheetId="2" hidden="1">#REF!</definedName>
    <definedName name="HHJGJHGH" localSheetId="1" hidden="1">#REF!</definedName>
    <definedName name="HHJGJHGH" localSheetId="0" hidden="1">#REF!</definedName>
    <definedName name="HHJGJHGH" localSheetId="4" hidden="1">#REF!</definedName>
    <definedName name="HHJGJHGH" localSheetId="3" hidden="1">#REF!</definedName>
    <definedName name="HHJGJHGH" localSheetId="5" hidden="1">#REF!</definedName>
    <definedName name="HHJGJHGH" hidden="1">#REF!</definedName>
    <definedName name="HiddenRows" localSheetId="2" hidden="1">#REF!</definedName>
    <definedName name="HiddenRows" localSheetId="1" hidden="1">#REF!</definedName>
    <definedName name="HiddenRows" localSheetId="0" hidden="1">#REF!</definedName>
    <definedName name="HiddenRows" localSheetId="4" hidden="1">#REF!</definedName>
    <definedName name="HiddenRows" localSheetId="3" hidden="1">#REF!</definedName>
    <definedName name="HiddenRows" localSheetId="5" hidden="1">#REF!</definedName>
    <definedName name="HiddenRows" hidden="1">#REF!</definedName>
    <definedName name="hjh" localSheetId="4">#REF!</definedName>
    <definedName name="hjh" localSheetId="3">#REF!</definedName>
    <definedName name="hjh" localSheetId="5">#REF!</definedName>
    <definedName name="hjh">#REF!</definedName>
    <definedName name="hjhgjhjhg" localSheetId="4">#REF!</definedName>
    <definedName name="hjhgjhjhg" localSheetId="3">#REF!</definedName>
    <definedName name="hjhgjhjhg" localSheetId="5">#REF!</definedName>
    <definedName name="hjhgjhjhg">#REF!</definedName>
    <definedName name="hjy" localSheetId="2" hidden="1">{"'Break down'!$A$4"}</definedName>
    <definedName name="hjy" localSheetId="1" hidden="1">{"'Break down'!$A$4"}</definedName>
    <definedName name="hjy" localSheetId="0" hidden="1">{"'Break down'!$A$4"}</definedName>
    <definedName name="hjy" localSheetId="4" hidden="1">{"'Break down'!$A$4"}</definedName>
    <definedName name="hjy" localSheetId="3" hidden="1">{"'Break down'!$A$4"}</definedName>
    <definedName name="hjy" localSheetId="5" hidden="1">{"'Break down'!$A$4"}</definedName>
    <definedName name="hjy" hidden="1">{"'Break down'!$A$4"}</definedName>
    <definedName name="hjy_1" localSheetId="2" hidden="1">{"'Break down'!$A$4"}</definedName>
    <definedName name="hjy_1" localSheetId="1" hidden="1">{"'Break down'!$A$4"}</definedName>
    <definedName name="hjy_1" localSheetId="0" hidden="1">{"'Break down'!$A$4"}</definedName>
    <definedName name="hjy_1" localSheetId="4" hidden="1">{"'Break down'!$A$4"}</definedName>
    <definedName name="hjy_1" localSheetId="3" hidden="1">{"'Break down'!$A$4"}</definedName>
    <definedName name="hjy_1" localSheetId="5" hidden="1">{"'Break down'!$A$4"}</definedName>
    <definedName name="hjy_1" hidden="1">{"'Break down'!$A$4"}</definedName>
    <definedName name="hjy_2" localSheetId="2" hidden="1">{"'Break down'!$A$4"}</definedName>
    <definedName name="hjy_2" localSheetId="1" hidden="1">{"'Break down'!$A$4"}</definedName>
    <definedName name="hjy_2" localSheetId="0" hidden="1">{"'Break down'!$A$4"}</definedName>
    <definedName name="hjy_2" localSheetId="4" hidden="1">{"'Break down'!$A$4"}</definedName>
    <definedName name="hjy_2" localSheetId="3" hidden="1">{"'Break down'!$A$4"}</definedName>
    <definedName name="hjy_2" localSheetId="5" hidden="1">{"'Break down'!$A$4"}</definedName>
    <definedName name="hjy_2" hidden="1">{"'Break down'!$A$4"}</definedName>
    <definedName name="holidays" localSheetId="0">OFFSET(#REF!,1,0,COUNTA(#REF!),1)</definedName>
    <definedName name="holidays" localSheetId="4">OFFSET(#REF!,1,0,COUNTA(#REF!),1)</definedName>
    <definedName name="holidays" localSheetId="3">OFFSET(#REF!,1,0,COUNTA(#REF!),1)</definedName>
    <definedName name="holidays" localSheetId="5">OFFSET(#REF!,1,0,COUNTA(#REF!),1)</definedName>
    <definedName name="holidays">OFFSET(#REF!,1,0,COUNTA(#REF!),1)</definedName>
    <definedName name="Home_Ofc_OT" localSheetId="4">#REF!</definedName>
    <definedName name="Home_Ofc_OT" localSheetId="3">#REF!</definedName>
    <definedName name="Home_Ofc_OT" localSheetId="5">#REF!</definedName>
    <definedName name="Home_Ofc_OT">#REF!</definedName>
    <definedName name="Home_Ofc_ST" localSheetId="2">#REF!</definedName>
    <definedName name="Home_Ofc_ST" localSheetId="1">#REF!</definedName>
    <definedName name="Home_Ofc_ST" localSheetId="0">#REF!</definedName>
    <definedName name="Home_Ofc_ST" localSheetId="4">[0]!Home_Ofc</definedName>
    <definedName name="Home_Ofc_ST" localSheetId="3">[0]!Home_Ofc</definedName>
    <definedName name="Home_Ofc_ST" localSheetId="5">#REF!</definedName>
    <definedName name="Home_Ofc_ST">#REF!</definedName>
    <definedName name="HOURS_A" localSheetId="4">#REF!</definedName>
    <definedName name="HOURS_A" localSheetId="3">#REF!</definedName>
    <definedName name="HOURS_A" localSheetId="5">#REF!</definedName>
    <definedName name="HOURS_A">#REF!</definedName>
    <definedName name="HOURS_C" localSheetId="4">#REF!</definedName>
    <definedName name="HOURS_C" localSheetId="3">#REF!</definedName>
    <definedName name="HOURS_C" localSheetId="5">#REF!</definedName>
    <definedName name="HOURS_C">#REF!</definedName>
    <definedName name="Hours_Per_Month_For_Recitals" localSheetId="2">#REF!</definedName>
    <definedName name="Hours_Per_Month_For_Recitals" localSheetId="1">#REF!</definedName>
    <definedName name="Hours_Per_Month_For_Recitals" localSheetId="0">#REF!</definedName>
    <definedName name="Hours_Per_Month_For_Recitals" localSheetId="4">#REF!</definedName>
    <definedName name="Hours_Per_Month_For_Recitals" localSheetId="3">#REF!</definedName>
    <definedName name="Hours_Per_Month_For_Recitals" localSheetId="5">#REF!</definedName>
    <definedName name="Hours_Per_Month_For_Recitals">#REF!</definedName>
    <definedName name="Hours_Per_Month_For_Ss_And_FCs" localSheetId="2">#REF!</definedName>
    <definedName name="Hours_Per_Month_For_Ss_And_FCs" localSheetId="1">#REF!</definedName>
    <definedName name="Hours_Per_Month_For_Ss_And_FCs" localSheetId="0">#REF!</definedName>
    <definedName name="Hours_Per_Month_For_Ss_And_FCs" localSheetId="4">#REF!</definedName>
    <definedName name="Hours_Per_Month_For_Ss_And_FCs" localSheetId="3">#REF!</definedName>
    <definedName name="Hours_Per_Month_For_Ss_And_FCs" localSheetId="5">#REF!</definedName>
    <definedName name="Hours_Per_Month_For_Ss_And_FCs">#REF!</definedName>
    <definedName name="HpGPMFth" localSheetId="2">IF(#REF!&lt;&gt;0,(ROUND(#REF!*#REF!/3364*1.33,0)),0)</definedName>
    <definedName name="HpGPMFth" localSheetId="1">IF(#REF!&lt;&gt;0,(ROUND(#REF!*#REF!/3364*1.33,0)),0)</definedName>
    <definedName name="HpGPMFth" localSheetId="0">IF(#REF!&lt;&gt;0,(ROUND(#REF!*#REF!/3364*1.33,0)),0)</definedName>
    <definedName name="HpGPMFth" localSheetId="4">IF(#REF!&lt;&gt;0,(ROUND(#REF!*#REF!/3364*1.33,0)),0)</definedName>
    <definedName name="HpGPMFth" localSheetId="3">IF(#REF!&lt;&gt;0,(ROUND(#REF!*#REF!/3364*1.33,0)),0)</definedName>
    <definedName name="HpGPMFth">IF(#REF!&lt;&gt;0,(ROUND(#REF!*#REF!/3364*1.33,0)),0)</definedName>
    <definedName name="HRSG_Boiler_Conc" localSheetId="2">#REF!</definedName>
    <definedName name="HRSG_Boiler_Conc" localSheetId="1">#REF!</definedName>
    <definedName name="HRSG_Boiler_Conc" localSheetId="0">#REF!</definedName>
    <definedName name="HRSG_Boiler_Conc" localSheetId="4">#REF!</definedName>
    <definedName name="HRSG_Boiler_Conc" localSheetId="3">#REF!</definedName>
    <definedName name="HRSG_Boiler_Conc" localSheetId="5">#REF!</definedName>
    <definedName name="HRSG_Boiler_Conc">#REF!</definedName>
    <definedName name="ht" localSheetId="2" hidden="1">{"'Break down'!$A$4"}</definedName>
    <definedName name="ht" localSheetId="1" hidden="1">{"'Break down'!$A$4"}</definedName>
    <definedName name="ht" localSheetId="0" hidden="1">{"'Break down'!$A$4"}</definedName>
    <definedName name="ht" localSheetId="4" hidden="1">{"'Break down'!$A$4"}</definedName>
    <definedName name="ht" localSheetId="3" hidden="1">{"'Break down'!$A$4"}</definedName>
    <definedName name="ht" localSheetId="5" hidden="1">{"'Break down'!$A$4"}</definedName>
    <definedName name="ht" hidden="1">{"'Break down'!$A$4"}</definedName>
    <definedName name="ht_1" localSheetId="2" hidden="1">{"'Break down'!$A$4"}</definedName>
    <definedName name="ht_1" localSheetId="1" hidden="1">{"'Break down'!$A$4"}</definedName>
    <definedName name="ht_1" localSheetId="0" hidden="1">{"'Break down'!$A$4"}</definedName>
    <definedName name="ht_1" localSheetId="4" hidden="1">{"'Break down'!$A$4"}</definedName>
    <definedName name="ht_1" localSheetId="3" hidden="1">{"'Break down'!$A$4"}</definedName>
    <definedName name="ht_1" localSheetId="5" hidden="1">{"'Break down'!$A$4"}</definedName>
    <definedName name="ht_1" hidden="1">{"'Break down'!$A$4"}</definedName>
    <definedName name="ht_2" localSheetId="2" hidden="1">{"'Break down'!$A$4"}</definedName>
    <definedName name="ht_2" localSheetId="1" hidden="1">{"'Break down'!$A$4"}</definedName>
    <definedName name="ht_2" localSheetId="0" hidden="1">{"'Break down'!$A$4"}</definedName>
    <definedName name="ht_2" localSheetId="4" hidden="1">{"'Break down'!$A$4"}</definedName>
    <definedName name="ht_2" localSheetId="3" hidden="1">{"'Break down'!$A$4"}</definedName>
    <definedName name="ht_2" localSheetId="5" hidden="1">{"'Break down'!$A$4"}</definedName>
    <definedName name="ht_2" hidden="1">{"'Break down'!$A$4"}</definedName>
    <definedName name="HTML_CodePage" hidden="1">9</definedName>
    <definedName name="HTML_CodePage1" hidden="1">9</definedName>
    <definedName name="HTML_Control" localSheetId="2" hidden="1">{"'Break down'!$A$4"}</definedName>
    <definedName name="HTML_Control" localSheetId="1" hidden="1">{"'Break down'!$A$4"}</definedName>
    <definedName name="HTML_Control" localSheetId="0" hidden="1">{"'Break down'!$A$4"}</definedName>
    <definedName name="HTML_Control" localSheetId="4" hidden="1">{"'Break down'!$A$4"}</definedName>
    <definedName name="HTML_Control" localSheetId="3" hidden="1">{"'Break down'!$A$4"}</definedName>
    <definedName name="HTML_Control" localSheetId="5" hidden="1">{"'Break down'!$A$4"}</definedName>
    <definedName name="HTML_Control" hidden="1">{"'Break down'!$A$4"}</definedName>
    <definedName name="HTML_Control_1" localSheetId="2" hidden="1">{"'Break down'!$A$4"}</definedName>
    <definedName name="HTML_Control_1" localSheetId="1" hidden="1">{"'Break down'!$A$4"}</definedName>
    <definedName name="HTML_Control_1" localSheetId="0" hidden="1">{"'Break down'!$A$4"}</definedName>
    <definedName name="HTML_Control_1" localSheetId="4" hidden="1">{"'Break down'!$A$4"}</definedName>
    <definedName name="HTML_Control_1" localSheetId="3" hidden="1">{"'Break down'!$A$4"}</definedName>
    <definedName name="HTML_Control_1" localSheetId="5" hidden="1">{"'Break down'!$A$4"}</definedName>
    <definedName name="HTML_Control_1" hidden="1">{"'Break down'!$A$4"}</definedName>
    <definedName name="HTML_Control_2" localSheetId="2" hidden="1">{"'Break down'!$A$4"}</definedName>
    <definedName name="HTML_Control_2" localSheetId="1" hidden="1">{"'Break down'!$A$4"}</definedName>
    <definedName name="HTML_Control_2" localSheetId="0" hidden="1">{"'Break down'!$A$4"}</definedName>
    <definedName name="HTML_Control_2" localSheetId="4" hidden="1">{"'Break down'!$A$4"}</definedName>
    <definedName name="HTML_Control_2" localSheetId="3" hidden="1">{"'Break down'!$A$4"}</definedName>
    <definedName name="HTML_Control_2" localSheetId="5" hidden="1">{"'Break down'!$A$4"}</definedName>
    <definedName name="HTML_Control_2" hidden="1">{"'Break down'!$A$4"}</definedName>
    <definedName name="HTML_Control1" localSheetId="2" hidden="1">{"'Break down'!$A$4"}</definedName>
    <definedName name="HTML_Control1" localSheetId="1" hidden="1">{"'Break down'!$A$4"}</definedName>
    <definedName name="HTML_Control1" localSheetId="0" hidden="1">{"'Break down'!$A$4"}</definedName>
    <definedName name="HTML_Control1" localSheetId="4" hidden="1">{"'Break down'!$A$4"}</definedName>
    <definedName name="HTML_Control1" localSheetId="3" hidden="1">{"'Break down'!$A$4"}</definedName>
    <definedName name="HTML_Control1" localSheetId="5" hidden="1">{"'Break down'!$A$4"}</definedName>
    <definedName name="HTML_Control1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Header1" hidden="1">"Break down"</definedName>
    <definedName name="HTML_LastUpdate" hidden="1">"6/7/98"</definedName>
    <definedName name="HTML_LastUpdate1" hidden="1">"6/7/98"</definedName>
    <definedName name="HTML_LineAfter" hidden="1">FALSE</definedName>
    <definedName name="HTML_LineBefore" hidden="1">FALSE</definedName>
    <definedName name="HTML_Name" hidden="1">"PAUL MATHEW"</definedName>
    <definedName name="HTML_Name1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PathFile1" hidden="1">"C:\WINDOWS\MSAPPS\MyHTML.htm"</definedName>
    <definedName name="HTML_Title" hidden="1">"Break_down"</definedName>
    <definedName name="HTML_Title1" hidden="1">"Break_down"</definedName>
    <definedName name="htr" localSheetId="2" hidden="1">{"'Break down'!$A$4"}</definedName>
    <definedName name="htr" localSheetId="1" hidden="1">{"'Break down'!$A$4"}</definedName>
    <definedName name="htr" localSheetId="0" hidden="1">{"'Break down'!$A$4"}</definedName>
    <definedName name="htr" localSheetId="4" hidden="1">{"'Break down'!$A$4"}</definedName>
    <definedName name="htr" localSheetId="3" hidden="1">{"'Break down'!$A$4"}</definedName>
    <definedName name="htr" localSheetId="5" hidden="1">{"'Break down'!$A$4"}</definedName>
    <definedName name="htr" hidden="1">{"'Break down'!$A$4"}</definedName>
    <definedName name="htr_1" localSheetId="2" hidden="1">{"'Break down'!$A$4"}</definedName>
    <definedName name="htr_1" localSheetId="1" hidden="1">{"'Break down'!$A$4"}</definedName>
    <definedName name="htr_1" localSheetId="0" hidden="1">{"'Break down'!$A$4"}</definedName>
    <definedName name="htr_1" localSheetId="4" hidden="1">{"'Break down'!$A$4"}</definedName>
    <definedName name="htr_1" localSheetId="3" hidden="1">{"'Break down'!$A$4"}</definedName>
    <definedName name="htr_1" localSheetId="5" hidden="1">{"'Break down'!$A$4"}</definedName>
    <definedName name="htr_1" hidden="1">{"'Break down'!$A$4"}</definedName>
    <definedName name="htr_2" localSheetId="2" hidden="1">{"'Break down'!$A$4"}</definedName>
    <definedName name="htr_2" localSheetId="1" hidden="1">{"'Break down'!$A$4"}</definedName>
    <definedName name="htr_2" localSheetId="0" hidden="1">{"'Break down'!$A$4"}</definedName>
    <definedName name="htr_2" localSheetId="4" hidden="1">{"'Break down'!$A$4"}</definedName>
    <definedName name="htr_2" localSheetId="3" hidden="1">{"'Break down'!$A$4"}</definedName>
    <definedName name="htr_2" localSheetId="5" hidden="1">{"'Break down'!$A$4"}</definedName>
    <definedName name="htr_2" hidden="1">{"'Break down'!$A$4"}</definedName>
    <definedName name="HTR_COUNT" localSheetId="2">#REF!</definedName>
    <definedName name="HTR_COUNT" localSheetId="1">#REF!</definedName>
    <definedName name="HTR_COUNT" localSheetId="0">#REF!</definedName>
    <definedName name="HTR_COUNT" localSheetId="4">#REF!</definedName>
    <definedName name="HTR_COUNT" localSheetId="3">#REF!</definedName>
    <definedName name="HTR_COUNT" localSheetId="5">#REF!</definedName>
    <definedName name="HTR_COUNT">#REF!</definedName>
    <definedName name="hxsr" localSheetId="4">#REF!</definedName>
    <definedName name="hxsr" localSheetId="3">#REF!</definedName>
    <definedName name="hxsr" localSheetId="5">#REF!</definedName>
    <definedName name="hxsr">#REF!</definedName>
    <definedName name="HYTH" localSheetId="2">#REF!</definedName>
    <definedName name="HYTH" localSheetId="1">#REF!</definedName>
    <definedName name="HYTH" localSheetId="0">#REF!</definedName>
    <definedName name="HYTH" localSheetId="4">#REF!</definedName>
    <definedName name="HYTH" localSheetId="3">#REF!</definedName>
    <definedName name="HYTH" localSheetId="5">#REF!</definedName>
    <definedName name="HYTH">#REF!</definedName>
    <definedName name="I" localSheetId="2">#REF!</definedName>
    <definedName name="I" localSheetId="1">#REF!</definedName>
    <definedName name="I" localSheetId="0">#REF!</definedName>
    <definedName name="I" localSheetId="4">#REF!</definedName>
    <definedName name="I" localSheetId="3">#REF!</definedName>
    <definedName name="I" localSheetId="5">#REF!</definedName>
    <definedName name="I">#REF!</definedName>
    <definedName name="ice" localSheetId="2">#REF!</definedName>
    <definedName name="ice" localSheetId="1">#REF!</definedName>
    <definedName name="ice" localSheetId="0">#REF!</definedName>
    <definedName name="ice" localSheetId="4">#REF!</definedName>
    <definedName name="ice" localSheetId="3">#REF!</definedName>
    <definedName name="ice" localSheetId="5">#REF!</definedName>
    <definedName name="ice">#REF!</definedName>
    <definedName name="icp" localSheetId="4">#REF!</definedName>
    <definedName name="icp" localSheetId="3">#REF!</definedName>
    <definedName name="icp" localSheetId="5">#REF!</definedName>
    <definedName name="icp">#REF!</definedName>
    <definedName name="ID" localSheetId="2">#REF!</definedName>
    <definedName name="ID" localSheetId="1">#REF!</definedName>
    <definedName name="ID" localSheetId="0">#REF!</definedName>
    <definedName name="ID" localSheetId="4">#REF!</definedName>
    <definedName name="ID" localSheetId="3">#REF!</definedName>
    <definedName name="ID" localSheetId="5">#REF!</definedName>
    <definedName name="ID">#REF!</definedName>
    <definedName name="ihg" localSheetId="2" hidden="1">{#N/A,#N/A,TRUE,"Cover";#N/A,#N/A,TRUE,"Conts";#N/A,#N/A,TRUE,"VOS";#N/A,#N/A,TRUE,"Warrington";#N/A,#N/A,TRUE,"Widnes"}</definedName>
    <definedName name="ihg" localSheetId="1" hidden="1">{#N/A,#N/A,TRUE,"Cover";#N/A,#N/A,TRUE,"Conts";#N/A,#N/A,TRUE,"VOS";#N/A,#N/A,TRUE,"Warrington";#N/A,#N/A,TRUE,"Widnes"}</definedName>
    <definedName name="ihg" localSheetId="0" hidden="1">{#N/A,#N/A,TRUE,"Cover";#N/A,#N/A,TRUE,"Conts";#N/A,#N/A,TRUE,"VOS";#N/A,#N/A,TRUE,"Warrington";#N/A,#N/A,TRUE,"Widnes"}</definedName>
    <definedName name="ihg" localSheetId="4" hidden="1">{#N/A,#N/A,TRUE,"Cover";#N/A,#N/A,TRUE,"Conts";#N/A,#N/A,TRUE,"VOS";#N/A,#N/A,TRUE,"Warrington";#N/A,#N/A,TRUE,"Widnes"}</definedName>
    <definedName name="ihg" localSheetId="3" hidden="1">{#N/A,#N/A,TRUE,"Cover";#N/A,#N/A,TRUE,"Conts";#N/A,#N/A,TRUE,"VOS";#N/A,#N/A,TRUE,"Warrington";#N/A,#N/A,TRUE,"Widnes"}</definedName>
    <definedName name="ihg" localSheetId="5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localSheetId="2" hidden="1">{#N/A,#N/A,TRUE,"Cover";#N/A,#N/A,TRUE,"Conts";#N/A,#N/A,TRUE,"VOS";#N/A,#N/A,TRUE,"Warrington";#N/A,#N/A,TRUE,"Widnes"}</definedName>
    <definedName name="iho" localSheetId="1" hidden="1">{#N/A,#N/A,TRUE,"Cover";#N/A,#N/A,TRUE,"Conts";#N/A,#N/A,TRUE,"VOS";#N/A,#N/A,TRUE,"Warrington";#N/A,#N/A,TRUE,"Widnes"}</definedName>
    <definedName name="iho" localSheetId="0" hidden="1">{#N/A,#N/A,TRUE,"Cover";#N/A,#N/A,TRUE,"Conts";#N/A,#N/A,TRUE,"VOS";#N/A,#N/A,TRUE,"Warrington";#N/A,#N/A,TRUE,"Widnes"}</definedName>
    <definedName name="iho" localSheetId="4" hidden="1">{#N/A,#N/A,TRUE,"Cover";#N/A,#N/A,TRUE,"Conts";#N/A,#N/A,TRUE,"VOS";#N/A,#N/A,TRUE,"Warrington";#N/A,#N/A,TRUE,"Widnes"}</definedName>
    <definedName name="iho" localSheetId="3" hidden="1">{#N/A,#N/A,TRUE,"Cover";#N/A,#N/A,TRUE,"Conts";#N/A,#N/A,TRUE,"VOS";#N/A,#N/A,TRUE,"Warrington";#N/A,#N/A,TRUE,"Widnes"}</definedName>
    <definedName name="iho" localSheetId="5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iip" localSheetId="2" hidden="1">{"'Break down'!$A$4"}</definedName>
    <definedName name="iiip" localSheetId="1" hidden="1">{"'Break down'!$A$4"}</definedName>
    <definedName name="iiip" localSheetId="0" hidden="1">{"'Break down'!$A$4"}</definedName>
    <definedName name="iiip" localSheetId="4" hidden="1">{"'Break down'!$A$4"}</definedName>
    <definedName name="iiip" localSheetId="3" hidden="1">{"'Break down'!$A$4"}</definedName>
    <definedName name="iiip" localSheetId="5" hidden="1">{"'Break down'!$A$4"}</definedName>
    <definedName name="iiip" hidden="1">{"'Break down'!$A$4"}</definedName>
    <definedName name="iiip_1" localSheetId="2" hidden="1">{"'Break down'!$A$4"}</definedName>
    <definedName name="iiip_1" localSheetId="1" hidden="1">{"'Break down'!$A$4"}</definedName>
    <definedName name="iiip_1" localSheetId="0" hidden="1">{"'Break down'!$A$4"}</definedName>
    <definedName name="iiip_1" localSheetId="4" hidden="1">{"'Break down'!$A$4"}</definedName>
    <definedName name="iiip_1" localSheetId="3" hidden="1">{"'Break down'!$A$4"}</definedName>
    <definedName name="iiip_1" localSheetId="5" hidden="1">{"'Break down'!$A$4"}</definedName>
    <definedName name="iiip_1" hidden="1">{"'Break down'!$A$4"}</definedName>
    <definedName name="iiip_2" localSheetId="2" hidden="1">{"'Break down'!$A$4"}</definedName>
    <definedName name="iiip_2" localSheetId="1" hidden="1">{"'Break down'!$A$4"}</definedName>
    <definedName name="iiip_2" localSheetId="0" hidden="1">{"'Break down'!$A$4"}</definedName>
    <definedName name="iiip_2" localSheetId="4" hidden="1">{"'Break down'!$A$4"}</definedName>
    <definedName name="iiip_2" localSheetId="3" hidden="1">{"'Break down'!$A$4"}</definedName>
    <definedName name="iiip_2" localSheetId="5" hidden="1">{"'Break down'!$A$4"}</definedName>
    <definedName name="iiip_2" hidden="1">{"'Break down'!$A$4"}</definedName>
    <definedName name="iiy" localSheetId="2" hidden="1">{"'Break down'!$A$4"}</definedName>
    <definedName name="iiy" localSheetId="1" hidden="1">{"'Break down'!$A$4"}</definedName>
    <definedName name="iiy" localSheetId="0" hidden="1">{"'Break down'!$A$4"}</definedName>
    <definedName name="iiy" localSheetId="4" hidden="1">{"'Break down'!$A$4"}</definedName>
    <definedName name="iiy" localSheetId="3" hidden="1">{"'Break down'!$A$4"}</definedName>
    <definedName name="iiy" localSheetId="5" hidden="1">{"'Break down'!$A$4"}</definedName>
    <definedName name="iiy" hidden="1">{"'Break down'!$A$4"}</definedName>
    <definedName name="iiy_1" localSheetId="2" hidden="1">{"'Break down'!$A$4"}</definedName>
    <definedName name="iiy_1" localSheetId="1" hidden="1">{"'Break down'!$A$4"}</definedName>
    <definedName name="iiy_1" localSheetId="0" hidden="1">{"'Break down'!$A$4"}</definedName>
    <definedName name="iiy_1" localSheetId="4" hidden="1">{"'Break down'!$A$4"}</definedName>
    <definedName name="iiy_1" localSheetId="3" hidden="1">{"'Break down'!$A$4"}</definedName>
    <definedName name="iiy_1" localSheetId="5" hidden="1">{"'Break down'!$A$4"}</definedName>
    <definedName name="iiy_1" hidden="1">{"'Break down'!$A$4"}</definedName>
    <definedName name="iiy_2" localSheetId="2" hidden="1">{"'Break down'!$A$4"}</definedName>
    <definedName name="iiy_2" localSheetId="1" hidden="1">{"'Break down'!$A$4"}</definedName>
    <definedName name="iiy_2" localSheetId="0" hidden="1">{"'Break down'!$A$4"}</definedName>
    <definedName name="iiy_2" localSheetId="4" hidden="1">{"'Break down'!$A$4"}</definedName>
    <definedName name="iiy_2" localSheetId="3" hidden="1">{"'Break down'!$A$4"}</definedName>
    <definedName name="iiy_2" localSheetId="5" hidden="1">{"'Break down'!$A$4"}</definedName>
    <definedName name="iiy_2" hidden="1">{"'Break down'!$A$4"}</definedName>
    <definedName name="IMP" localSheetId="2">#REF!</definedName>
    <definedName name="IMP" localSheetId="1">#REF!</definedName>
    <definedName name="IMP" localSheetId="0">#REF!</definedName>
    <definedName name="IMP" localSheetId="4">#REF!</definedName>
    <definedName name="IMP" localSheetId="3">#REF!</definedName>
    <definedName name="IMP" localSheetId="5">#REF!</definedName>
    <definedName name="IMP">#REF!</definedName>
    <definedName name="importfill" localSheetId="2">#REF!</definedName>
    <definedName name="importfill" localSheetId="1">#REF!</definedName>
    <definedName name="importfill" localSheetId="0">#REF!</definedName>
    <definedName name="importfill" localSheetId="4">#REF!</definedName>
    <definedName name="importfill" localSheetId="3">#REF!</definedName>
    <definedName name="importfill" localSheetId="5">#REF!</definedName>
    <definedName name="importfill">#REF!</definedName>
    <definedName name="Included" localSheetId="2">#REF!</definedName>
    <definedName name="Included" localSheetId="1">#REF!</definedName>
    <definedName name="Included" localSheetId="4">#REF!</definedName>
    <definedName name="Included" localSheetId="3">#REF!</definedName>
    <definedName name="Included" localSheetId="5">#REF!</definedName>
    <definedName name="Included">#REF!</definedName>
    <definedName name="INCOME" localSheetId="2">#REF!</definedName>
    <definedName name="INCOME" localSheetId="1">#REF!</definedName>
    <definedName name="income" localSheetId="0">#REF!</definedName>
    <definedName name="income" localSheetId="4">#REF!</definedName>
    <definedName name="income" localSheetId="3">#REF!</definedName>
    <definedName name="income" localSheetId="5">#REF!</definedName>
    <definedName name="income">#REF!</definedName>
    <definedName name="Increase_2005" localSheetId="2">#REF!</definedName>
    <definedName name="Increase_2005" localSheetId="1">#REF!</definedName>
    <definedName name="Increase_2005" localSheetId="0">#REF!</definedName>
    <definedName name="Increase_2005" localSheetId="4">#REF!</definedName>
    <definedName name="Increase_2005" localSheetId="3">#REF!</definedName>
    <definedName name="Increase_2005" localSheetId="5">#REF!</definedName>
    <definedName name="Increase_2005">#REF!</definedName>
    <definedName name="Increase_2006" localSheetId="2">#REF!</definedName>
    <definedName name="Increase_2006" localSheetId="1">#REF!</definedName>
    <definedName name="Increase_2006" localSheetId="0">#REF!</definedName>
    <definedName name="Increase_2006" localSheetId="4">#REF!</definedName>
    <definedName name="Increase_2006" localSheetId="3">#REF!</definedName>
    <definedName name="Increase_2006" localSheetId="5">#REF!</definedName>
    <definedName name="Increase_2006">#REF!</definedName>
    <definedName name="Increase_2007" localSheetId="2">#REF!</definedName>
    <definedName name="Increase_2007" localSheetId="1">#REF!</definedName>
    <definedName name="Increase_2007" localSheetId="0">#REF!</definedName>
    <definedName name="Increase_2007" localSheetId="4">#REF!</definedName>
    <definedName name="Increase_2007" localSheetId="3">#REF!</definedName>
    <definedName name="Increase_2007" localSheetId="5">#REF!</definedName>
    <definedName name="Increase_2007">#REF!</definedName>
    <definedName name="Increase_2008" localSheetId="2">#REF!</definedName>
    <definedName name="Increase_2008" localSheetId="1">#REF!</definedName>
    <definedName name="Increase_2008" localSheetId="0">#REF!</definedName>
    <definedName name="Increase_2008" localSheetId="4">#REF!</definedName>
    <definedName name="Increase_2008" localSheetId="3">#REF!</definedName>
    <definedName name="Increase_2008" localSheetId="5">#REF!</definedName>
    <definedName name="Increase_2008">#REF!</definedName>
    <definedName name="Indem1" localSheetId="2">#REF!</definedName>
    <definedName name="Indem1" localSheetId="1">#REF!</definedName>
    <definedName name="Indem1" localSheetId="0">#REF!</definedName>
    <definedName name="Indem1" localSheetId="4">#REF!</definedName>
    <definedName name="Indem1" localSheetId="3">#REF!</definedName>
    <definedName name="Indem1" localSheetId="5">#REF!</definedName>
    <definedName name="Indem1">#REF!</definedName>
    <definedName name="INDEMNITY" localSheetId="2">#REF!</definedName>
    <definedName name="INDEMNITY" localSheetId="1">#REF!</definedName>
    <definedName name="INDEMNITY" localSheetId="0">#REF!</definedName>
    <definedName name="INDEMNITY" localSheetId="4">#REF!</definedName>
    <definedName name="INDEMNITY" localSheetId="3">#REF!</definedName>
    <definedName name="INDEMNITY" localSheetId="5">#REF!</definedName>
    <definedName name="INDEMNITY">#REF!</definedName>
    <definedName name="INDEX" localSheetId="4">#REF!</definedName>
    <definedName name="INDEX" localSheetId="3">#REF!</definedName>
    <definedName name="INDEX" localSheetId="5">#REF!</definedName>
    <definedName name="INDEX">#REF!</definedName>
    <definedName name="INDEX_1" localSheetId="2">#REF!</definedName>
    <definedName name="INDEX_1" localSheetId="1">#REF!</definedName>
    <definedName name="INDEX_1" localSheetId="0">#REF!</definedName>
    <definedName name="INDEX_1" localSheetId="4">#REF!</definedName>
    <definedName name="INDEX_1" localSheetId="3">#REF!</definedName>
    <definedName name="INDEX_1" localSheetId="5">#REF!</definedName>
    <definedName name="INDEX_1">#REF!</definedName>
    <definedName name="INDEX_2" localSheetId="2">#REF!</definedName>
    <definedName name="INDEX_2" localSheetId="1">#REF!</definedName>
    <definedName name="INDEX_2" localSheetId="0">#REF!</definedName>
    <definedName name="INDEX_2" localSheetId="4">#REF!</definedName>
    <definedName name="INDEX_2" localSheetId="3">#REF!</definedName>
    <definedName name="INDEX_2" localSheetId="5">#REF!</definedName>
    <definedName name="INDEX_2">#REF!</definedName>
    <definedName name="Index_Print" localSheetId="4">#REF!</definedName>
    <definedName name="Index_Print" localSheetId="3">#REF!</definedName>
    <definedName name="Index_Print" localSheetId="5">#REF!</definedName>
    <definedName name="Index_Print">#REF!</definedName>
    <definedName name="Index1" localSheetId="4">#REF!</definedName>
    <definedName name="Index1" localSheetId="3">#REF!</definedName>
    <definedName name="Index1" localSheetId="5">#REF!</definedName>
    <definedName name="Index1">#REF!</definedName>
    <definedName name="INDIGO" localSheetId="2">#REF!</definedName>
    <definedName name="INDIGO" localSheetId="1">#REF!</definedName>
    <definedName name="INDIGO" localSheetId="0">#REF!</definedName>
    <definedName name="INDIGO" localSheetId="4">#REF!</definedName>
    <definedName name="INDIGO" localSheetId="3">#REF!</definedName>
    <definedName name="INDIGO" localSheetId="5">#REF!</definedName>
    <definedName name="INDIGO">#REF!</definedName>
    <definedName name="INDIRECT_CITY" localSheetId="2">#REF!</definedName>
    <definedName name="INDIRECT_CITY" localSheetId="1">#REF!</definedName>
    <definedName name="INDIRECT_CITY" localSheetId="0">#REF!</definedName>
    <definedName name="INDIRECT_CITY" localSheetId="4">#REF!</definedName>
    <definedName name="INDIRECT_CITY" localSheetId="3">#REF!</definedName>
    <definedName name="INDIRECT_CITY" localSheetId="5">#REF!</definedName>
    <definedName name="INDIRECT_CITY">#REF!</definedName>
    <definedName name="INDIRECT_ESC" localSheetId="2">#REF!</definedName>
    <definedName name="INDIRECT_ESC" localSheetId="1">#REF!</definedName>
    <definedName name="INDIRECT_ESC" localSheetId="0">#REF!</definedName>
    <definedName name="INDIRECT_ESC" localSheetId="4">#REF!</definedName>
    <definedName name="INDIRECT_ESC" localSheetId="3">#REF!</definedName>
    <definedName name="INDIRECT_ESC" localSheetId="5">#REF!</definedName>
    <definedName name="INDIRECT_ESC">#REF!</definedName>
    <definedName name="INDIRECT_MATRL_UNIT_COST" localSheetId="2">#REF!,#REF!,#REF!,#REF!,#REF!,#REF!,#REF!</definedName>
    <definedName name="INDIRECT_MATRL_UNIT_COST" localSheetId="1">#REF!,#REF!,#REF!,#REF!,#REF!,#REF!,#REF!</definedName>
    <definedName name="INDIRECT_MATRL_UNIT_COST" localSheetId="0">#REF!,#REF!,#REF!,#REF!,#REF!,#REF!,#REF!</definedName>
    <definedName name="INDIRECT_MATRL_UNIT_COST" localSheetId="4">#REF!,#REF!,#REF!,#REF!,#REF!,#REF!,#REF!</definedName>
    <definedName name="INDIRECT_MATRL_UNIT_COST" localSheetId="3">#REF!,#REF!,#REF!,#REF!,#REF!,#REF!,#REF!</definedName>
    <definedName name="INDIRECT_MATRL_UNIT_COST" localSheetId="5">#REF!,#REF!,#REF!,#REF!,#REF!,#REF!,#REF!</definedName>
    <definedName name="INDIRECT_MATRL_UNIT_COST">#REF!,#REF!,#REF!,#REF!,#REF!,#REF!,#REF!</definedName>
    <definedName name="INDIRECT_OLD_CITY" localSheetId="2">#REF!</definedName>
    <definedName name="INDIRECT_OLD_CITY" localSheetId="1">#REF!</definedName>
    <definedName name="INDIRECT_OLD_CITY" localSheetId="0">#REF!</definedName>
    <definedName name="INDIRECT_OLD_CITY" localSheetId="4">#REF!</definedName>
    <definedName name="INDIRECT_OLD_CITY" localSheetId="3">#REF!</definedName>
    <definedName name="INDIRECT_OLD_CITY" localSheetId="5">#REF!</definedName>
    <definedName name="INDIRECT_OLD_CITY">#REF!</definedName>
    <definedName name="INDIRECT_OLD_ESC" localSheetId="2">#REF!</definedName>
    <definedName name="INDIRECT_OLD_ESC" localSheetId="1">#REF!</definedName>
    <definedName name="INDIRECT_OLD_ESC" localSheetId="0">#REF!</definedName>
    <definedName name="INDIRECT_OLD_ESC" localSheetId="4">#REF!</definedName>
    <definedName name="INDIRECT_OLD_ESC" localSheetId="3">#REF!</definedName>
    <definedName name="INDIRECT_OLD_ESC" localSheetId="5">#REF!</definedName>
    <definedName name="INDIRECT_OLD_ESC">#REF!</definedName>
    <definedName name="INDIRECT_OLD_PROD" localSheetId="2">#REF!</definedName>
    <definedName name="INDIRECT_OLD_PROD" localSheetId="1">#REF!</definedName>
    <definedName name="INDIRECT_OLD_PROD" localSheetId="0">#REF!</definedName>
    <definedName name="INDIRECT_OLD_PROD" localSheetId="4">#REF!</definedName>
    <definedName name="INDIRECT_OLD_PROD" localSheetId="3">#REF!</definedName>
    <definedName name="INDIRECT_OLD_PROD" localSheetId="5">#REF!</definedName>
    <definedName name="INDIRECT_OLD_PROD">#REF!</definedName>
    <definedName name="INDIRECT_OLD_WAGE" localSheetId="2">#REF!</definedName>
    <definedName name="INDIRECT_OLD_WAGE" localSheetId="1">#REF!</definedName>
    <definedName name="INDIRECT_OLD_WAGE" localSheetId="0">#REF!</definedName>
    <definedName name="INDIRECT_OLD_WAGE" localSheetId="4">#REF!</definedName>
    <definedName name="INDIRECT_OLD_WAGE" localSheetId="3">#REF!</definedName>
    <definedName name="INDIRECT_OLD_WAGE" localSheetId="5">#REF!</definedName>
    <definedName name="INDIRECT_OLD_WAGE">#REF!</definedName>
    <definedName name="INDIRECT_PCT_LABOR_COST" localSheetId="4">#REF!,#REF!,#REF!,#REF!,#REF!,#REF!,#REF!</definedName>
    <definedName name="INDIRECT_PCT_LABOR_COST" localSheetId="3">#REF!,#REF!,#REF!,#REF!,#REF!,#REF!,#REF!</definedName>
    <definedName name="INDIRECT_PCT_LABOR_COST" localSheetId="5">#REF!,#REF!,#REF!,#REF!,#REF!,#REF!,#REF!</definedName>
    <definedName name="INDIRECT_PCT_LABOR_COST">#REF!,#REF!,#REF!,#REF!,#REF!,#REF!,#REF!</definedName>
    <definedName name="INDIRECT_PROD" localSheetId="2">#REF!</definedName>
    <definedName name="INDIRECT_PROD" localSheetId="1">#REF!</definedName>
    <definedName name="INDIRECT_PROD" localSheetId="0">#REF!</definedName>
    <definedName name="INDIRECT_PROD" localSheetId="4">#REF!</definedName>
    <definedName name="INDIRECT_PROD" localSheetId="3">#REF!</definedName>
    <definedName name="INDIRECT_PROD" localSheetId="5">#REF!</definedName>
    <definedName name="INDIRECT_PROD">#REF!</definedName>
    <definedName name="INDIRECT_WAGE" localSheetId="2">#REF!</definedName>
    <definedName name="INDIRECT_WAGE" localSheetId="1">#REF!</definedName>
    <definedName name="INDIRECT_WAGE" localSheetId="0">#REF!</definedName>
    <definedName name="INDIRECT_WAGE" localSheetId="4">#REF!</definedName>
    <definedName name="INDIRECT_WAGE" localSheetId="3">#REF!</definedName>
    <definedName name="INDIRECT_WAGE" localSheetId="5">#REF!</definedName>
    <definedName name="INDIRECT_WAGE">#REF!</definedName>
    <definedName name="INDOOR_COND" localSheetId="2">#REF!</definedName>
    <definedName name="INDOOR_COND" localSheetId="1">#REF!</definedName>
    <definedName name="INDOOR_COND" localSheetId="0">#REF!</definedName>
    <definedName name="INDOOR_COND" localSheetId="4">#REF!</definedName>
    <definedName name="INDOOR_COND" localSheetId="3">#REF!</definedName>
    <definedName name="INDOOR_COND" localSheetId="5">#REF!</definedName>
    <definedName name="INDOOR_COND">#REF!</definedName>
    <definedName name="industry" localSheetId="2">#REF!</definedName>
    <definedName name="industry" localSheetId="1">#REF!</definedName>
    <definedName name="industry" localSheetId="0">#REF!</definedName>
    <definedName name="industry" localSheetId="4">#REF!</definedName>
    <definedName name="industry" localSheetId="3">#REF!</definedName>
    <definedName name="industry" localSheetId="5">#REF!</definedName>
    <definedName name="industry">#REF!</definedName>
    <definedName name="Infl1" localSheetId="4">#REF!,#REF!,#REF!,#REF!,#REF!,#REF!,#REF!,#REF!,#REF!,#REF!</definedName>
    <definedName name="Infl1" localSheetId="3">#REF!,#REF!,#REF!,#REF!,#REF!,#REF!,#REF!,#REF!,#REF!,#REF!</definedName>
    <definedName name="Infl1" localSheetId="5">#REF!,#REF!,#REF!,#REF!,#REF!,#REF!,#REF!,#REF!,#REF!,#REF!</definedName>
    <definedName name="Infl1">#REF!,#REF!,#REF!,#REF!,#REF!,#REF!,#REF!,#REF!,#REF!,#REF!</definedName>
    <definedName name="Inflation_Percentage_construction" localSheetId="2">#REF!</definedName>
    <definedName name="Inflation_Percentage_construction" localSheetId="1">#REF!</definedName>
    <definedName name="Inflation_Percentage_construction" localSheetId="0">#REF!</definedName>
    <definedName name="Inflation_Percentage_construction" localSheetId="4">#REF!</definedName>
    <definedName name="Inflation_Percentage_construction" localSheetId="3">#REF!</definedName>
    <definedName name="Inflation_Percentage_construction" localSheetId="5">#REF!</definedName>
    <definedName name="Inflation_Percentage_construction">#REF!</definedName>
    <definedName name="Inflation_Percentage_Design" localSheetId="2">#REF!</definedName>
    <definedName name="Inflation_Percentage_Design" localSheetId="1">#REF!</definedName>
    <definedName name="Inflation_Percentage_Design" localSheetId="0">#REF!</definedName>
    <definedName name="Inflation_Percentage_Design" localSheetId="4">#REF!</definedName>
    <definedName name="Inflation_Percentage_Design" localSheetId="3">#REF!</definedName>
    <definedName name="Inflation_Percentage_Design" localSheetId="5">#REF!</definedName>
    <definedName name="Inflation_Percentage_Design">#REF!</definedName>
    <definedName name="INFO_BI_EXE_NAME" hidden="1">"BICPARTNERV11.EXE"</definedName>
    <definedName name="INFO_EXE_SERVER_PATH" hidden="1">"C:\Pastel11\BICPARTNERV11.EXE"</definedName>
    <definedName name="INFO_INSTANCE_ID" hidden="1">"0"</definedName>
    <definedName name="INFO_INSTANCE_NAME" hidden="1">"Management Pack D-2-1 (P v11)_20130213_14_29_51_2929.xls"</definedName>
    <definedName name="INFO_REPORT_CODE" hidden="1">"P10-FI01-2-1"</definedName>
    <definedName name="INFO_REPORT_ID" hidden="1">"2"</definedName>
    <definedName name="INFO_REPORT_NAME" hidden="1">"Management Pack D-2-1 (P v11)"</definedName>
    <definedName name="INFO_RUN_USER" hidden="1">""</definedName>
    <definedName name="INFO_RUN_WORKSTATION" hidden="1">"DENNIS-PC"</definedName>
    <definedName name="input_index" localSheetId="2">#REF!</definedName>
    <definedName name="input_index" localSheetId="1">#REF!</definedName>
    <definedName name="input_index" localSheetId="0">#REF!</definedName>
    <definedName name="input_index" localSheetId="4">#REF!</definedName>
    <definedName name="input_index" localSheetId="3">#REF!</definedName>
    <definedName name="input_index" localSheetId="5">#REF!</definedName>
    <definedName name="input_index">#REF!</definedName>
    <definedName name="InputData" localSheetId="4">#REF!,#REF!,#REF!,#REF!,#REF!,#REF!,#REF!</definedName>
    <definedName name="InputData" localSheetId="3">#REF!,#REF!,#REF!,#REF!,#REF!,#REF!,#REF!</definedName>
    <definedName name="InputData" localSheetId="5">#REF!,#REF!,#REF!,#REF!,#REF!,#REF!,#REF!</definedName>
    <definedName name="InputData">#REF!,#REF!,#REF!,#REF!,#REF!,#REF!,#REF!</definedName>
    <definedName name="Insert1" localSheetId="4">#REF!</definedName>
    <definedName name="Insert1" localSheetId="3">#REF!</definedName>
    <definedName name="Insert1" localSheetId="5">#REF!</definedName>
    <definedName name="Insert1">#REF!</definedName>
    <definedName name="INSPCN" localSheetId="2">#REF!</definedName>
    <definedName name="INSPCN" localSheetId="1">#REF!</definedName>
    <definedName name="INSPCN" localSheetId="0">#REF!</definedName>
    <definedName name="INSPCN" localSheetId="4">#REF!</definedName>
    <definedName name="INSPCN" localSheetId="3">#REF!</definedName>
    <definedName name="INSPCN" localSheetId="5">#REF!</definedName>
    <definedName name="INSPCN">#REF!</definedName>
    <definedName name="Inst." localSheetId="2">#REF!</definedName>
    <definedName name="Inst." localSheetId="1">#REF!</definedName>
    <definedName name="Inst." localSheetId="0">#REF!</definedName>
    <definedName name="Inst." localSheetId="4">#REF!</definedName>
    <definedName name="Inst." localSheetId="3">#REF!</definedName>
    <definedName name="Inst." localSheetId="5">#REF!</definedName>
    <definedName name="Inst.">#REF!</definedName>
    <definedName name="INST60_OLD_CITY" localSheetId="2">#REF!</definedName>
    <definedName name="INST60_OLD_CITY" localSheetId="1">#REF!</definedName>
    <definedName name="INST60_OLD_CITY" localSheetId="0">#REF!</definedName>
    <definedName name="INST60_OLD_CITY" localSheetId="4">#REF!</definedName>
    <definedName name="INST60_OLD_CITY" localSheetId="3">#REF!</definedName>
    <definedName name="INST60_OLD_CITY" localSheetId="5">#REF!</definedName>
    <definedName name="INST60_OLD_CITY">#REF!</definedName>
    <definedName name="INST60_OLD_ESC" localSheetId="2">#REF!</definedName>
    <definedName name="INST60_OLD_ESC" localSheetId="1">#REF!</definedName>
    <definedName name="INST60_OLD_ESC" localSheetId="0">#REF!</definedName>
    <definedName name="INST60_OLD_ESC" localSheetId="4">#REF!</definedName>
    <definedName name="INST60_OLD_ESC" localSheetId="3">#REF!</definedName>
    <definedName name="INST60_OLD_ESC" localSheetId="5">#REF!</definedName>
    <definedName name="INST60_OLD_ESC">#REF!</definedName>
    <definedName name="INST60_OLD_PROD" localSheetId="2">#REF!</definedName>
    <definedName name="INST60_OLD_PROD" localSheetId="1">#REF!</definedName>
    <definedName name="INST60_OLD_PROD" localSheetId="0">#REF!</definedName>
    <definedName name="INST60_OLD_PROD" localSheetId="4">#REF!</definedName>
    <definedName name="INST60_OLD_PROD" localSheetId="3">#REF!</definedName>
    <definedName name="INST60_OLD_PROD" localSheetId="5">#REF!</definedName>
    <definedName name="INST60_OLD_PROD">#REF!</definedName>
    <definedName name="INST60_OLD_WAGE" localSheetId="2">#REF!</definedName>
    <definedName name="INST60_OLD_WAGE" localSheetId="1">#REF!</definedName>
    <definedName name="INST60_OLD_WAGE" localSheetId="0">#REF!</definedName>
    <definedName name="INST60_OLD_WAGE" localSheetId="4">#REF!</definedName>
    <definedName name="INST60_OLD_WAGE" localSheetId="3">#REF!</definedName>
    <definedName name="INST60_OLD_WAGE" localSheetId="5">#REF!</definedName>
    <definedName name="INST60_OLD_WAGE">#REF!</definedName>
    <definedName name="Installation" localSheetId="2">#REF!</definedName>
    <definedName name="Installation" localSheetId="1">#REF!</definedName>
    <definedName name="Installation" localSheetId="0">#REF!</definedName>
    <definedName name="Installation" localSheetId="4">#REF!</definedName>
    <definedName name="Installation" localSheetId="3">#REF!</definedName>
    <definedName name="Installation" localSheetId="5">#REF!</definedName>
    <definedName name="Installation">#REF!</definedName>
    <definedName name="INSTR" localSheetId="2">#REF!</definedName>
    <definedName name="INSTR" localSheetId="1">#REF!</definedName>
    <definedName name="INSTR" localSheetId="0">#REF!</definedName>
    <definedName name="INSTR" localSheetId="4">#REF!</definedName>
    <definedName name="INSTR" localSheetId="3">#REF!</definedName>
    <definedName name="INSTR" localSheetId="5">#REF!</definedName>
    <definedName name="INSTR">#REF!</definedName>
    <definedName name="INSTR_REMARKS" localSheetId="2">#REF!</definedName>
    <definedName name="INSTR_REMARKS" localSheetId="1">#REF!</definedName>
    <definedName name="INSTR_REMARKS" localSheetId="0">#REF!</definedName>
    <definedName name="INSTR_REMARKS" localSheetId="4">#REF!</definedName>
    <definedName name="INSTR_REMARKS" localSheetId="3">#REF!</definedName>
    <definedName name="INSTR_REMARKS" localSheetId="5">#REF!</definedName>
    <definedName name="INSTR_REMARKS">#REF!</definedName>
    <definedName name="INSTR_STANDS" localSheetId="2">#REF!</definedName>
    <definedName name="INSTR_STANDS" localSheetId="1">#REF!</definedName>
    <definedName name="INSTR_STANDS" localSheetId="0">#REF!</definedName>
    <definedName name="INSTR_STANDS" localSheetId="4">#REF!</definedName>
    <definedName name="INSTR_STANDS" localSheetId="3">#REF!</definedName>
    <definedName name="INSTR_STANDS" localSheetId="5">#REF!</definedName>
    <definedName name="INSTR_STANDS">#REF!</definedName>
    <definedName name="INSTR_TUBING" localSheetId="2">#REF!</definedName>
    <definedName name="INSTR_TUBING" localSheetId="1">#REF!</definedName>
    <definedName name="INSTR_TUBING" localSheetId="0">#REF!</definedName>
    <definedName name="INSTR_TUBING" localSheetId="4">#REF!</definedName>
    <definedName name="INSTR_TUBING" localSheetId="3">#REF!</definedName>
    <definedName name="INSTR_TUBING" localSheetId="5">#REF!</definedName>
    <definedName name="INSTR_TUBING">#REF!</definedName>
    <definedName name="INSTR60_CITY" localSheetId="2">#REF!</definedName>
    <definedName name="INSTR60_CITY" localSheetId="1">#REF!</definedName>
    <definedName name="INSTR60_CITY" localSheetId="0">#REF!</definedName>
    <definedName name="INSTR60_CITY" localSheetId="4">#REF!</definedName>
    <definedName name="INSTR60_CITY" localSheetId="3">#REF!</definedName>
    <definedName name="INSTR60_CITY" localSheetId="5">#REF!</definedName>
    <definedName name="INSTR60_CITY">#REF!</definedName>
    <definedName name="INSTR60_ESC" localSheetId="2">#REF!</definedName>
    <definedName name="INSTR60_ESC" localSheetId="1">#REF!</definedName>
    <definedName name="INSTR60_ESC" localSheetId="0">#REF!</definedName>
    <definedName name="INSTR60_ESC" localSheetId="4">#REF!</definedName>
    <definedName name="INSTR60_ESC" localSheetId="3">#REF!</definedName>
    <definedName name="INSTR60_ESC" localSheetId="5">#REF!</definedName>
    <definedName name="INSTR60_ESC">#REF!</definedName>
    <definedName name="INSTR60_HRS" localSheetId="2">#REF!</definedName>
    <definedName name="INSTR60_HRS" localSheetId="1">#REF!</definedName>
    <definedName name="INSTR60_HRS" localSheetId="0">#REF!</definedName>
    <definedName name="INSTR60_HRS" localSheetId="4">#REF!</definedName>
    <definedName name="INSTR60_HRS" localSheetId="3">#REF!</definedName>
    <definedName name="INSTR60_HRS" localSheetId="5">#REF!</definedName>
    <definedName name="INSTR60_HRS">#REF!</definedName>
    <definedName name="INSTR60_LAB" localSheetId="2">#REF!</definedName>
    <definedName name="INSTR60_LAB" localSheetId="1">#REF!</definedName>
    <definedName name="INSTR60_LAB" localSheetId="0">#REF!</definedName>
    <definedName name="INSTR60_LAB" localSheetId="4">#REF!</definedName>
    <definedName name="INSTR60_LAB" localSheetId="3">#REF!</definedName>
    <definedName name="INSTR60_LAB" localSheetId="5">#REF!</definedName>
    <definedName name="INSTR60_LAB">#REF!</definedName>
    <definedName name="INSTR60_MAT" localSheetId="2">#REF!</definedName>
    <definedName name="INSTR60_MAT" localSheetId="1">#REF!</definedName>
    <definedName name="INSTR60_MAT" localSheetId="0">#REF!</definedName>
    <definedName name="INSTR60_MAT" localSheetId="4">#REF!</definedName>
    <definedName name="INSTR60_MAT" localSheetId="3">#REF!</definedName>
    <definedName name="INSTR60_MAT" localSheetId="5">#REF!</definedName>
    <definedName name="INSTR60_MAT">#REF!</definedName>
    <definedName name="INSTR60_PROD" localSheetId="2">#REF!</definedName>
    <definedName name="INSTR60_PROD" localSheetId="1">#REF!</definedName>
    <definedName name="INSTR60_PROD" localSheetId="0">#REF!</definedName>
    <definedName name="INSTR60_PROD" localSheetId="4">#REF!</definedName>
    <definedName name="INSTR60_PROD" localSheetId="3">#REF!</definedName>
    <definedName name="INSTR60_PROD" localSheetId="5">#REF!</definedName>
    <definedName name="INSTR60_PROD">#REF!</definedName>
    <definedName name="INSTR60_SC" localSheetId="2">#REF!</definedName>
    <definedName name="INSTR60_SC" localSheetId="1">#REF!</definedName>
    <definedName name="INSTR60_SC" localSheetId="0">#REF!</definedName>
    <definedName name="INSTR60_SC" localSheetId="4">#REF!</definedName>
    <definedName name="INSTR60_SC" localSheetId="3">#REF!</definedName>
    <definedName name="INSTR60_SC" localSheetId="5">#REF!</definedName>
    <definedName name="INSTR60_SC">#REF!</definedName>
    <definedName name="INSTR60_SCHRS" localSheetId="2">#REF!</definedName>
    <definedName name="INSTR60_SCHRS" localSheetId="1">#REF!</definedName>
    <definedName name="INSTR60_SCHRS" localSheetId="0">#REF!</definedName>
    <definedName name="INSTR60_SCHRS" localSheetId="4">#REF!</definedName>
    <definedName name="INSTR60_SCHRS" localSheetId="3">#REF!</definedName>
    <definedName name="INSTR60_SCHRS" localSheetId="5">#REF!</definedName>
    <definedName name="INSTR60_SCHRS">#REF!</definedName>
    <definedName name="INSTR60_TOT" localSheetId="2">#REF!</definedName>
    <definedName name="INSTR60_TOT" localSheetId="1">#REF!</definedName>
    <definedName name="INSTR60_TOT" localSheetId="0">#REF!</definedName>
    <definedName name="INSTR60_TOT" localSheetId="4">#REF!</definedName>
    <definedName name="INSTR60_TOT" localSheetId="3">#REF!</definedName>
    <definedName name="INSTR60_TOT" localSheetId="5">#REF!</definedName>
    <definedName name="INSTR60_TOT">#REF!</definedName>
    <definedName name="INSTR60_WAGE" localSheetId="2">#REF!</definedName>
    <definedName name="INSTR60_WAGE" localSheetId="1">#REF!</definedName>
    <definedName name="INSTR60_WAGE" localSheetId="0">#REF!</definedName>
    <definedName name="INSTR60_WAGE" localSheetId="4">#REF!</definedName>
    <definedName name="INSTR60_WAGE" localSheetId="3">#REF!</definedName>
    <definedName name="INSTR60_WAGE" localSheetId="5">#REF!</definedName>
    <definedName name="INSTR60_WAGE">#REF!</definedName>
    <definedName name="INSULATION" localSheetId="2">#REF!</definedName>
    <definedName name="INSULATION" localSheetId="1">#REF!</definedName>
    <definedName name="INSULATION" localSheetId="0">#REF!</definedName>
    <definedName name="INSULATION" localSheetId="4">#REF!</definedName>
    <definedName name="INSULATION" localSheetId="3">#REF!</definedName>
    <definedName name="INSULATION" localSheetId="5">#REF!</definedName>
    <definedName name="INSULATION">#REF!</definedName>
    <definedName name="Insurance" localSheetId="4">#REF!</definedName>
    <definedName name="Insurance" localSheetId="3">#REF!</definedName>
    <definedName name="Insurance" localSheetId="5">#REF!</definedName>
    <definedName name="Insurance">#REF!</definedName>
    <definedName name="Int" localSheetId="2">#REF!</definedName>
    <definedName name="Int" localSheetId="1">#REF!</definedName>
    <definedName name="Int" localSheetId="0">#REF!</definedName>
    <definedName name="Int" localSheetId="4">#REF!</definedName>
    <definedName name="Int" localSheetId="3">#REF!</definedName>
    <definedName name="Int" localSheetId="5">#REF!</definedName>
    <definedName name="Int">#REF!</definedName>
    <definedName name="Interest_Rate" localSheetId="2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 localSheetId="3">#REF!</definedName>
    <definedName name="Interest_Rate" localSheetId="5">#REF!</definedName>
    <definedName name="Interest_Rate">#REF!</definedName>
    <definedName name="Intermediate" localSheetId="4">#REF!</definedName>
    <definedName name="Intermediate" localSheetId="3">#REF!</definedName>
    <definedName name="Intermediate" localSheetId="5">#REF!</definedName>
    <definedName name="Intermediate">#REF!</definedName>
    <definedName name="Interphone_system" localSheetId="4">#REF!</definedName>
    <definedName name="Interphone_system" localSheetId="3">#REF!</definedName>
    <definedName name="Interphone_system" localSheetId="5">#REF!</definedName>
    <definedName name="Interphone_system">#REF!</definedName>
    <definedName name="Intersection" localSheetId="2">#REF!</definedName>
    <definedName name="Intersection" localSheetId="1">#REF!</definedName>
    <definedName name="Intersection" localSheetId="0">#REF!</definedName>
    <definedName name="Intersection" localSheetId="4">#REF!</definedName>
    <definedName name="Intersection" localSheetId="3">#REF!</definedName>
    <definedName name="Intersection" localSheetId="5">#REF!</definedName>
    <definedName name="Intersection">#REF!</definedName>
    <definedName name="INV" localSheetId="2">#REF!</definedName>
    <definedName name="INV" localSheetId="1">#REF!</definedName>
    <definedName name="INV" localSheetId="0">#REF!</definedName>
    <definedName name="INV" localSheetId="4">#REF!</definedName>
    <definedName name="INV" localSheetId="3">#REF!</definedName>
    <definedName name="INV" localSheetId="5">#REF!</definedName>
    <definedName name="INV">#REF!</definedName>
    <definedName name="io" localSheetId="2" hidden="1">{#N/A,#N/A,TRUE,"Cover";#N/A,#N/A,TRUE,"Conts";#N/A,#N/A,TRUE,"VOS";#N/A,#N/A,TRUE,"Warrington";#N/A,#N/A,TRUE,"Widnes"}</definedName>
    <definedName name="io" localSheetId="1" hidden="1">{#N/A,#N/A,TRUE,"Cover";#N/A,#N/A,TRUE,"Conts";#N/A,#N/A,TRUE,"VOS";#N/A,#N/A,TRUE,"Warrington";#N/A,#N/A,TRUE,"Widnes"}</definedName>
    <definedName name="io" localSheetId="0" hidden="1">{#N/A,#N/A,TRUE,"Cover";#N/A,#N/A,TRUE,"Conts";#N/A,#N/A,TRUE,"VOS";#N/A,#N/A,TRUE,"Warrington";#N/A,#N/A,TRUE,"Widnes"}</definedName>
    <definedName name="io" localSheetId="4" hidden="1">{#N/A,#N/A,TRUE,"Cover";#N/A,#N/A,TRUE,"Conts";#N/A,#N/A,TRUE,"VOS";#N/A,#N/A,TRUE,"Warrington";#N/A,#N/A,TRUE,"Widnes"}</definedName>
    <definedName name="io" localSheetId="3" hidden="1">{#N/A,#N/A,TRUE,"Cover";#N/A,#N/A,TRUE,"Conts";#N/A,#N/A,TRUE,"VOS";#N/A,#N/A,TRUE,"Warrington";#N/A,#N/A,TRUE,"Widnes"}</definedName>
    <definedName name="io" localSheetId="5" hidden="1">{#N/A,#N/A,TRUE,"Cover";#N/A,#N/A,TRUE,"Conts";#N/A,#N/A,TRUE,"VOS";#N/A,#N/A,TRUE,"Warrington";#N/A,#N/A,TRUE,"Widnes"}</definedName>
    <definedName name="io" hidden="1">{#N/A,#N/A,TRUE,"Cover";#N/A,#N/A,TRUE,"Conts";#N/A,#N/A,TRUE,"VOS";#N/A,#N/A,TRUE,"Warrington";#N/A,#N/A,TRUE,"Widnes"}</definedName>
    <definedName name="iol" localSheetId="2" hidden="1">{#N/A,#N/A,TRUE,"Cover";#N/A,#N/A,TRUE,"Conts";#N/A,#N/A,TRUE,"VOS";#N/A,#N/A,TRUE,"Warrington";#N/A,#N/A,TRUE,"Widnes"}</definedName>
    <definedName name="iol" localSheetId="1" hidden="1">{#N/A,#N/A,TRUE,"Cover";#N/A,#N/A,TRUE,"Conts";#N/A,#N/A,TRUE,"VOS";#N/A,#N/A,TRUE,"Warrington";#N/A,#N/A,TRUE,"Widnes"}</definedName>
    <definedName name="iol" localSheetId="0" hidden="1">{#N/A,#N/A,TRUE,"Cover";#N/A,#N/A,TRUE,"Conts";#N/A,#N/A,TRUE,"VOS";#N/A,#N/A,TRUE,"Warrington";#N/A,#N/A,TRUE,"Widnes"}</definedName>
    <definedName name="iol" localSheetId="4" hidden="1">{#N/A,#N/A,TRUE,"Cover";#N/A,#N/A,TRUE,"Conts";#N/A,#N/A,TRUE,"VOS";#N/A,#N/A,TRUE,"Warrington";#N/A,#N/A,TRUE,"Widnes"}</definedName>
    <definedName name="iol" localSheetId="3" hidden="1">{#N/A,#N/A,TRUE,"Cover";#N/A,#N/A,TRUE,"Conts";#N/A,#N/A,TRUE,"VOS";#N/A,#N/A,TRUE,"Warrington";#N/A,#N/A,TRUE,"Widnes"}</definedName>
    <definedName name="iol" localSheetId="5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Calcs" localSheetId="5">#REF!</definedName>
    <definedName name="IRCalcs">#REF!</definedName>
    <definedName name="iro" localSheetId="0" hidden="1">#REF!</definedName>
    <definedName name="iro" localSheetId="4" hidden="1">#REF!</definedName>
    <definedName name="iro" localSheetId="3" hidden="1">#REF!</definedName>
    <definedName name="iro" localSheetId="5" hidden="1">#REF!</definedName>
    <definedName name="iro" hidden="1">#REF!</definedName>
    <definedName name="Issu_Date" localSheetId="4">#REF!</definedName>
    <definedName name="Issu_Date" localSheetId="3">#REF!</definedName>
    <definedName name="Issu_Date" localSheetId="5">#REF!</definedName>
    <definedName name="Issu_Date">#REF!</definedName>
    <definedName name="it" localSheetId="4">#REF!</definedName>
    <definedName name="it" localSheetId="3">#REF!</definedName>
    <definedName name="it" localSheetId="5">#REF!</definedName>
    <definedName name="it">#REF!</definedName>
    <definedName name="ITEM" localSheetId="2">#REF!</definedName>
    <definedName name="ITEM" localSheetId="1">#REF!</definedName>
    <definedName name="ITEM" localSheetId="0">#REF!</definedName>
    <definedName name="ITEM" localSheetId="4">#REF!</definedName>
    <definedName name="ITEM" localSheetId="3">#REF!</definedName>
    <definedName name="ITEM" localSheetId="5">#REF!</definedName>
    <definedName name="ITEM">#REF!</definedName>
    <definedName name="item_plaster" localSheetId="4">#REF!</definedName>
    <definedName name="item_plaster" localSheetId="3">#REF!</definedName>
    <definedName name="item_plaster" localSheetId="5">#REF!</definedName>
    <definedName name="item_plaster">#REF!</definedName>
    <definedName name="item_plasterstop" localSheetId="4">#REF!</definedName>
    <definedName name="item_plasterstop" localSheetId="3">#REF!</definedName>
    <definedName name="item_plasterstop" localSheetId="5">#REF!</definedName>
    <definedName name="item_plasterstop">#REF!</definedName>
    <definedName name="itemrange" localSheetId="4">OFFSET(#REF!,0,0,COUNTA(#REF!),1)</definedName>
    <definedName name="itemrange" localSheetId="3">OFFSET(#REF!,0,0,COUNTA(#REF!),1)</definedName>
    <definedName name="itemrange" localSheetId="5">OFFSET(#REF!,0,0,COUNTA(#REF!),1)</definedName>
    <definedName name="itemrange">OFFSET(#REF!,0,0,COUNTA(#REF!),1)</definedName>
    <definedName name="iteration" localSheetId="2">#REF!</definedName>
    <definedName name="iteration" localSheetId="1">#REF!</definedName>
    <definedName name="iteration" localSheetId="0">#REF!</definedName>
    <definedName name="iteration" localSheetId="4">#REF!</definedName>
    <definedName name="iteration" localSheetId="3">#REF!</definedName>
    <definedName name="iteration" localSheetId="5">#REF!</definedName>
    <definedName name="iteration">#REF!</definedName>
    <definedName name="ITL" localSheetId="4">#REF!</definedName>
    <definedName name="ITL" localSheetId="3">#REF!</definedName>
    <definedName name="ITL" localSheetId="5">#REF!</definedName>
    <definedName name="ITL">#REF!</definedName>
    <definedName name="iu" localSheetId="2" hidden="1">{#N/A,#N/A,TRUE,"Cover";#N/A,#N/A,TRUE,"Conts";#N/A,#N/A,TRUE,"VOS";#N/A,#N/A,TRUE,"Warrington";#N/A,#N/A,TRUE,"Widnes"}</definedName>
    <definedName name="iu" localSheetId="1" hidden="1">{#N/A,#N/A,TRUE,"Cover";#N/A,#N/A,TRUE,"Conts";#N/A,#N/A,TRUE,"VOS";#N/A,#N/A,TRUE,"Warrington";#N/A,#N/A,TRUE,"Widnes"}</definedName>
    <definedName name="iu" localSheetId="0" hidden="1">{#N/A,#N/A,TRUE,"Cover";#N/A,#N/A,TRUE,"Conts";#N/A,#N/A,TRUE,"VOS";#N/A,#N/A,TRUE,"Warrington";#N/A,#N/A,TRUE,"Widnes"}</definedName>
    <definedName name="iu" localSheetId="4" hidden="1">{#N/A,#N/A,TRUE,"Cover";#N/A,#N/A,TRUE,"Conts";#N/A,#N/A,TRUE,"VOS";#N/A,#N/A,TRUE,"Warrington";#N/A,#N/A,TRUE,"Widnes"}</definedName>
    <definedName name="iu" localSheetId="3" hidden="1">{#N/A,#N/A,TRUE,"Cover";#N/A,#N/A,TRUE,"Conts";#N/A,#N/A,TRUE,"VOS";#N/A,#N/A,TRUE,"Warrington";#N/A,#N/A,TRUE,"Widnes"}</definedName>
    <definedName name="iu" localSheetId="5" hidden="1">{#N/A,#N/A,TRUE,"Cover";#N/A,#N/A,TRUE,"Conts";#N/A,#N/A,TRUE,"VOS";#N/A,#N/A,TRUE,"Warrington";#N/A,#N/A,TRUE,"Widnes"}</definedName>
    <definedName name="iu" hidden="1">{#N/A,#N/A,TRUE,"Cover";#N/A,#N/A,TRUE,"Conts";#N/A,#N/A,TRUE,"VOS";#N/A,#N/A,TRUE,"Warrington";#N/A,#N/A,TRUE,"Widnes"}</definedName>
    <definedName name="iuh" localSheetId="2" hidden="1">{#N/A,#N/A,TRUE,"Cover";#N/A,#N/A,TRUE,"Conts";#N/A,#N/A,TRUE,"VOS";#N/A,#N/A,TRUE,"Warrington";#N/A,#N/A,TRUE,"Widnes"}</definedName>
    <definedName name="iuh" localSheetId="1" hidden="1">{#N/A,#N/A,TRUE,"Cover";#N/A,#N/A,TRUE,"Conts";#N/A,#N/A,TRUE,"VOS";#N/A,#N/A,TRUE,"Warrington";#N/A,#N/A,TRUE,"Widnes"}</definedName>
    <definedName name="iuh" localSheetId="0" hidden="1">{#N/A,#N/A,TRUE,"Cover";#N/A,#N/A,TRUE,"Conts";#N/A,#N/A,TRUE,"VOS";#N/A,#N/A,TRUE,"Warrington";#N/A,#N/A,TRUE,"Widnes"}</definedName>
    <definedName name="iuh" localSheetId="4" hidden="1">{#N/A,#N/A,TRUE,"Cover";#N/A,#N/A,TRUE,"Conts";#N/A,#N/A,TRUE,"VOS";#N/A,#N/A,TRUE,"Warrington";#N/A,#N/A,TRUE,"Widnes"}</definedName>
    <definedName name="iuh" localSheetId="3" hidden="1">{#N/A,#N/A,TRUE,"Cover";#N/A,#N/A,TRUE,"Conts";#N/A,#N/A,TRUE,"VOS";#N/A,#N/A,TRUE,"Warrington";#N/A,#N/A,TRUE,"Widnes"}</definedName>
    <definedName name="iuh" localSheetId="5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kh" localSheetId="2" hidden="1">{#N/A,#N/A,TRUE,"Cover";#N/A,#N/A,TRUE,"Conts";#N/A,#N/A,TRUE,"VOS";#N/A,#N/A,TRUE,"Warrington";#N/A,#N/A,TRUE,"Widnes"}</definedName>
    <definedName name="iukh" localSheetId="1" hidden="1">{#N/A,#N/A,TRUE,"Cover";#N/A,#N/A,TRUE,"Conts";#N/A,#N/A,TRUE,"VOS";#N/A,#N/A,TRUE,"Warrington";#N/A,#N/A,TRUE,"Widnes"}</definedName>
    <definedName name="iukh" localSheetId="0" hidden="1">{#N/A,#N/A,TRUE,"Cover";#N/A,#N/A,TRUE,"Conts";#N/A,#N/A,TRUE,"VOS";#N/A,#N/A,TRUE,"Warrington";#N/A,#N/A,TRUE,"Widnes"}</definedName>
    <definedName name="iukh" localSheetId="4" hidden="1">{#N/A,#N/A,TRUE,"Cover";#N/A,#N/A,TRUE,"Conts";#N/A,#N/A,TRUE,"VOS";#N/A,#N/A,TRUE,"Warrington";#N/A,#N/A,TRUE,"Widnes"}</definedName>
    <definedName name="iukh" localSheetId="3" hidden="1">{#N/A,#N/A,TRUE,"Cover";#N/A,#N/A,TRUE,"Conts";#N/A,#N/A,TRUE,"VOS";#N/A,#N/A,TRUE,"Warrington";#N/A,#N/A,TRUE,"Widnes"}</definedName>
    <definedName name="iukh" localSheetId="5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J" localSheetId="2">#REF!</definedName>
    <definedName name="J" localSheetId="1">#REF!</definedName>
    <definedName name="J" localSheetId="0">#REF!</definedName>
    <definedName name="J" localSheetId="4">#REF!</definedName>
    <definedName name="J" localSheetId="3">#REF!</definedName>
    <definedName name="J" localSheetId="5">#REF!</definedName>
    <definedName name="J">#REF!</definedName>
    <definedName name="jacob" localSheetId="4">#REF!</definedName>
    <definedName name="jacob" localSheetId="3">#REF!</definedName>
    <definedName name="jacob" localSheetId="5">#REF!</definedName>
    <definedName name="jacob">#REF!</definedName>
    <definedName name="jam" localSheetId="2">#REF!</definedName>
    <definedName name="jam" localSheetId="1">#REF!</definedName>
    <definedName name="jam" localSheetId="0">#REF!</definedName>
    <definedName name="jam" localSheetId="4">#REF!</definedName>
    <definedName name="jam" localSheetId="3">#REF!</definedName>
    <definedName name="jam" localSheetId="5">#REF!</definedName>
    <definedName name="jam">#REF!</definedName>
    <definedName name="jg" localSheetId="2" hidden="1">{#N/A,#N/A,TRUE,"Cover";#N/A,#N/A,TRUE,"Conts";#N/A,#N/A,TRUE,"VOS";#N/A,#N/A,TRUE,"Warrington";#N/A,#N/A,TRUE,"Widnes"}</definedName>
    <definedName name="jg" localSheetId="1" hidden="1">{#N/A,#N/A,TRUE,"Cover";#N/A,#N/A,TRUE,"Conts";#N/A,#N/A,TRUE,"VOS";#N/A,#N/A,TRUE,"Warrington";#N/A,#N/A,TRUE,"Widnes"}</definedName>
    <definedName name="jg" localSheetId="0" hidden="1">{#N/A,#N/A,TRUE,"Cover";#N/A,#N/A,TRUE,"Conts";#N/A,#N/A,TRUE,"VOS";#N/A,#N/A,TRUE,"Warrington";#N/A,#N/A,TRUE,"Widnes"}</definedName>
    <definedName name="jg" localSheetId="4" hidden="1">{#N/A,#N/A,TRUE,"Cover";#N/A,#N/A,TRUE,"Conts";#N/A,#N/A,TRUE,"VOS";#N/A,#N/A,TRUE,"Warrington";#N/A,#N/A,TRUE,"Widnes"}</definedName>
    <definedName name="jg" localSheetId="3" hidden="1">{#N/A,#N/A,TRUE,"Cover";#N/A,#N/A,TRUE,"Conts";#N/A,#N/A,TRUE,"VOS";#N/A,#N/A,TRUE,"Warrington";#N/A,#N/A,TRUE,"Widnes"}</definedName>
    <definedName name="jg" localSheetId="5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gt" localSheetId="2" hidden="1">{"'Break down'!$A$4"}</definedName>
    <definedName name="jgt" localSheetId="1" hidden="1">{"'Break down'!$A$4"}</definedName>
    <definedName name="jgt" localSheetId="0" hidden="1">{"'Break down'!$A$4"}</definedName>
    <definedName name="jgt" localSheetId="4" hidden="1">{"'Break down'!$A$4"}</definedName>
    <definedName name="jgt" localSheetId="3" hidden="1">{"'Break down'!$A$4"}</definedName>
    <definedName name="jgt" localSheetId="5" hidden="1">{"'Break down'!$A$4"}</definedName>
    <definedName name="jgt" hidden="1">{"'Break down'!$A$4"}</definedName>
    <definedName name="jgt_1" localSheetId="2" hidden="1">{"'Break down'!$A$4"}</definedName>
    <definedName name="jgt_1" localSheetId="1" hidden="1">{"'Break down'!$A$4"}</definedName>
    <definedName name="jgt_1" localSheetId="0" hidden="1">{"'Break down'!$A$4"}</definedName>
    <definedName name="jgt_1" localSheetId="4" hidden="1">{"'Break down'!$A$4"}</definedName>
    <definedName name="jgt_1" localSheetId="3" hidden="1">{"'Break down'!$A$4"}</definedName>
    <definedName name="jgt_1" localSheetId="5" hidden="1">{"'Break down'!$A$4"}</definedName>
    <definedName name="jgt_1" hidden="1">{"'Break down'!$A$4"}</definedName>
    <definedName name="jgt_2" localSheetId="2" hidden="1">{"'Break down'!$A$4"}</definedName>
    <definedName name="jgt_2" localSheetId="1" hidden="1">{"'Break down'!$A$4"}</definedName>
    <definedName name="jgt_2" localSheetId="0" hidden="1">{"'Break down'!$A$4"}</definedName>
    <definedName name="jgt_2" localSheetId="4" hidden="1">{"'Break down'!$A$4"}</definedName>
    <definedName name="jgt_2" localSheetId="3" hidden="1">{"'Break down'!$A$4"}</definedName>
    <definedName name="jgt_2" localSheetId="5" hidden="1">{"'Break down'!$A$4"}</definedName>
    <definedName name="jgt_2" hidden="1">{"'Break down'!$A$4"}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fgjhdgfh" localSheetId="0">#REF!</definedName>
    <definedName name="jhfgjhdgfh" localSheetId="4">#REF!</definedName>
    <definedName name="jhfgjhdgfh" localSheetId="3">#REF!</definedName>
    <definedName name="jhfgjhdgfh" localSheetId="5">#REF!</definedName>
    <definedName name="jhfgjhdgfh">#REF!</definedName>
    <definedName name="jhg" localSheetId="2" hidden="1">{#N/A,#N/A,TRUE,"Cover";#N/A,#N/A,TRUE,"Conts";#N/A,#N/A,TRUE,"VOS";#N/A,#N/A,TRUE,"Warrington";#N/A,#N/A,TRUE,"Widnes"}</definedName>
    <definedName name="jhg" localSheetId="1" hidden="1">{#N/A,#N/A,TRUE,"Cover";#N/A,#N/A,TRUE,"Conts";#N/A,#N/A,TRUE,"VOS";#N/A,#N/A,TRUE,"Warrington";#N/A,#N/A,TRUE,"Widnes"}</definedName>
    <definedName name="jhg" localSheetId="0" hidden="1">{#N/A,#N/A,TRUE,"Cover";#N/A,#N/A,TRUE,"Conts";#N/A,#N/A,TRUE,"VOS";#N/A,#N/A,TRUE,"Warrington";#N/A,#N/A,TRUE,"Widnes"}</definedName>
    <definedName name="jhg" localSheetId="4" hidden="1">{#N/A,#N/A,TRUE,"Cover";#N/A,#N/A,TRUE,"Conts";#N/A,#N/A,TRUE,"VOS";#N/A,#N/A,TRUE,"Warrington";#N/A,#N/A,TRUE,"Widnes"}</definedName>
    <definedName name="jhg" localSheetId="3" hidden="1">{#N/A,#N/A,TRUE,"Cover";#N/A,#N/A,TRUE,"Conts";#N/A,#N/A,TRUE,"VOS";#N/A,#N/A,TRUE,"Warrington";#N/A,#N/A,TRUE,"Widnes"}</definedName>
    <definedName name="jhg" localSheetId="5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hkt" localSheetId="5">#REF!</definedName>
    <definedName name="jhkt">#REF!</definedName>
    <definedName name="jj" localSheetId="4">#REF!</definedName>
    <definedName name="jj" localSheetId="3">#REF!</definedName>
    <definedName name="jj" localSheetId="5">#REF!</definedName>
    <definedName name="jj">#REF!</definedName>
    <definedName name="jjy" localSheetId="2" hidden="1">{"'Break down'!$A$4"}</definedName>
    <definedName name="jjy" localSheetId="1" hidden="1">{"'Break down'!$A$4"}</definedName>
    <definedName name="jjy" localSheetId="0" hidden="1">{"'Break down'!$A$4"}</definedName>
    <definedName name="jjy" localSheetId="4" hidden="1">{"'Break down'!$A$4"}</definedName>
    <definedName name="jjy" localSheetId="3" hidden="1">{"'Break down'!$A$4"}</definedName>
    <definedName name="jjy" localSheetId="5" hidden="1">{"'Break down'!$A$4"}</definedName>
    <definedName name="jjy" hidden="1">{"'Break down'!$A$4"}</definedName>
    <definedName name="jjy_1" localSheetId="2" hidden="1">{"'Break down'!$A$4"}</definedName>
    <definedName name="jjy_1" localSheetId="1" hidden="1">{"'Break down'!$A$4"}</definedName>
    <definedName name="jjy_1" localSheetId="0" hidden="1">{"'Break down'!$A$4"}</definedName>
    <definedName name="jjy_1" localSheetId="4" hidden="1">{"'Break down'!$A$4"}</definedName>
    <definedName name="jjy_1" localSheetId="3" hidden="1">{"'Break down'!$A$4"}</definedName>
    <definedName name="jjy_1" localSheetId="5" hidden="1">{"'Break down'!$A$4"}</definedName>
    <definedName name="jjy_1" hidden="1">{"'Break down'!$A$4"}</definedName>
    <definedName name="jjy_2" localSheetId="2" hidden="1">{"'Break down'!$A$4"}</definedName>
    <definedName name="jjy_2" localSheetId="1" hidden="1">{"'Break down'!$A$4"}</definedName>
    <definedName name="jjy_2" localSheetId="0" hidden="1">{"'Break down'!$A$4"}</definedName>
    <definedName name="jjy_2" localSheetId="4" hidden="1">{"'Break down'!$A$4"}</definedName>
    <definedName name="jjy_2" localSheetId="3" hidden="1">{"'Break down'!$A$4"}</definedName>
    <definedName name="jjy_2" localSheetId="5" hidden="1">{"'Break down'!$A$4"}</definedName>
    <definedName name="jjy_2" hidden="1">{"'Break down'!$A$4"}</definedName>
    <definedName name="jk" localSheetId="2" hidden="1">{#N/A,#N/A,TRUE,"Cover";#N/A,#N/A,TRUE,"Conts";#N/A,#N/A,TRUE,"VOS";#N/A,#N/A,TRUE,"Warrington";#N/A,#N/A,TRUE,"Widnes"}</definedName>
    <definedName name="jk" localSheetId="1" hidden="1">{#N/A,#N/A,TRUE,"Cover";#N/A,#N/A,TRUE,"Conts";#N/A,#N/A,TRUE,"VOS";#N/A,#N/A,TRUE,"Warrington";#N/A,#N/A,TRUE,"Widnes"}</definedName>
    <definedName name="J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l" localSheetId="4">#REF!</definedName>
    <definedName name="jkl" localSheetId="3">#REF!</definedName>
    <definedName name="jkl" localSheetId="5">#REF!</definedName>
    <definedName name="jkl">#REF!</definedName>
    <definedName name="jmjkjk" localSheetId="2" hidden="1">{"'Break down'!$A$4"}</definedName>
    <definedName name="jmjkjk" localSheetId="1" hidden="1">{"'Break down'!$A$4"}</definedName>
    <definedName name="jmjkjk" localSheetId="0" hidden="1">{"'Break down'!$A$4"}</definedName>
    <definedName name="jmjkjk" localSheetId="4" hidden="1">{"'Break down'!$A$4"}</definedName>
    <definedName name="jmjkjk" localSheetId="3" hidden="1">{"'Break down'!$A$4"}</definedName>
    <definedName name="jmjkjk" localSheetId="5" hidden="1">{"'Break down'!$A$4"}</definedName>
    <definedName name="jmjkjk" hidden="1">{"'Break down'!$A$4"}</definedName>
    <definedName name="jmjkjk_1" localSheetId="2" hidden="1">{"'Break down'!$A$4"}</definedName>
    <definedName name="jmjkjk_1" localSheetId="1" hidden="1">{"'Break down'!$A$4"}</definedName>
    <definedName name="jmjkjk_1" localSheetId="0" hidden="1">{"'Break down'!$A$4"}</definedName>
    <definedName name="jmjkjk_1" localSheetId="4" hidden="1">{"'Break down'!$A$4"}</definedName>
    <definedName name="jmjkjk_1" localSheetId="3" hidden="1">{"'Break down'!$A$4"}</definedName>
    <definedName name="jmjkjk_1" localSheetId="5" hidden="1">{"'Break down'!$A$4"}</definedName>
    <definedName name="jmjkjk_1" hidden="1">{"'Break down'!$A$4"}</definedName>
    <definedName name="jmjkjk_2" localSheetId="2" hidden="1">{"'Break down'!$A$4"}</definedName>
    <definedName name="jmjkjk_2" localSheetId="1" hidden="1">{"'Break down'!$A$4"}</definedName>
    <definedName name="jmjkjk_2" localSheetId="0" hidden="1">{"'Break down'!$A$4"}</definedName>
    <definedName name="jmjkjk_2" localSheetId="4" hidden="1">{"'Break down'!$A$4"}</definedName>
    <definedName name="jmjkjk_2" localSheetId="3" hidden="1">{"'Break down'!$A$4"}</definedName>
    <definedName name="jmjkjk_2" localSheetId="5" hidden="1">{"'Break down'!$A$4"}</definedName>
    <definedName name="jmjkjk_2" hidden="1">{"'Break down'!$A$4"}</definedName>
    <definedName name="Job" localSheetId="5">#REF!</definedName>
    <definedName name="Job">#REF!</definedName>
    <definedName name="Job_No" localSheetId="2">#REF!</definedName>
    <definedName name="Job_No" localSheetId="1">#REF!</definedName>
    <definedName name="Job_No" localSheetId="0">#REF!</definedName>
    <definedName name="Job_No" localSheetId="4">#REF!</definedName>
    <definedName name="Job_No" localSheetId="3">#REF!</definedName>
    <definedName name="Job_No" localSheetId="5">#REF!</definedName>
    <definedName name="Job_No">#REF!</definedName>
    <definedName name="JobDate" localSheetId="2">#REF!</definedName>
    <definedName name="JobDate" localSheetId="1">#REF!</definedName>
    <definedName name="JobDate" localSheetId="0">#REF!</definedName>
    <definedName name="JobDate" localSheetId="4">#REF!</definedName>
    <definedName name="JobDate" localSheetId="3">#REF!</definedName>
    <definedName name="JobDate" localSheetId="5">#REF!</definedName>
    <definedName name="JobDate">#REF!</definedName>
    <definedName name="JOINERY" localSheetId="2">#REF!</definedName>
    <definedName name="JOINERY" localSheetId="1">#REF!</definedName>
    <definedName name="JOINERY" localSheetId="0">#REF!</definedName>
    <definedName name="JOINERY" localSheetId="4">#REF!</definedName>
    <definedName name="JOINERY" localSheetId="3">#REF!</definedName>
    <definedName name="JOINERY" localSheetId="5">#REF!</definedName>
    <definedName name="JOINERY">#REF!</definedName>
    <definedName name="JOINTS" localSheetId="2">#REF!</definedName>
    <definedName name="JOINTS" localSheetId="1">#REF!</definedName>
    <definedName name="JOINTS" localSheetId="0">#REF!</definedName>
    <definedName name="JOINTS" localSheetId="4">#REF!</definedName>
    <definedName name="JOINTS" localSheetId="3">#REF!</definedName>
    <definedName name="JOINTS" localSheetId="5">#REF!</definedName>
    <definedName name="JOINTS">#REF!</definedName>
    <definedName name="JP" localSheetId="2">#REF!</definedName>
    <definedName name="JP" localSheetId="1">#REF!</definedName>
    <definedName name="JP" localSheetId="0">#REF!</definedName>
    <definedName name="JP" localSheetId="4">#REF!</definedName>
    <definedName name="JP" localSheetId="3">#REF!</definedName>
    <definedName name="JP" localSheetId="5">#REF!</definedName>
    <definedName name="JP">#REF!</definedName>
    <definedName name="Jul" localSheetId="2">#REF!</definedName>
    <definedName name="Jul" localSheetId="1">#REF!</definedName>
    <definedName name="Jul" localSheetId="0">#REF!</definedName>
    <definedName name="Jul" localSheetId="4">#REF!</definedName>
    <definedName name="Jul" localSheetId="3">#REF!</definedName>
    <definedName name="Jul" localSheetId="5">#REF!</definedName>
    <definedName name="Jul">#REF!</definedName>
    <definedName name="june" localSheetId="2" hidden="1">{#N/A,#N/A,FALSE,"VCR"}</definedName>
    <definedName name="june" localSheetId="1" hidden="1">{#N/A,#N/A,FALSE,"VCR"}</definedName>
    <definedName name="june" localSheetId="0" hidden="1">{#N/A,#N/A,FALSE,"VCR"}</definedName>
    <definedName name="june" localSheetId="4" hidden="1">{#N/A,#N/A,FALSE,"VCR"}</definedName>
    <definedName name="june" localSheetId="3" hidden="1">{#N/A,#N/A,FALSE,"VCR"}</definedName>
    <definedName name="june" localSheetId="5" hidden="1">{#N/A,#N/A,FALSE,"VCR"}</definedName>
    <definedName name="june" hidden="1">{#N/A,#N/A,FALSE,"VCR"}</definedName>
    <definedName name="jyjh" localSheetId="4">#REF!</definedName>
    <definedName name="jyjh" localSheetId="3">#REF!</definedName>
    <definedName name="jyjh" localSheetId="5">#REF!</definedName>
    <definedName name="jyjh">#REF!</definedName>
    <definedName name="k" localSheetId="2">#REF!</definedName>
    <definedName name="k" localSheetId="1">#REF!</definedName>
    <definedName name="k" localSheetId="0">#REF!</definedName>
    <definedName name="k" localSheetId="4">#REF!</definedName>
    <definedName name="k" localSheetId="3">#REF!</definedName>
    <definedName name="k" localSheetId="5">#REF!</definedName>
    <definedName name="k">#REF!</definedName>
    <definedName name="KD" localSheetId="4">#REF!</definedName>
    <definedName name="KD" localSheetId="3">#REF!</definedName>
    <definedName name="KD" localSheetId="5">#REF!</definedName>
    <definedName name="KD">#REF!</definedName>
    <definedName name="kFOB" localSheetId="2">#REF!</definedName>
    <definedName name="kFOB" localSheetId="1">#REF!</definedName>
    <definedName name="kFOB" localSheetId="0">#REF!</definedName>
    <definedName name="kFOB" localSheetId="4">#REF!</definedName>
    <definedName name="kFOB" localSheetId="3">#REF!</definedName>
    <definedName name="kFOB" localSheetId="5">#REF!</definedName>
    <definedName name="kFOB">#REF!</definedName>
    <definedName name="kfsdkfkjsdhkfjh" localSheetId="0">#REF!</definedName>
    <definedName name="kfsdkfkjsdhkfjh" localSheetId="4">#REF!</definedName>
    <definedName name="kfsdkfkjsdhkfjh" localSheetId="3">#REF!</definedName>
    <definedName name="kfsdkfkjsdhkfjh" localSheetId="5">#REF!</definedName>
    <definedName name="kfsdkfkjsdhkfjh">#REF!</definedName>
    <definedName name="khgfkhgf" localSheetId="2" hidden="1">{#N/A,#N/A,TRUE,"Cover";#N/A,#N/A,TRUE,"Conts";#N/A,#N/A,TRUE,"VOS";#N/A,#N/A,TRUE,"Warrington";#N/A,#N/A,TRUE,"Widnes"}</definedName>
    <definedName name="khgfkhgf" localSheetId="1" hidden="1">{#N/A,#N/A,TRUE,"Cover";#N/A,#N/A,TRUE,"Conts";#N/A,#N/A,TRUE,"VOS";#N/A,#N/A,TRUE,"Warrington";#N/A,#N/A,TRUE,"Widnes"}</definedName>
    <definedName name="khgfkhgf" localSheetId="0" hidden="1">{#N/A,#N/A,TRUE,"Cover";#N/A,#N/A,TRUE,"Conts";#N/A,#N/A,TRUE,"VOS";#N/A,#N/A,TRUE,"Warrington";#N/A,#N/A,TRUE,"Widnes"}</definedName>
    <definedName name="khgfkhgf" localSheetId="4" hidden="1">{#N/A,#N/A,TRUE,"Cover";#N/A,#N/A,TRUE,"Conts";#N/A,#N/A,TRUE,"VOS";#N/A,#N/A,TRUE,"Warrington";#N/A,#N/A,TRUE,"Widnes"}</definedName>
    <definedName name="khgfkhgf" localSheetId="3" hidden="1">{#N/A,#N/A,TRUE,"Cover";#N/A,#N/A,TRUE,"Conts";#N/A,#N/A,TRUE,"VOS";#N/A,#N/A,TRUE,"Warrington";#N/A,#N/A,TRUE,"Widnes"}</definedName>
    <definedName name="khgfkhgf" localSheetId="5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IF" localSheetId="5">#REF!</definedName>
    <definedName name="kIF">#REF!</definedName>
    <definedName name="kiosks" localSheetId="2">#REF!</definedName>
    <definedName name="kiosks" localSheetId="1">#REF!</definedName>
    <definedName name="kiosks" localSheetId="0">#REF!</definedName>
    <definedName name="kiosks" localSheetId="4">#REF!</definedName>
    <definedName name="kiosks" localSheetId="3">#REF!</definedName>
    <definedName name="kiosks" localSheetId="5">#REF!</definedName>
    <definedName name="kiosks">#REF!</definedName>
    <definedName name="KIT_AIR" localSheetId="2">#REF!</definedName>
    <definedName name="KIT_AIR" localSheetId="1">#REF!</definedName>
    <definedName name="KIT_AIR" localSheetId="0">#REF!</definedName>
    <definedName name="KIT_AIR" localSheetId="4">#REF!</definedName>
    <definedName name="KIT_AIR" localSheetId="3">#REF!</definedName>
    <definedName name="KIT_AIR" localSheetId="5">#REF!</definedName>
    <definedName name="KIT_AIR">#REF!</definedName>
    <definedName name="kj" localSheetId="2" hidden="1">{#N/A,#N/A,TRUE,"Cover";#N/A,#N/A,TRUE,"Conts";#N/A,#N/A,TRUE,"VOS";#N/A,#N/A,TRUE,"Warrington";#N/A,#N/A,TRUE,"Widnes"}</definedName>
    <definedName name="kj" localSheetId="1" hidden="1">{#N/A,#N/A,TRUE,"Cover";#N/A,#N/A,TRUE,"Conts";#N/A,#N/A,TRUE,"VOS";#N/A,#N/A,TRUE,"Warrington";#N/A,#N/A,TRUE,"Widnes"}</definedName>
    <definedName name="kj" localSheetId="0" hidden="1">{#N/A,#N/A,TRUE,"Cover";#N/A,#N/A,TRUE,"Conts";#N/A,#N/A,TRUE,"VOS";#N/A,#N/A,TRUE,"Warrington";#N/A,#N/A,TRUE,"Widnes"}</definedName>
    <definedName name="kj" localSheetId="4" hidden="1">{#N/A,#N/A,TRUE,"Cover";#N/A,#N/A,TRUE,"Conts";#N/A,#N/A,TRUE,"VOS";#N/A,#N/A,TRUE,"Warrington";#N/A,#N/A,TRUE,"Widnes"}</definedName>
    <definedName name="kj" localSheetId="3" hidden="1">{#N/A,#N/A,TRUE,"Cover";#N/A,#N/A,TRUE,"Conts";#N/A,#N/A,TRUE,"VOS";#N/A,#N/A,TRUE,"Warrington";#N/A,#N/A,TRUE,"Widnes"}</definedName>
    <definedName name="kj" localSheetId="5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jkdhfjkh" localSheetId="0">#REF!</definedName>
    <definedName name="kjhjkdhfjkh" localSheetId="4">#REF!</definedName>
    <definedName name="kjhjkdhfjkh" localSheetId="3">#REF!</definedName>
    <definedName name="kjhjkdhfjkh" localSheetId="5">#REF!</definedName>
    <definedName name="kjhjkdhfjkh">#REF!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5">#REF!</definedName>
    <definedName name="kkk">#REF!</definedName>
    <definedName name="kklmlk" localSheetId="2" hidden="1">{#N/A,#N/A,TRUE,"Cover";#N/A,#N/A,TRUE,"Conts";#N/A,#N/A,TRUE,"VOS";#N/A,#N/A,TRUE,"Warrington";#N/A,#N/A,TRUE,"Widnes"}</definedName>
    <definedName name="kklmlk" localSheetId="1" hidden="1">{#N/A,#N/A,TRUE,"Cover";#N/A,#N/A,TRUE,"Conts";#N/A,#N/A,TRUE,"VOS";#N/A,#N/A,TRUE,"Warrington";#N/A,#N/A,TRUE,"Widnes"}</definedName>
    <definedName name="kklmlk" localSheetId="0" hidden="1">{#N/A,#N/A,TRUE,"Cover";#N/A,#N/A,TRUE,"Conts";#N/A,#N/A,TRUE,"VOS";#N/A,#N/A,TRUE,"Warrington";#N/A,#N/A,TRUE,"Widnes"}</definedName>
    <definedName name="kklmlk" localSheetId="4" hidden="1">{#N/A,#N/A,TRUE,"Cover";#N/A,#N/A,TRUE,"Conts";#N/A,#N/A,TRUE,"VOS";#N/A,#N/A,TRUE,"Warrington";#N/A,#N/A,TRUE,"Widnes"}</definedName>
    <definedName name="kklmlk" localSheetId="3" hidden="1">{#N/A,#N/A,TRUE,"Cover";#N/A,#N/A,TRUE,"Conts";#N/A,#N/A,TRUE,"VOS";#N/A,#N/A,TRUE,"Warrington";#N/A,#N/A,TRUE,"Widnes"}</definedName>
    <definedName name="kklmlk" localSheetId="5" hidden="1">{#N/A,#N/A,TRUE,"Cover";#N/A,#N/A,TRUE,"Conts";#N/A,#N/A,TRUE,"VOS";#N/A,#N/A,TRUE,"Warrington";#N/A,#N/A,TRUE,"Widnes"}</definedName>
    <definedName name="kklmlk" hidden="1">{#N/A,#N/A,TRUE,"Cover";#N/A,#N/A,TRUE,"Conts";#N/A,#N/A,TRUE,"VOS";#N/A,#N/A,TRUE,"Warrington";#N/A,#N/A,TRUE,"Widnes"}</definedName>
    <definedName name="KL" localSheetId="2">#REF!</definedName>
    <definedName name="KL" localSheetId="1">#REF!</definedName>
    <definedName name="KL" localSheetId="0">#REF!</definedName>
    <definedName name="KL" localSheetId="4">#REF!</definedName>
    <definedName name="KL" localSheetId="3">#REF!</definedName>
    <definedName name="KL" localSheetId="5">#REF!</definedName>
    <definedName name="KL">#REF!</definedName>
    <definedName name="kloc" localSheetId="2">#REF!</definedName>
    <definedName name="kloc" localSheetId="1">#REF!</definedName>
    <definedName name="kloc" localSheetId="0">#REF!</definedName>
    <definedName name="kloc" localSheetId="4">#REF!</definedName>
    <definedName name="kloc" localSheetId="3">#REF!</definedName>
    <definedName name="kloc" localSheetId="5">#REF!</definedName>
    <definedName name="kloc">#REF!</definedName>
    <definedName name="KTA" localSheetId="4">#REF!</definedName>
    <definedName name="KTA" localSheetId="3">#REF!</definedName>
    <definedName name="KTA" localSheetId="5">#REF!</definedName>
    <definedName name="KTA">#REF!</definedName>
    <definedName name="KTB" localSheetId="4">#REF!</definedName>
    <definedName name="KTB" localSheetId="3">#REF!</definedName>
    <definedName name="KTB" localSheetId="5">#REF!</definedName>
    <definedName name="KTB">#REF!</definedName>
    <definedName name="KTX" localSheetId="4">#REF!</definedName>
    <definedName name="KTX" localSheetId="3">#REF!</definedName>
    <definedName name="KTX" localSheetId="5">#REF!</definedName>
    <definedName name="KTX">#REF!</definedName>
    <definedName name="kunjumon" localSheetId="2" hidden="1">{#N/A,#N/A,TRUE,"Cover";#N/A,#N/A,TRUE,"Conts";#N/A,#N/A,TRUE,"VOS";#N/A,#N/A,TRUE,"Warrington";#N/A,#N/A,TRUE,"Widnes"}</definedName>
    <definedName name="kunjumon" localSheetId="1" hidden="1">{#N/A,#N/A,TRUE,"Cover";#N/A,#N/A,TRUE,"Conts";#N/A,#N/A,TRUE,"VOS";#N/A,#N/A,TRUE,"Warrington";#N/A,#N/A,TRUE,"Widnes"}</definedName>
    <definedName name="kunjumon" localSheetId="0" hidden="1">{#N/A,#N/A,TRUE,"Cover";#N/A,#N/A,TRUE,"Conts";#N/A,#N/A,TRUE,"VOS";#N/A,#N/A,TRUE,"Warrington";#N/A,#N/A,TRUE,"Widnes"}</definedName>
    <definedName name="kunjumon" localSheetId="4" hidden="1">{#N/A,#N/A,TRUE,"Cover";#N/A,#N/A,TRUE,"Conts";#N/A,#N/A,TRUE,"VOS";#N/A,#N/A,TRUE,"Warrington";#N/A,#N/A,TRUE,"Widnes"}</definedName>
    <definedName name="kunjumon" localSheetId="3" hidden="1">{#N/A,#N/A,TRUE,"Cover";#N/A,#N/A,TRUE,"Conts";#N/A,#N/A,TRUE,"VOS";#N/A,#N/A,TRUE,"Warrington";#N/A,#N/A,TRUE,"Widnes"}</definedName>
    <definedName name="kunjumon" localSheetId="5" hidden="1">{#N/A,#N/A,TRUE,"Cover";#N/A,#N/A,TRUE,"Conts";#N/A,#N/A,TRUE,"VOS";#N/A,#N/A,TRUE,"Warrington";#N/A,#N/A,TRUE,"Widnes"}</definedName>
    <definedName name="kunjumon" hidden="1">{#N/A,#N/A,TRUE,"Cover";#N/A,#N/A,TRUE,"Conts";#N/A,#N/A,TRUE,"VOS";#N/A,#N/A,TRUE,"Warrington";#N/A,#N/A,TRUE,"Widnes"}</definedName>
    <definedName name="KUNJUMON." localSheetId="2" hidden="1">{#N/A,#N/A,TRUE,"Cover";#N/A,#N/A,TRUE,"Conts";#N/A,#N/A,TRUE,"VOS";#N/A,#N/A,TRUE,"Warrington";#N/A,#N/A,TRUE,"Widnes"}</definedName>
    <definedName name="KUNJUMON." localSheetId="1" hidden="1">{#N/A,#N/A,TRUE,"Cover";#N/A,#N/A,TRUE,"Conts";#N/A,#N/A,TRUE,"VOS";#N/A,#N/A,TRUE,"Warrington";#N/A,#N/A,TRUE,"Widnes"}</definedName>
    <definedName name="KUNJUMON." localSheetId="0" hidden="1">{#N/A,#N/A,TRUE,"Cover";#N/A,#N/A,TRUE,"Conts";#N/A,#N/A,TRUE,"VOS";#N/A,#N/A,TRUE,"Warrington";#N/A,#N/A,TRUE,"Widnes"}</definedName>
    <definedName name="KUNJUMON." localSheetId="4" hidden="1">{#N/A,#N/A,TRUE,"Cover";#N/A,#N/A,TRUE,"Conts";#N/A,#N/A,TRUE,"VOS";#N/A,#N/A,TRUE,"Warrington";#N/A,#N/A,TRUE,"Widnes"}</definedName>
    <definedName name="KUNJUMON." localSheetId="3" hidden="1">{#N/A,#N/A,TRUE,"Cover";#N/A,#N/A,TRUE,"Conts";#N/A,#N/A,TRUE,"VOS";#N/A,#N/A,TRUE,"Warrington";#N/A,#N/A,TRUE,"Widnes"}</definedName>
    <definedName name="KUNJUMON." localSheetId="5" hidden="1">{#N/A,#N/A,TRUE,"Cover";#N/A,#N/A,TRUE,"Conts";#N/A,#N/A,TRUE,"VOS";#N/A,#N/A,TRUE,"Warrington";#N/A,#N/A,TRUE,"Widnes"}</definedName>
    <definedName name="KUNJUMON." hidden="1">{#N/A,#N/A,TRUE,"Cover";#N/A,#N/A,TRUE,"Conts";#N/A,#N/A,TRUE,"VOS";#N/A,#N/A,TRUE,"Warrington";#N/A,#N/A,TRUE,"Widnes"}</definedName>
    <definedName name="KUNJUMON.." localSheetId="2" hidden="1">{#N/A,#N/A,TRUE,"Cover";#N/A,#N/A,TRUE,"Conts";#N/A,#N/A,TRUE,"VOS";#N/A,#N/A,TRUE,"Warrington";#N/A,#N/A,TRUE,"Widnes"}</definedName>
    <definedName name="KUNJUMON.." localSheetId="1" hidden="1">{#N/A,#N/A,TRUE,"Cover";#N/A,#N/A,TRUE,"Conts";#N/A,#N/A,TRUE,"VOS";#N/A,#N/A,TRUE,"Warrington";#N/A,#N/A,TRUE,"Widnes"}</definedName>
    <definedName name="KUNJUMON.." localSheetId="0" hidden="1">{#N/A,#N/A,TRUE,"Cover";#N/A,#N/A,TRUE,"Conts";#N/A,#N/A,TRUE,"VOS";#N/A,#N/A,TRUE,"Warrington";#N/A,#N/A,TRUE,"Widnes"}</definedName>
    <definedName name="KUNJUMON.." localSheetId="4" hidden="1">{#N/A,#N/A,TRUE,"Cover";#N/A,#N/A,TRUE,"Conts";#N/A,#N/A,TRUE,"VOS";#N/A,#N/A,TRUE,"Warrington";#N/A,#N/A,TRUE,"Widnes"}</definedName>
    <definedName name="KUNJUMON.." localSheetId="3" hidden="1">{#N/A,#N/A,TRUE,"Cover";#N/A,#N/A,TRUE,"Conts";#N/A,#N/A,TRUE,"VOS";#N/A,#N/A,TRUE,"Warrington";#N/A,#N/A,TRUE,"Widnes"}</definedName>
    <definedName name="KUNJUMON.." localSheetId="5" hidden="1">{#N/A,#N/A,TRUE,"Cover";#N/A,#N/A,TRUE,"Conts";#N/A,#N/A,TRUE,"VOS";#N/A,#N/A,TRUE,"Warrington";#N/A,#N/A,TRUE,"Widnes"}</definedName>
    <definedName name="KUNJUMON.." hidden="1">{#N/A,#N/A,TRUE,"Cover";#N/A,#N/A,TRUE,"Conts";#N/A,#N/A,TRUE,"VOS";#N/A,#N/A,TRUE,"Warrington";#N/A,#N/A,TRUE,"Widnes"}</definedName>
    <definedName name="kunjumon...." localSheetId="2" hidden="1">{#N/A,#N/A,TRUE,"Cover";#N/A,#N/A,TRUE,"Conts";#N/A,#N/A,TRUE,"VOS";#N/A,#N/A,TRUE,"Warrington";#N/A,#N/A,TRUE,"Widnes"}</definedName>
    <definedName name="kunjumon...." localSheetId="1" hidden="1">{#N/A,#N/A,TRUE,"Cover";#N/A,#N/A,TRUE,"Conts";#N/A,#N/A,TRUE,"VOS";#N/A,#N/A,TRUE,"Warrington";#N/A,#N/A,TRUE,"Widnes"}</definedName>
    <definedName name="kunjumon...." localSheetId="0" hidden="1">{#N/A,#N/A,TRUE,"Cover";#N/A,#N/A,TRUE,"Conts";#N/A,#N/A,TRUE,"VOS";#N/A,#N/A,TRUE,"Warrington";#N/A,#N/A,TRUE,"Widnes"}</definedName>
    <definedName name="kunjumon...." localSheetId="4" hidden="1">{#N/A,#N/A,TRUE,"Cover";#N/A,#N/A,TRUE,"Conts";#N/A,#N/A,TRUE,"VOS";#N/A,#N/A,TRUE,"Warrington";#N/A,#N/A,TRUE,"Widnes"}</definedName>
    <definedName name="kunjumon...." localSheetId="3" hidden="1">{#N/A,#N/A,TRUE,"Cover";#N/A,#N/A,TRUE,"Conts";#N/A,#N/A,TRUE,"VOS";#N/A,#N/A,TRUE,"Warrington";#N/A,#N/A,TRUE,"Widnes"}</definedName>
    <definedName name="kunjumon...." localSheetId="5" hidden="1">{#N/A,#N/A,TRUE,"Cover";#N/A,#N/A,TRUE,"Conts";#N/A,#N/A,TRUE,"VOS";#N/A,#N/A,TRUE,"Warrington";#N/A,#N/A,TRUE,"Widnes"}</definedName>
    <definedName name="kunjumon...." hidden="1">{#N/A,#N/A,TRUE,"Cover";#N/A,#N/A,TRUE,"Conts";#N/A,#N/A,TRUE,"VOS";#N/A,#N/A,TRUE,"Warrington";#N/A,#N/A,TRUE,"Widnes"}</definedName>
    <definedName name="kunjumon123" localSheetId="2" hidden="1">{#N/A,#N/A,TRUE,"Cover";#N/A,#N/A,TRUE,"Conts";#N/A,#N/A,TRUE,"VOS";#N/A,#N/A,TRUE,"Warrington";#N/A,#N/A,TRUE,"Widnes"}</definedName>
    <definedName name="kunjumon123" localSheetId="1" hidden="1">{#N/A,#N/A,TRUE,"Cover";#N/A,#N/A,TRUE,"Conts";#N/A,#N/A,TRUE,"VOS";#N/A,#N/A,TRUE,"Warrington";#N/A,#N/A,TRUE,"Widnes"}</definedName>
    <definedName name="kunjumon123" localSheetId="0" hidden="1">{#N/A,#N/A,TRUE,"Cover";#N/A,#N/A,TRUE,"Conts";#N/A,#N/A,TRUE,"VOS";#N/A,#N/A,TRUE,"Warrington";#N/A,#N/A,TRUE,"Widnes"}</definedName>
    <definedName name="kunjumon123" localSheetId="4" hidden="1">{#N/A,#N/A,TRUE,"Cover";#N/A,#N/A,TRUE,"Conts";#N/A,#N/A,TRUE,"VOS";#N/A,#N/A,TRUE,"Warrington";#N/A,#N/A,TRUE,"Widnes"}</definedName>
    <definedName name="kunjumon123" localSheetId="3" hidden="1">{#N/A,#N/A,TRUE,"Cover";#N/A,#N/A,TRUE,"Conts";#N/A,#N/A,TRUE,"VOS";#N/A,#N/A,TRUE,"Warrington";#N/A,#N/A,TRUE,"Widnes"}</definedName>
    <definedName name="kunjumon123" localSheetId="5" hidden="1">{#N/A,#N/A,TRUE,"Cover";#N/A,#N/A,TRUE,"Conts";#N/A,#N/A,TRUE,"VOS";#N/A,#N/A,TRUE,"Warrington";#N/A,#N/A,TRUE,"Widnes"}</definedName>
    <definedName name="kunjumon123" hidden="1">{#N/A,#N/A,TRUE,"Cover";#N/A,#N/A,TRUE,"Conts";#N/A,#N/A,TRUE,"VOS";#N/A,#N/A,TRUE,"Warrington";#N/A,#N/A,TRUE,"Widnes"}</definedName>
    <definedName name="kunjumon2" localSheetId="2" hidden="1">{#N/A,#N/A,TRUE,"Cover";#N/A,#N/A,TRUE,"Conts";#N/A,#N/A,TRUE,"VOS";#N/A,#N/A,TRUE,"Warrington";#N/A,#N/A,TRUE,"Widnes"}</definedName>
    <definedName name="kunjumon2" localSheetId="1" hidden="1">{#N/A,#N/A,TRUE,"Cover";#N/A,#N/A,TRUE,"Conts";#N/A,#N/A,TRUE,"VOS";#N/A,#N/A,TRUE,"Warrington";#N/A,#N/A,TRUE,"Widnes"}</definedName>
    <definedName name="kunjumon2" localSheetId="0" hidden="1">{#N/A,#N/A,TRUE,"Cover";#N/A,#N/A,TRUE,"Conts";#N/A,#N/A,TRUE,"VOS";#N/A,#N/A,TRUE,"Warrington";#N/A,#N/A,TRUE,"Widnes"}</definedName>
    <definedName name="kunjumon2" localSheetId="4" hidden="1">{#N/A,#N/A,TRUE,"Cover";#N/A,#N/A,TRUE,"Conts";#N/A,#N/A,TRUE,"VOS";#N/A,#N/A,TRUE,"Warrington";#N/A,#N/A,TRUE,"Widnes"}</definedName>
    <definedName name="kunjumon2" localSheetId="3" hidden="1">{#N/A,#N/A,TRUE,"Cover";#N/A,#N/A,TRUE,"Conts";#N/A,#N/A,TRUE,"VOS";#N/A,#N/A,TRUE,"Warrington";#N/A,#N/A,TRUE,"Widnes"}</definedName>
    <definedName name="kunjumon2" localSheetId="5" hidden="1">{#N/A,#N/A,TRUE,"Cover";#N/A,#N/A,TRUE,"Conts";#N/A,#N/A,TRUE,"VOS";#N/A,#N/A,TRUE,"Warrington";#N/A,#N/A,TRUE,"Widnes"}</definedName>
    <definedName name="kunjumon2" hidden="1">{#N/A,#N/A,TRUE,"Cover";#N/A,#N/A,TRUE,"Conts";#N/A,#N/A,TRUE,"VOS";#N/A,#N/A,TRUE,"Warrington";#N/A,#N/A,TRUE,"Widnes"}</definedName>
    <definedName name="kunjumona" localSheetId="2" hidden="1">{#N/A,#N/A,TRUE,"Cover";#N/A,#N/A,TRUE,"Conts";#N/A,#N/A,TRUE,"VOS";#N/A,#N/A,TRUE,"Warrington";#N/A,#N/A,TRUE,"Widnes"}</definedName>
    <definedName name="kunjumona" localSheetId="1" hidden="1">{#N/A,#N/A,TRUE,"Cover";#N/A,#N/A,TRUE,"Conts";#N/A,#N/A,TRUE,"VOS";#N/A,#N/A,TRUE,"Warrington";#N/A,#N/A,TRUE,"Widnes"}</definedName>
    <definedName name="kunjumona" localSheetId="0" hidden="1">{#N/A,#N/A,TRUE,"Cover";#N/A,#N/A,TRUE,"Conts";#N/A,#N/A,TRUE,"VOS";#N/A,#N/A,TRUE,"Warrington";#N/A,#N/A,TRUE,"Widnes"}</definedName>
    <definedName name="kunjumona" localSheetId="4" hidden="1">{#N/A,#N/A,TRUE,"Cover";#N/A,#N/A,TRUE,"Conts";#N/A,#N/A,TRUE,"VOS";#N/A,#N/A,TRUE,"Warrington";#N/A,#N/A,TRUE,"Widnes"}</definedName>
    <definedName name="kunjumona" localSheetId="3" hidden="1">{#N/A,#N/A,TRUE,"Cover";#N/A,#N/A,TRUE,"Conts";#N/A,#N/A,TRUE,"VOS";#N/A,#N/A,TRUE,"Warrington";#N/A,#N/A,TRUE,"Widnes"}</definedName>
    <definedName name="kunjumona" localSheetId="5" hidden="1">{#N/A,#N/A,TRUE,"Cover";#N/A,#N/A,TRUE,"Conts";#N/A,#N/A,TRUE,"VOS";#N/A,#N/A,TRUE,"Warrington";#N/A,#N/A,TRUE,"Widnes"}</definedName>
    <definedName name="kunjumona" hidden="1">{#N/A,#N/A,TRUE,"Cover";#N/A,#N/A,TRUE,"Conts";#N/A,#N/A,TRUE,"VOS";#N/A,#N/A,TRUE,"Warrington";#N/A,#N/A,TRUE,"Widnes"}</definedName>
    <definedName name="l" localSheetId="2" hidden="1">{#N/A,#N/A,TRUE,"Cover";#N/A,#N/A,TRUE,"Conts";#N/A,#N/A,TRUE,"VOS";#N/A,#N/A,TRUE,"Warrington";#N/A,#N/A,TRUE,"Widnes"}</definedName>
    <definedName name="l" localSheetId="1" hidden="1">{#N/A,#N/A,TRUE,"Cover";#N/A,#N/A,TRUE,"Conts";#N/A,#N/A,TRUE,"VOS";#N/A,#N/A,TRUE,"Warrington";#N/A,#N/A,TRUE,"Widnes"}</definedName>
    <definedName name="L" localSheetId="0">#REF!</definedName>
    <definedName name="L" localSheetId="4">#REF!</definedName>
    <definedName name="L" localSheetId="3">#REF!</definedName>
    <definedName name="L" localSheetId="5">#REF!</definedName>
    <definedName name="L">#REF!</definedName>
    <definedName name="Labor" localSheetId="2">IF(VLOOKUP(#REF!,'A10 Design + Subs fee'!TABLE,7)*#REF!=0,0,VLOOKUP(#REF!,'A10 Design + Subs fee'!TABLE,7)*#REF!)</definedName>
    <definedName name="Labor" localSheetId="1">IF(VLOOKUP(#REF!,'A9 Design + Subs fee '!TABLE,7)*#REF!=0,0,VLOOKUP(#REF!,'A9 Design + Subs fee '!TABLE,7)*#REF!)</definedName>
    <definedName name="Labor" localSheetId="0">IF(VLOOKUP(#REF!,'FEE RECON RAIHAN'!TABLE,7)*#REF!=0,0,VLOOKUP(#REF!,'FEE RECON RAIHAN'!TABLE,7)*#REF!)</definedName>
    <definedName name="Labor" localSheetId="4">IF(VLOOKUP(#REF!,'Mastersheet-Projects'!TABLE,7)*#REF!=0,0,VLOOKUP(#REF!,'Mastersheet-Projects'!TABLE,7)*#REF!)</definedName>
    <definedName name="Labor" localSheetId="3">IF(VLOOKUP(#REF!,'Mastersheet-Resources'!TABLE,7)*#REF!=0,0,VLOOKUP(#REF!,'Mastersheet-Resources'!TABLE,7)*#REF!)</definedName>
    <definedName name="Labor" localSheetId="5">IF(VLOOKUP(#REF!,'Tender List'!TABLE,7)*#REF!=0,0,VLOOKUP(#REF!,'Tender List'!TABLE,7)*#REF!)</definedName>
    <definedName name="Labor">IF(VLOOKUP(#REF!,#REF!,7)*#REF!=0,0,VLOOKUP(#REF!,#REF!,7)*#REF!)</definedName>
    <definedName name="LABOR_C" localSheetId="2">#REF!</definedName>
    <definedName name="LABOR_C" localSheetId="1">#REF!</definedName>
    <definedName name="LABOR_C" localSheetId="0">#REF!</definedName>
    <definedName name="LABOR_C" localSheetId="4">#REF!</definedName>
    <definedName name="LABOR_C" localSheetId="3">#REF!</definedName>
    <definedName name="LABOR_C" localSheetId="5">#REF!</definedName>
    <definedName name="LABOR_C">#REF!</definedName>
    <definedName name="LABOR1" localSheetId="2">IF(VLOOKUP(#REF!,'A10 Design + Subs fee'!TABLE,7)*#REF!=0,0,VLOOKUP(#REF!,'A10 Design + Subs fee'!TABLE,7)*#REF!)</definedName>
    <definedName name="LABOR1" localSheetId="1">IF(VLOOKUP(#REF!,'A9 Design + Subs fee '!TABLE,7)*#REF!=0,0,VLOOKUP(#REF!,'A9 Design + Subs fee '!TABLE,7)*#REF!)</definedName>
    <definedName name="LABOR1" localSheetId="0">IF(VLOOKUP(#REF!,'FEE RECON RAIHAN'!TABLE,7)*#REF!=0,0,VLOOKUP(#REF!,'FEE RECON RAIHAN'!TABLE,7)*#REF!)</definedName>
    <definedName name="LABOR1" localSheetId="4">IF(VLOOKUP(#REF!,'Mastersheet-Projects'!TABLE,7)*#REF!=0,0,VLOOKUP(#REF!,'Mastersheet-Projects'!TABLE,7)*#REF!)</definedName>
    <definedName name="LABOR1" localSheetId="3">IF(VLOOKUP(#REF!,'Mastersheet-Resources'!TABLE,7)*#REF!=0,0,VLOOKUP(#REF!,'Mastersheet-Resources'!TABLE,7)*#REF!)</definedName>
    <definedName name="LABOR1" localSheetId="5">IF(VLOOKUP(#REF!,'Tender List'!TABLE,7)*#REF!=0,0,VLOOKUP(#REF!,'Tender List'!TABLE,7)*#REF!)</definedName>
    <definedName name="LABOR1">IF(VLOOKUP(#REF!,#REF!,7)*#REF!=0,0,VLOOKUP(#REF!,#REF!,7)*#REF!)</definedName>
    <definedName name="LABOURGENERAL" localSheetId="4">#REF!</definedName>
    <definedName name="LABOURGENERAL" localSheetId="3">#REF!</definedName>
    <definedName name="LABOURGENERAL" localSheetId="5">#REF!</definedName>
    <definedName name="LABOURGENERAL">#REF!</definedName>
    <definedName name="LABOURGENRATE" localSheetId="4">#REF!</definedName>
    <definedName name="LABOURGENRATE" localSheetId="3">#REF!</definedName>
    <definedName name="LABOURGENRATE" localSheetId="5">#REF!</definedName>
    <definedName name="LABOURGENRATE">#REF!</definedName>
    <definedName name="LABOURPRGEN" localSheetId="4">#REF!</definedName>
    <definedName name="LABOURPRGEN" localSheetId="3">#REF!</definedName>
    <definedName name="LABOURPRGEN" localSheetId="5">#REF!</definedName>
    <definedName name="LABOURPRGEN">#REF!</definedName>
    <definedName name="LAST_LINE_SUBMITTALS" localSheetId="4">#REF!</definedName>
    <definedName name="LAST_LINE_SUBMITTALS" localSheetId="3">#REF!</definedName>
    <definedName name="LAST_LINE_SUBMITTALS" localSheetId="5">#REF!</definedName>
    <definedName name="LAST_LINE_SUBMITTALS">#REF!</definedName>
    <definedName name="Last_Row" localSheetId="2">IF(#REF!,'A10 Design + Subs fee'!Header_Row+#REF!,'A10 Design + Subs fee'!Header_Row)</definedName>
    <definedName name="Last_Row" localSheetId="1">IF(#REF!,'A9 Design + Subs fee '!Header_Row+#REF!,'A9 Design + Subs fee '!Header_Row)</definedName>
    <definedName name="Last_Row" localSheetId="0">IF(#REF!,#REF!+#REF!,#REF!)</definedName>
    <definedName name="Last_Row" localSheetId="4">IF(#REF!,[0]!Header_Row+#REF!,[0]!Header_Row)</definedName>
    <definedName name="Last_Row" localSheetId="3">IF(#REF!,[0]!Header_Row+#REF!,[0]!Header_Row)</definedName>
    <definedName name="Last_Row" localSheetId="5">IF(#REF!,Header_Row+#REF!,Header_Row)</definedName>
    <definedName name="Last_Row">IF(#REF!,Header_Row+#REF!,Header_Row)</definedName>
    <definedName name="LastCell" localSheetId="4">#REF!</definedName>
    <definedName name="LastCell" localSheetId="3">#REF!</definedName>
    <definedName name="LastCell" localSheetId="5">#REF!</definedName>
    <definedName name="LastCell">#REF!</definedName>
    <definedName name="LayoutNumPeriods" localSheetId="2">#REF!</definedName>
    <definedName name="LayoutNumPeriods" localSheetId="1">#REF!</definedName>
    <definedName name="LayoutNumPeriods" localSheetId="0">#REF!</definedName>
    <definedName name="LayoutNumPeriods" localSheetId="4">#REF!</definedName>
    <definedName name="LayoutNumPeriods" localSheetId="3">#REF!</definedName>
    <definedName name="LayoutNumPeriods" localSheetId="5">#REF!</definedName>
    <definedName name="LayoutNumPeriods">#REF!</definedName>
    <definedName name="LayoutStartPeriod" localSheetId="2">#REF!</definedName>
    <definedName name="LayoutStartPeriod" localSheetId="1">#REF!</definedName>
    <definedName name="LayoutStartPeriod" localSheetId="0">#REF!</definedName>
    <definedName name="LayoutStartPeriod" localSheetId="4">#REF!</definedName>
    <definedName name="LayoutStartPeriod" localSheetId="3">#REF!</definedName>
    <definedName name="LayoutStartPeriod" localSheetId="5">#REF!</definedName>
    <definedName name="LayoutStartPeriod">#REF!</definedName>
    <definedName name="LCC_EXPAT" localSheetId="4">#REF!</definedName>
    <definedName name="LCC_EXPAT" localSheetId="3">#REF!</definedName>
    <definedName name="LCC_EXPAT" localSheetId="5">#REF!</definedName>
    <definedName name="LCC_EXPAT">#REF!</definedName>
    <definedName name="LCC_LOCAL" localSheetId="4">#REF!</definedName>
    <definedName name="LCC_LOCAL" localSheetId="3">#REF!</definedName>
    <definedName name="LCC_LOCAL" localSheetId="5">#REF!</definedName>
    <definedName name="LCC_LOCAL">#REF!</definedName>
    <definedName name="LENGTH_FV1_GF__Damp_Proofing" localSheetId="2">#REF!</definedName>
    <definedName name="LENGTH_FV1_GF__Damp_Proofing" localSheetId="1">#REF!</definedName>
    <definedName name="LENGTH_FV1_GF__Damp_Proofing" localSheetId="0">#REF!</definedName>
    <definedName name="LENGTH_FV1_GF__Damp_Proofing" localSheetId="4">#REF!</definedName>
    <definedName name="LENGTH_FV1_GF__Damp_Proofing" localSheetId="3">#REF!</definedName>
    <definedName name="LENGTH_FV1_GF__Damp_Proofing" localSheetId="5">#REF!</definedName>
    <definedName name="LENGTH_FV1_GF__Damp_Proofing">#REF!</definedName>
    <definedName name="LENGTH_FV1_Mez__Damp_Proofing" localSheetId="2">#REF!</definedName>
    <definedName name="LENGTH_FV1_Mez__Damp_Proofing" localSheetId="1">#REF!</definedName>
    <definedName name="LENGTH_FV1_Mez__Damp_Proofing" localSheetId="0">#REF!</definedName>
    <definedName name="LENGTH_FV1_Mez__Damp_Proofing" localSheetId="4">#REF!</definedName>
    <definedName name="LENGTH_FV1_Mez__Damp_Proofing" localSheetId="3">#REF!</definedName>
    <definedName name="LENGTH_FV1_Mez__Damp_Proofing" localSheetId="5">#REF!</definedName>
    <definedName name="LENGTH_FV1_Mez__Damp_Proofing">#REF!</definedName>
    <definedName name="LENGTH_FV1_P01__Damp_Proofing" localSheetId="2">#REF!</definedName>
    <definedName name="LENGTH_FV1_P01__Damp_Proofing" localSheetId="1">#REF!</definedName>
    <definedName name="LENGTH_FV1_P01__Damp_Proofing" localSheetId="0">#REF!</definedName>
    <definedName name="LENGTH_FV1_P01__Damp_Proofing" localSheetId="4">#REF!</definedName>
    <definedName name="LENGTH_FV1_P01__Damp_Proofing" localSheetId="3">#REF!</definedName>
    <definedName name="LENGTH_FV1_P01__Damp_Proofing" localSheetId="5">#REF!</definedName>
    <definedName name="LENGTH_FV1_P01__Damp_Proofing">#REF!</definedName>
    <definedName name="LENGTH_FV1_P02__Damp_Proofing___Omission" localSheetId="2">#REF!</definedName>
    <definedName name="LENGTH_FV1_P02__Damp_Proofing___Omission" localSheetId="1">#REF!</definedName>
    <definedName name="LENGTH_FV1_P02__Damp_Proofing___Omission" localSheetId="0">#REF!</definedName>
    <definedName name="LENGTH_FV1_P02__Damp_Proofing___Omission" localSheetId="4">#REF!</definedName>
    <definedName name="LENGTH_FV1_P02__Damp_Proofing___Omission" localSheetId="3">#REF!</definedName>
    <definedName name="LENGTH_FV1_P02__Damp_Proofing___Omission" localSheetId="5">#REF!</definedName>
    <definedName name="LENGTH_FV1_P02__Damp_Proofing___Omission">#REF!</definedName>
    <definedName name="LENGTH_FV1_P03__Damp_Proofing___Omission" localSheetId="2">#REF!</definedName>
    <definedName name="LENGTH_FV1_P03__Damp_Proofing___Omission" localSheetId="1">#REF!</definedName>
    <definedName name="LENGTH_FV1_P03__Damp_Proofing___Omission" localSheetId="0">#REF!</definedName>
    <definedName name="LENGTH_FV1_P03__Damp_Proofing___Omission" localSheetId="4">#REF!</definedName>
    <definedName name="LENGTH_FV1_P03__Damp_Proofing___Omission" localSheetId="3">#REF!</definedName>
    <definedName name="LENGTH_FV1_P03__Damp_Proofing___Omission" localSheetId="5">#REF!</definedName>
    <definedName name="LENGTH_FV1_P03__Damp_Proofing___Omission">#REF!</definedName>
    <definedName name="LENGTH_FV1_P04__Damp_Proofing___Omission" localSheetId="2">#REF!</definedName>
    <definedName name="LENGTH_FV1_P04__Damp_Proofing___Omission" localSheetId="1">#REF!</definedName>
    <definedName name="LENGTH_FV1_P04__Damp_Proofing___Omission" localSheetId="0">#REF!</definedName>
    <definedName name="LENGTH_FV1_P04__Damp_Proofing___Omission" localSheetId="4">#REF!</definedName>
    <definedName name="LENGTH_FV1_P04__Damp_Proofing___Omission" localSheetId="3">#REF!</definedName>
    <definedName name="LENGTH_FV1_P04__Damp_Proofing___Omission" localSheetId="5">#REF!</definedName>
    <definedName name="LENGTH_FV1_P04__Damp_Proofing___Omission">#REF!</definedName>
    <definedName name="LENGTH_FV1_P05__Damp_Proofing___Omission" localSheetId="2">#REF!</definedName>
    <definedName name="LENGTH_FV1_P05__Damp_Proofing___Omission" localSheetId="1">#REF!</definedName>
    <definedName name="LENGTH_FV1_P05__Damp_Proofing___Omission" localSheetId="0">#REF!</definedName>
    <definedName name="LENGTH_FV1_P05__Damp_Proofing___Omission" localSheetId="4">#REF!</definedName>
    <definedName name="LENGTH_FV1_P05__Damp_Proofing___Omission" localSheetId="3">#REF!</definedName>
    <definedName name="LENGTH_FV1_P05__Damp_Proofing___Omission" localSheetId="5">#REF!</definedName>
    <definedName name="LENGTH_FV1_P05__Damp_Proofing___Omission">#REF!</definedName>
    <definedName name="LENGTH_FV1_P10__Damp_Proofing" localSheetId="2">#REF!</definedName>
    <definedName name="LENGTH_FV1_P10__Damp_Proofing" localSheetId="1">#REF!</definedName>
    <definedName name="LENGTH_FV1_P10__Damp_Proofing" localSheetId="0">#REF!</definedName>
    <definedName name="LENGTH_FV1_P10__Damp_Proofing" localSheetId="4">#REF!</definedName>
    <definedName name="LENGTH_FV1_P10__Damp_Proofing" localSheetId="3">#REF!</definedName>
    <definedName name="LENGTH_FV1_P10__Damp_Proofing" localSheetId="5">#REF!</definedName>
    <definedName name="LENGTH_FV1_P10__Damp_Proofing">#REF!</definedName>
    <definedName name="LENGTH_FV2_GF__Damp_Proofing" localSheetId="2">#REF!</definedName>
    <definedName name="LENGTH_FV2_GF__Damp_Proofing" localSheetId="1">#REF!</definedName>
    <definedName name="LENGTH_FV2_GF__Damp_Proofing" localSheetId="0">#REF!</definedName>
    <definedName name="LENGTH_FV2_GF__Damp_Proofing" localSheetId="4">#REF!</definedName>
    <definedName name="LENGTH_FV2_GF__Damp_Proofing" localSheetId="3">#REF!</definedName>
    <definedName name="LENGTH_FV2_GF__Damp_Proofing" localSheetId="5">#REF!</definedName>
    <definedName name="LENGTH_FV2_GF__Damp_Proofing">#REF!</definedName>
    <definedName name="LENGTH_FV2_Mez__Damp_Proofing" localSheetId="2">#REF!</definedName>
    <definedName name="LENGTH_FV2_Mez__Damp_Proofing" localSheetId="1">#REF!</definedName>
    <definedName name="LENGTH_FV2_Mez__Damp_Proofing" localSheetId="0">#REF!</definedName>
    <definedName name="LENGTH_FV2_Mez__Damp_Proofing" localSheetId="4">#REF!</definedName>
    <definedName name="LENGTH_FV2_Mez__Damp_Proofing" localSheetId="3">#REF!</definedName>
    <definedName name="LENGTH_FV2_Mez__Damp_Proofing" localSheetId="5">#REF!</definedName>
    <definedName name="LENGTH_FV2_Mez__Damp_Proofing">#REF!</definedName>
    <definedName name="LENGTH_FV2_P01__Damp_Proofing" localSheetId="2">#REF!</definedName>
    <definedName name="LENGTH_FV2_P01__Damp_Proofing" localSheetId="1">#REF!</definedName>
    <definedName name="LENGTH_FV2_P01__Damp_Proofing" localSheetId="0">#REF!</definedName>
    <definedName name="LENGTH_FV2_P01__Damp_Proofing" localSheetId="4">#REF!</definedName>
    <definedName name="LENGTH_FV2_P01__Damp_Proofing" localSheetId="3">#REF!</definedName>
    <definedName name="LENGTH_FV2_P01__Damp_Proofing" localSheetId="5">#REF!</definedName>
    <definedName name="LENGTH_FV2_P01__Damp_Proofing">#REF!</definedName>
    <definedName name="LENGTH_FV2_P02__Damp_Proofing" localSheetId="2">#REF!</definedName>
    <definedName name="LENGTH_FV2_P02__Damp_Proofing" localSheetId="1">#REF!</definedName>
    <definedName name="LENGTH_FV2_P02__Damp_Proofing" localSheetId="0">#REF!</definedName>
    <definedName name="LENGTH_FV2_P02__Damp_Proofing" localSheetId="4">#REF!</definedName>
    <definedName name="LENGTH_FV2_P02__Damp_Proofing" localSheetId="3">#REF!</definedName>
    <definedName name="LENGTH_FV2_P02__Damp_Proofing" localSheetId="5">#REF!</definedName>
    <definedName name="LENGTH_FV2_P02__Damp_Proofing">#REF!</definedName>
    <definedName name="LENGTH_FV2_P02__Damp_Proofing___Omission" localSheetId="2">#REF!</definedName>
    <definedName name="LENGTH_FV2_P02__Damp_Proofing___Omission" localSheetId="1">#REF!</definedName>
    <definedName name="LENGTH_FV2_P02__Damp_Proofing___Omission" localSheetId="0">#REF!</definedName>
    <definedName name="LENGTH_FV2_P02__Damp_Proofing___Omission" localSheetId="4">#REF!</definedName>
    <definedName name="LENGTH_FV2_P02__Damp_Proofing___Omission" localSheetId="3">#REF!</definedName>
    <definedName name="LENGTH_FV2_P02__Damp_Proofing___Omission" localSheetId="5">#REF!</definedName>
    <definedName name="LENGTH_FV2_P02__Damp_Proofing___Omission">#REF!</definedName>
    <definedName name="LENGTH_FV2_P03__Damp_Proofing" localSheetId="2">#REF!</definedName>
    <definedName name="LENGTH_FV2_P03__Damp_Proofing" localSheetId="1">#REF!</definedName>
    <definedName name="LENGTH_FV2_P03__Damp_Proofing" localSheetId="0">#REF!</definedName>
    <definedName name="LENGTH_FV2_P03__Damp_Proofing" localSheetId="4">#REF!</definedName>
    <definedName name="LENGTH_FV2_P03__Damp_Proofing" localSheetId="3">#REF!</definedName>
    <definedName name="LENGTH_FV2_P03__Damp_Proofing" localSheetId="5">#REF!</definedName>
    <definedName name="LENGTH_FV2_P03__Damp_Proofing">#REF!</definedName>
    <definedName name="LENGTH_FV2_P03__Damp_Proofing___Omission" localSheetId="2">#REF!</definedName>
    <definedName name="LENGTH_FV2_P03__Damp_Proofing___Omission" localSheetId="1">#REF!</definedName>
    <definedName name="LENGTH_FV2_P03__Damp_Proofing___Omission" localSheetId="0">#REF!</definedName>
    <definedName name="LENGTH_FV2_P03__Damp_Proofing___Omission" localSheetId="4">#REF!</definedName>
    <definedName name="LENGTH_FV2_P03__Damp_Proofing___Omission" localSheetId="3">#REF!</definedName>
    <definedName name="LENGTH_FV2_P03__Damp_Proofing___Omission" localSheetId="5">#REF!</definedName>
    <definedName name="LENGTH_FV2_P03__Damp_Proofing___Omission">#REF!</definedName>
    <definedName name="LENGTH_FV2_P04__Damp_Proofing" localSheetId="2">#REF!</definedName>
    <definedName name="LENGTH_FV2_P04__Damp_Proofing" localSheetId="1">#REF!</definedName>
    <definedName name="LENGTH_FV2_P04__Damp_Proofing" localSheetId="0">#REF!</definedName>
    <definedName name="LENGTH_FV2_P04__Damp_Proofing" localSheetId="4">#REF!</definedName>
    <definedName name="LENGTH_FV2_P04__Damp_Proofing" localSheetId="3">#REF!</definedName>
    <definedName name="LENGTH_FV2_P04__Damp_Proofing" localSheetId="5">#REF!</definedName>
    <definedName name="LENGTH_FV2_P04__Damp_Proofing">#REF!</definedName>
    <definedName name="LENGTH_FV2_P04__Damp_Proofing___Omission" localSheetId="2">#REF!</definedName>
    <definedName name="LENGTH_FV2_P04__Damp_Proofing___Omission" localSheetId="1">#REF!</definedName>
    <definedName name="LENGTH_FV2_P04__Damp_Proofing___Omission" localSheetId="0">#REF!</definedName>
    <definedName name="LENGTH_FV2_P04__Damp_Proofing___Omission" localSheetId="4">#REF!</definedName>
    <definedName name="LENGTH_FV2_P04__Damp_Proofing___Omission" localSheetId="3">#REF!</definedName>
    <definedName name="LENGTH_FV2_P04__Damp_Proofing___Omission" localSheetId="5">#REF!</definedName>
    <definedName name="LENGTH_FV2_P04__Damp_Proofing___Omission">#REF!</definedName>
    <definedName name="LENGTH_FV2_P05__Damp_Proofing" localSheetId="2">#REF!</definedName>
    <definedName name="LENGTH_FV2_P05__Damp_Proofing" localSheetId="1">#REF!</definedName>
    <definedName name="LENGTH_FV2_P05__Damp_Proofing" localSheetId="0">#REF!</definedName>
    <definedName name="LENGTH_FV2_P05__Damp_Proofing" localSheetId="4">#REF!</definedName>
    <definedName name="LENGTH_FV2_P05__Damp_Proofing" localSheetId="3">#REF!</definedName>
    <definedName name="LENGTH_FV2_P05__Damp_Proofing" localSheetId="5">#REF!</definedName>
    <definedName name="LENGTH_FV2_P05__Damp_Proofing">#REF!</definedName>
    <definedName name="LENGTH_FV2_P05__Damp_Proofing___Omission" localSheetId="2">#REF!</definedName>
    <definedName name="LENGTH_FV2_P05__Damp_Proofing___Omission" localSheetId="1">#REF!</definedName>
    <definedName name="LENGTH_FV2_P05__Damp_Proofing___Omission" localSheetId="0">#REF!</definedName>
    <definedName name="LENGTH_FV2_P05__Damp_Proofing___Omission" localSheetId="4">#REF!</definedName>
    <definedName name="LENGTH_FV2_P05__Damp_Proofing___Omission" localSheetId="3">#REF!</definedName>
    <definedName name="LENGTH_FV2_P05__Damp_Proofing___Omission" localSheetId="5">#REF!</definedName>
    <definedName name="LENGTH_FV2_P05__Damp_Proofing___Omission">#REF!</definedName>
    <definedName name="LENGTH_FV2_P06__Damp_Proofing" localSheetId="2">#REF!</definedName>
    <definedName name="LENGTH_FV2_P06__Damp_Proofing" localSheetId="1">#REF!</definedName>
    <definedName name="LENGTH_FV2_P06__Damp_Proofing" localSheetId="0">#REF!</definedName>
    <definedName name="LENGTH_FV2_P06__Damp_Proofing" localSheetId="4">#REF!</definedName>
    <definedName name="LENGTH_FV2_P06__Damp_Proofing" localSheetId="3">#REF!</definedName>
    <definedName name="LENGTH_FV2_P06__Damp_Proofing" localSheetId="5">#REF!</definedName>
    <definedName name="LENGTH_FV2_P06__Damp_Proofing">#REF!</definedName>
    <definedName name="LENGTH_FV2_P06__Damp_Proofing___Omission" localSheetId="2">#REF!</definedName>
    <definedName name="LENGTH_FV2_P06__Damp_Proofing___Omission" localSheetId="1">#REF!</definedName>
    <definedName name="LENGTH_FV2_P06__Damp_Proofing___Omission" localSheetId="0">#REF!</definedName>
    <definedName name="LENGTH_FV2_P06__Damp_Proofing___Omission" localSheetId="4">#REF!</definedName>
    <definedName name="LENGTH_FV2_P06__Damp_Proofing___Omission" localSheetId="3">#REF!</definedName>
    <definedName name="LENGTH_FV2_P06__Damp_Proofing___Omission" localSheetId="5">#REF!</definedName>
    <definedName name="LENGTH_FV2_P06__Damp_Proofing___Omission">#REF!</definedName>
    <definedName name="LENGTH_FV2_P07__Damp_Proofing" localSheetId="2">#REF!</definedName>
    <definedName name="LENGTH_FV2_P07__Damp_Proofing" localSheetId="1">#REF!</definedName>
    <definedName name="LENGTH_FV2_P07__Damp_Proofing" localSheetId="0">#REF!</definedName>
    <definedName name="LENGTH_FV2_P07__Damp_Proofing" localSheetId="4">#REF!</definedName>
    <definedName name="LENGTH_FV2_P07__Damp_Proofing" localSheetId="3">#REF!</definedName>
    <definedName name="LENGTH_FV2_P07__Damp_Proofing" localSheetId="5">#REF!</definedName>
    <definedName name="LENGTH_FV2_P07__Damp_Proofing">#REF!</definedName>
    <definedName name="LENGTH_FV2_P07__Damp_Proofing___Omission" localSheetId="2">#REF!</definedName>
    <definedName name="LENGTH_FV2_P07__Damp_Proofing___Omission" localSheetId="1">#REF!</definedName>
    <definedName name="LENGTH_FV2_P07__Damp_Proofing___Omission" localSheetId="0">#REF!</definedName>
    <definedName name="LENGTH_FV2_P07__Damp_Proofing___Omission" localSheetId="4">#REF!</definedName>
    <definedName name="LENGTH_FV2_P07__Damp_Proofing___Omission" localSheetId="3">#REF!</definedName>
    <definedName name="LENGTH_FV2_P07__Damp_Proofing___Omission" localSheetId="5">#REF!</definedName>
    <definedName name="LENGTH_FV2_P07__Damp_Proofing___Omission">#REF!</definedName>
    <definedName name="LENGTH_FV2_P08__Damp_Proofing" localSheetId="2">#REF!</definedName>
    <definedName name="LENGTH_FV2_P08__Damp_Proofing" localSheetId="1">#REF!</definedName>
    <definedName name="LENGTH_FV2_P08__Damp_Proofing" localSheetId="0">#REF!</definedName>
    <definedName name="LENGTH_FV2_P08__Damp_Proofing" localSheetId="4">#REF!</definedName>
    <definedName name="LENGTH_FV2_P08__Damp_Proofing" localSheetId="3">#REF!</definedName>
    <definedName name="LENGTH_FV2_P08__Damp_Proofing" localSheetId="5">#REF!</definedName>
    <definedName name="LENGTH_FV2_P08__Damp_Proofing">#REF!</definedName>
    <definedName name="LENGTH_FV2_P08__Damp_Proofing___Omission" localSheetId="2">#REF!</definedName>
    <definedName name="LENGTH_FV2_P08__Damp_Proofing___Omission" localSheetId="1">#REF!</definedName>
    <definedName name="LENGTH_FV2_P08__Damp_Proofing___Omission" localSheetId="0">#REF!</definedName>
    <definedName name="LENGTH_FV2_P08__Damp_Proofing___Omission" localSheetId="4">#REF!</definedName>
    <definedName name="LENGTH_FV2_P08__Damp_Proofing___Omission" localSheetId="3">#REF!</definedName>
    <definedName name="LENGTH_FV2_P08__Damp_Proofing___Omission" localSheetId="5">#REF!</definedName>
    <definedName name="LENGTH_FV2_P08__Damp_Proofing___Omission">#REF!</definedName>
    <definedName name="LENGTH_FV2_P09__Damp_Proofing" localSheetId="2">#REF!</definedName>
    <definedName name="LENGTH_FV2_P09__Damp_Proofing" localSheetId="1">#REF!</definedName>
    <definedName name="LENGTH_FV2_P09__Damp_Proofing" localSheetId="0">#REF!</definedName>
    <definedName name="LENGTH_FV2_P09__Damp_Proofing" localSheetId="4">#REF!</definedName>
    <definedName name="LENGTH_FV2_P09__Damp_Proofing" localSheetId="3">#REF!</definedName>
    <definedName name="LENGTH_FV2_P09__Damp_Proofing" localSheetId="5">#REF!</definedName>
    <definedName name="LENGTH_FV2_P09__Damp_Proofing">#REF!</definedName>
    <definedName name="LENGTH_FV2_P10__Damp_Proofing" localSheetId="2">#REF!</definedName>
    <definedName name="LENGTH_FV2_P10__Damp_Proofing" localSheetId="1">#REF!</definedName>
    <definedName name="LENGTH_FV2_P10__Damp_Proofing" localSheetId="0">#REF!</definedName>
    <definedName name="LENGTH_FV2_P10__Damp_Proofing" localSheetId="4">#REF!</definedName>
    <definedName name="LENGTH_FV2_P10__Damp_Proofing" localSheetId="3">#REF!</definedName>
    <definedName name="LENGTH_FV2_P10__Damp_Proofing" localSheetId="5">#REF!</definedName>
    <definedName name="LENGTH_FV2_P10__Damp_Proofing">#REF!</definedName>
    <definedName name="LENGTH_FV3_GF__Damp_Proofing" localSheetId="2">#REF!</definedName>
    <definedName name="LENGTH_FV3_GF__Damp_Proofing" localSheetId="1">#REF!</definedName>
    <definedName name="LENGTH_FV3_GF__Damp_Proofing" localSheetId="0">#REF!</definedName>
    <definedName name="LENGTH_FV3_GF__Damp_Proofing" localSheetId="4">#REF!</definedName>
    <definedName name="LENGTH_FV3_GF__Damp_Proofing" localSheetId="3">#REF!</definedName>
    <definedName name="LENGTH_FV3_GF__Damp_Proofing" localSheetId="5">#REF!</definedName>
    <definedName name="LENGTH_FV3_GF__Damp_Proofing">#REF!</definedName>
    <definedName name="LENGTH_FV3_Mez__Damp_Proofing" localSheetId="2">#REF!</definedName>
    <definedName name="LENGTH_FV3_Mez__Damp_Proofing" localSheetId="1">#REF!</definedName>
    <definedName name="LENGTH_FV3_Mez__Damp_Proofing" localSheetId="0">#REF!</definedName>
    <definedName name="LENGTH_FV3_Mez__Damp_Proofing" localSheetId="4">#REF!</definedName>
    <definedName name="LENGTH_FV3_Mez__Damp_Proofing" localSheetId="3">#REF!</definedName>
    <definedName name="LENGTH_FV3_Mez__Damp_Proofing" localSheetId="5">#REF!</definedName>
    <definedName name="LENGTH_FV3_Mez__Damp_Proofing">#REF!</definedName>
    <definedName name="LENGTH_FV3_P02__Damp_Proofing" localSheetId="2">#REF!</definedName>
    <definedName name="LENGTH_FV3_P02__Damp_Proofing" localSheetId="1">#REF!</definedName>
    <definedName name="LENGTH_FV3_P02__Damp_Proofing" localSheetId="0">#REF!</definedName>
    <definedName name="LENGTH_FV3_P02__Damp_Proofing" localSheetId="4">#REF!</definedName>
    <definedName name="LENGTH_FV3_P02__Damp_Proofing" localSheetId="3">#REF!</definedName>
    <definedName name="LENGTH_FV3_P02__Damp_Proofing" localSheetId="5">#REF!</definedName>
    <definedName name="LENGTH_FV3_P02__Damp_Proofing">#REF!</definedName>
    <definedName name="LENGTH_FV3_P02__Damp_Proofing___Omission" localSheetId="2">#REF!</definedName>
    <definedName name="LENGTH_FV3_P02__Damp_Proofing___Omission" localSheetId="1">#REF!</definedName>
    <definedName name="LENGTH_FV3_P02__Damp_Proofing___Omission" localSheetId="0">#REF!</definedName>
    <definedName name="LENGTH_FV3_P02__Damp_Proofing___Omission" localSheetId="4">#REF!</definedName>
    <definedName name="LENGTH_FV3_P02__Damp_Proofing___Omission" localSheetId="3">#REF!</definedName>
    <definedName name="LENGTH_FV3_P02__Damp_Proofing___Omission" localSheetId="5">#REF!</definedName>
    <definedName name="LENGTH_FV3_P02__Damp_Proofing___Omission">#REF!</definedName>
    <definedName name="LENGTH_FV3_P03__Damp_Proofing___Omission" localSheetId="2">#REF!</definedName>
    <definedName name="LENGTH_FV3_P03__Damp_Proofing___Omission" localSheetId="1">#REF!</definedName>
    <definedName name="LENGTH_FV3_P03__Damp_Proofing___Omission" localSheetId="0">#REF!</definedName>
    <definedName name="LENGTH_FV3_P03__Damp_Proofing___Omission" localSheetId="4">#REF!</definedName>
    <definedName name="LENGTH_FV3_P03__Damp_Proofing___Omission" localSheetId="3">#REF!</definedName>
    <definedName name="LENGTH_FV3_P03__Damp_Proofing___Omission" localSheetId="5">#REF!</definedName>
    <definedName name="LENGTH_FV3_P03__Damp_Proofing___Omission">#REF!</definedName>
    <definedName name="LENGTH_FV3_P04__Damp_Proofing___Omission" localSheetId="2">#REF!</definedName>
    <definedName name="LENGTH_FV3_P04__Damp_Proofing___Omission" localSheetId="1">#REF!</definedName>
    <definedName name="LENGTH_FV3_P04__Damp_Proofing___Omission" localSheetId="0">#REF!</definedName>
    <definedName name="LENGTH_FV3_P04__Damp_Proofing___Omission" localSheetId="4">#REF!</definedName>
    <definedName name="LENGTH_FV3_P04__Damp_Proofing___Omission" localSheetId="3">#REF!</definedName>
    <definedName name="LENGTH_FV3_P04__Damp_Proofing___Omission" localSheetId="5">#REF!</definedName>
    <definedName name="LENGTH_FV3_P04__Damp_Proofing___Omission">#REF!</definedName>
    <definedName name="LENGTH_FV3_P05__Damp_Proofing___Omission" localSheetId="2">#REF!</definedName>
    <definedName name="LENGTH_FV3_P05__Damp_Proofing___Omission" localSheetId="1">#REF!</definedName>
    <definedName name="LENGTH_FV3_P05__Damp_Proofing___Omission" localSheetId="0">#REF!</definedName>
    <definedName name="LENGTH_FV3_P05__Damp_Proofing___Omission" localSheetId="4">#REF!</definedName>
    <definedName name="LENGTH_FV3_P05__Damp_Proofing___Omission" localSheetId="3">#REF!</definedName>
    <definedName name="LENGTH_FV3_P05__Damp_Proofing___Omission" localSheetId="5">#REF!</definedName>
    <definedName name="LENGTH_FV3_P05__Damp_Proofing___Omission">#REF!</definedName>
    <definedName name="LENGTH_FV3_P06__Damp_Proofing___Omission" localSheetId="2">#REF!</definedName>
    <definedName name="LENGTH_FV3_P06__Damp_Proofing___Omission" localSheetId="1">#REF!</definedName>
    <definedName name="LENGTH_FV3_P06__Damp_Proofing___Omission" localSheetId="0">#REF!</definedName>
    <definedName name="LENGTH_FV3_P06__Damp_Proofing___Omission" localSheetId="4">#REF!</definedName>
    <definedName name="LENGTH_FV3_P06__Damp_Proofing___Omission" localSheetId="3">#REF!</definedName>
    <definedName name="LENGTH_FV3_P06__Damp_Proofing___Omission" localSheetId="5">#REF!</definedName>
    <definedName name="LENGTH_FV3_P06__Damp_Proofing___Omission">#REF!</definedName>
    <definedName name="LENGTH_FV3_P07__Damp_Proofing___Omission" localSheetId="2">#REF!</definedName>
    <definedName name="LENGTH_FV3_P07__Damp_Proofing___Omission" localSheetId="1">#REF!</definedName>
    <definedName name="LENGTH_FV3_P07__Damp_Proofing___Omission" localSheetId="0">#REF!</definedName>
    <definedName name="LENGTH_FV3_P07__Damp_Proofing___Omission" localSheetId="4">#REF!</definedName>
    <definedName name="LENGTH_FV3_P07__Damp_Proofing___Omission" localSheetId="3">#REF!</definedName>
    <definedName name="LENGTH_FV3_P07__Damp_Proofing___Omission" localSheetId="5">#REF!</definedName>
    <definedName name="LENGTH_FV3_P07__Damp_Proofing___Omission">#REF!</definedName>
    <definedName name="LENGTH_FV3_P08__Damp_Proofing___Omission" localSheetId="2">#REF!</definedName>
    <definedName name="LENGTH_FV3_P08__Damp_Proofing___Omission" localSheetId="1">#REF!</definedName>
    <definedName name="LENGTH_FV3_P08__Damp_Proofing___Omission" localSheetId="0">#REF!</definedName>
    <definedName name="LENGTH_FV3_P08__Damp_Proofing___Omission" localSheetId="4">#REF!</definedName>
    <definedName name="LENGTH_FV3_P08__Damp_Proofing___Omission" localSheetId="3">#REF!</definedName>
    <definedName name="LENGTH_FV3_P08__Damp_Proofing___Omission" localSheetId="5">#REF!</definedName>
    <definedName name="LENGTH_FV3_P08__Damp_Proofing___Omission">#REF!</definedName>
    <definedName name="LENGTH_FV3_P09__Damp_Proofing" localSheetId="2">#REF!</definedName>
    <definedName name="LENGTH_FV3_P09__Damp_Proofing" localSheetId="1">#REF!</definedName>
    <definedName name="LENGTH_FV3_P09__Damp_Proofing" localSheetId="0">#REF!</definedName>
    <definedName name="LENGTH_FV3_P09__Damp_Proofing" localSheetId="4">#REF!</definedName>
    <definedName name="LENGTH_FV3_P09__Damp_Proofing" localSheetId="3">#REF!</definedName>
    <definedName name="LENGTH_FV3_P09__Damp_Proofing" localSheetId="5">#REF!</definedName>
    <definedName name="LENGTH_FV3_P09__Damp_Proofing">#REF!</definedName>
    <definedName name="LENGTH_FV3_P09__Damp_Proofing___Omission" localSheetId="2">#REF!</definedName>
    <definedName name="LENGTH_FV3_P09__Damp_Proofing___Omission" localSheetId="1">#REF!</definedName>
    <definedName name="LENGTH_FV3_P09__Damp_Proofing___Omission" localSheetId="0">#REF!</definedName>
    <definedName name="LENGTH_FV3_P09__Damp_Proofing___Omission" localSheetId="4">#REF!</definedName>
    <definedName name="LENGTH_FV3_P09__Damp_Proofing___Omission" localSheetId="3">#REF!</definedName>
    <definedName name="LENGTH_FV3_P09__Damp_Proofing___Omission" localSheetId="5">#REF!</definedName>
    <definedName name="LENGTH_FV3_P09__Damp_Proofing___Omission">#REF!</definedName>
    <definedName name="LENGTH_FV3_P10__Damp_Proofing" localSheetId="2">#REF!</definedName>
    <definedName name="LENGTH_FV3_P10__Damp_Proofing" localSheetId="1">#REF!</definedName>
    <definedName name="LENGTH_FV3_P10__Damp_Proofing" localSheetId="0">#REF!</definedName>
    <definedName name="LENGTH_FV3_P10__Damp_Proofing" localSheetId="4">#REF!</definedName>
    <definedName name="LENGTH_FV3_P10__Damp_Proofing" localSheetId="3">#REF!</definedName>
    <definedName name="LENGTH_FV3_P10__Damp_Proofing" localSheetId="5">#REF!</definedName>
    <definedName name="LENGTH_FV3_P10__Damp_Proofing">#REF!</definedName>
    <definedName name="LETTER" localSheetId="2">#REF!</definedName>
    <definedName name="LETTER" localSheetId="1">#REF!</definedName>
    <definedName name="LETTER" localSheetId="0">#REF!</definedName>
    <definedName name="LETTER" localSheetId="4">#REF!</definedName>
    <definedName name="LETTER" localSheetId="3">#REF!</definedName>
    <definedName name="LETTER" localSheetId="5">#REF!</definedName>
    <definedName name="LETTER">#REF!</definedName>
    <definedName name="LIB" localSheetId="2">#REF!</definedName>
    <definedName name="LIB" localSheetId="1">#REF!</definedName>
    <definedName name="LIB" localSheetId="0">#REF!</definedName>
    <definedName name="LIB" localSheetId="4">#REF!</definedName>
    <definedName name="LIB" localSheetId="3">#REF!</definedName>
    <definedName name="LIB" localSheetId="5">#REF!</definedName>
    <definedName name="LIB">#REF!</definedName>
    <definedName name="lift" localSheetId="0" hidden="1">#REF!</definedName>
    <definedName name="lift" localSheetId="4" hidden="1">#REF!</definedName>
    <definedName name="lift" localSheetId="3" hidden="1">#REF!</definedName>
    <definedName name="lift" localSheetId="5" hidden="1">#REF!</definedName>
    <definedName name="lift" hidden="1">#REF!</definedName>
    <definedName name="LIGHTING" localSheetId="2">#REF!</definedName>
    <definedName name="LIGHTING" localSheetId="1">#REF!</definedName>
    <definedName name="LIGHTING" localSheetId="0">#REF!</definedName>
    <definedName name="LIGHTING" localSheetId="4">#REF!</definedName>
    <definedName name="LIGHTING" localSheetId="3">#REF!</definedName>
    <definedName name="LIGHTING" localSheetId="5">#REF!</definedName>
    <definedName name="LIGHTING">#REF!</definedName>
    <definedName name="Lighting_control" localSheetId="4">#REF!</definedName>
    <definedName name="Lighting_control" localSheetId="3">#REF!</definedName>
    <definedName name="Lighting_control" localSheetId="5">#REF!</definedName>
    <definedName name="Lighting_control">#REF!</definedName>
    <definedName name="Lighting_fixtures__fittings" localSheetId="4">#REF!</definedName>
    <definedName name="Lighting_fixtures__fittings" localSheetId="3">#REF!</definedName>
    <definedName name="Lighting_fixtures__fittings" localSheetId="5">#REF!</definedName>
    <definedName name="Lighting_fixtures__fittings">#REF!</definedName>
    <definedName name="Lighting_Points" localSheetId="4">#REF!</definedName>
    <definedName name="Lighting_Points" localSheetId="3">#REF!</definedName>
    <definedName name="Lighting_Points" localSheetId="5">#REF!</definedName>
    <definedName name="Lighting_Points">#REF!</definedName>
    <definedName name="Lighting_Switches_Points_and_fitting" localSheetId="4">#REF!</definedName>
    <definedName name="Lighting_Switches_Points_and_fitting" localSheetId="3">#REF!</definedName>
    <definedName name="Lighting_Switches_Points_and_fitting" localSheetId="5">#REF!</definedName>
    <definedName name="Lighting_Switches_Points_and_fitting">#REF!</definedName>
    <definedName name="Lightning_Protection" localSheetId="4">#REF!</definedName>
    <definedName name="Lightning_Protection" localSheetId="3">#REF!</definedName>
    <definedName name="Lightning_Protection" localSheetId="5">#REF!</definedName>
    <definedName name="Lightning_Protection">#REF!</definedName>
    <definedName name="lightscreed" localSheetId="4">#REF!</definedName>
    <definedName name="lightscreed" localSheetId="3">#REF!</definedName>
    <definedName name="lightscreed" localSheetId="5">#REF!</definedName>
    <definedName name="lightscreed">#REF!</definedName>
    <definedName name="limcount" hidden="1">1</definedName>
    <definedName name="LINE" localSheetId="2">#REF!</definedName>
    <definedName name="LINE" localSheetId="1">#REF!</definedName>
    <definedName name="LINE" localSheetId="0">#REF!</definedName>
    <definedName name="LINE" localSheetId="4">#REF!</definedName>
    <definedName name="LINE" localSheetId="3">#REF!</definedName>
    <definedName name="LINE" localSheetId="5">#REF!</definedName>
    <definedName name="LINE">#REF!</definedName>
    <definedName name="LINE_SHOPS" localSheetId="2">#REF!</definedName>
    <definedName name="LINE_SHOPS" localSheetId="1">#REF!</definedName>
    <definedName name="LINE_SHOPS" localSheetId="0">#REF!</definedName>
    <definedName name="LINE_SHOPS" localSheetId="4">#REF!</definedName>
    <definedName name="LINE_SHOPS" localSheetId="3">#REF!</definedName>
    <definedName name="LINE_SHOPS" localSheetId="5">#REF!</definedName>
    <definedName name="LINE_SHOPS">#REF!</definedName>
    <definedName name="LINE1" localSheetId="2">#REF!</definedName>
    <definedName name="LINE1" localSheetId="1">#REF!</definedName>
    <definedName name="LINE1" localSheetId="0">#REF!</definedName>
    <definedName name="LINE1" localSheetId="4">#REF!</definedName>
    <definedName name="LINE1" localSheetId="3">#REF!</definedName>
    <definedName name="LINE1" localSheetId="5">#REF!</definedName>
    <definedName name="LINE1">#REF!</definedName>
    <definedName name="liop" localSheetId="2" hidden="1">{"'Break down'!$A$4"}</definedName>
    <definedName name="liop" localSheetId="1" hidden="1">{"'Break down'!$A$4"}</definedName>
    <definedName name="liop" localSheetId="0" hidden="1">{"'Break down'!$A$4"}</definedName>
    <definedName name="liop" localSheetId="4" hidden="1">{"'Break down'!$A$4"}</definedName>
    <definedName name="liop" localSheetId="3" hidden="1">{"'Break down'!$A$4"}</definedName>
    <definedName name="liop" localSheetId="5" hidden="1">{"'Break down'!$A$4"}</definedName>
    <definedName name="liop" hidden="1">{"'Break down'!$A$4"}</definedName>
    <definedName name="liop_1" localSheetId="2" hidden="1">{"'Break down'!$A$4"}</definedName>
    <definedName name="liop_1" localSheetId="1" hidden="1">{"'Break down'!$A$4"}</definedName>
    <definedName name="liop_1" localSheetId="0" hidden="1">{"'Break down'!$A$4"}</definedName>
    <definedName name="liop_1" localSheetId="4" hidden="1">{"'Break down'!$A$4"}</definedName>
    <definedName name="liop_1" localSheetId="3" hidden="1">{"'Break down'!$A$4"}</definedName>
    <definedName name="liop_1" localSheetId="5" hidden="1">{"'Break down'!$A$4"}</definedName>
    <definedName name="liop_1" hidden="1">{"'Break down'!$A$4"}</definedName>
    <definedName name="liop_2" localSheetId="2" hidden="1">{"'Break down'!$A$4"}</definedName>
    <definedName name="liop_2" localSheetId="1" hidden="1">{"'Break down'!$A$4"}</definedName>
    <definedName name="liop_2" localSheetId="0" hidden="1">{"'Break down'!$A$4"}</definedName>
    <definedName name="liop_2" localSheetId="4" hidden="1">{"'Break down'!$A$4"}</definedName>
    <definedName name="liop_2" localSheetId="3" hidden="1">{"'Break down'!$A$4"}</definedName>
    <definedName name="liop_2" localSheetId="5" hidden="1">{"'Break down'!$A$4"}</definedName>
    <definedName name="liop_2" hidden="1">{"'Break down'!$A$4"}</definedName>
    <definedName name="List" localSheetId="5">#REF!</definedName>
    <definedName name="List">#REF!</definedName>
    <definedName name="lkjikjoi" localSheetId="2" hidden="1">{#N/A,#N/A,TRUE,"Cover";#N/A,#N/A,TRUE,"Conts";#N/A,#N/A,TRUE,"VOS";#N/A,#N/A,TRUE,"Warrington";#N/A,#N/A,TRUE,"Widnes"}</definedName>
    <definedName name="lkjikjoi" localSheetId="1" hidden="1">{#N/A,#N/A,TRUE,"Cover";#N/A,#N/A,TRUE,"Conts";#N/A,#N/A,TRUE,"VOS";#N/A,#N/A,TRUE,"Warrington";#N/A,#N/A,TRUE,"Widnes"}</definedName>
    <definedName name="lkjikjoi" localSheetId="0" hidden="1">{#N/A,#N/A,TRUE,"Cover";#N/A,#N/A,TRUE,"Conts";#N/A,#N/A,TRUE,"VOS";#N/A,#N/A,TRUE,"Warrington";#N/A,#N/A,TRUE,"Widnes"}</definedName>
    <definedName name="lkjikjoi" localSheetId="4" hidden="1">{#N/A,#N/A,TRUE,"Cover";#N/A,#N/A,TRUE,"Conts";#N/A,#N/A,TRUE,"VOS";#N/A,#N/A,TRUE,"Warrington";#N/A,#N/A,TRUE,"Widnes"}</definedName>
    <definedName name="lkjikjoi" localSheetId="3" hidden="1">{#N/A,#N/A,TRUE,"Cover";#N/A,#N/A,TRUE,"Conts";#N/A,#N/A,TRUE,"VOS";#N/A,#N/A,TRUE,"Warrington";#N/A,#N/A,TRUE,"Widnes"}</definedName>
    <definedName name="lkjikjoi" localSheetId="5" hidden="1">{#N/A,#N/A,TRUE,"Cover";#N/A,#N/A,TRUE,"Conts";#N/A,#N/A,TRUE,"VOS";#N/A,#N/A,TRUE,"Warrington";#N/A,#N/A,TRUE,"Widnes"}</definedName>
    <definedName name="lkjikjoi" hidden="1">{#N/A,#N/A,TRUE,"Cover";#N/A,#N/A,TRUE,"Conts";#N/A,#N/A,TRUE,"VOS";#N/A,#N/A,TRUE,"Warrington";#N/A,#N/A,TRUE,"Widnes"}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2">#REF!</definedName>
    <definedName name="LLL" localSheetId="1">#REF!</definedName>
    <definedName name="LLL" localSheetId="0">#REF!</definedName>
    <definedName name="LLL" localSheetId="4">#REF!</definedName>
    <definedName name="LLL" localSheetId="3">#REF!</definedName>
    <definedName name="LLL" localSheetId="5">#REF!</definedName>
    <definedName name="LLL">#REF!</definedName>
    <definedName name="llll" localSheetId="2" hidden="1">{"'Break down'!$A$4"}</definedName>
    <definedName name="llll" localSheetId="1" hidden="1">{"'Break down'!$A$4"}</definedName>
    <definedName name="llll" localSheetId="0" hidden="1">{"'Break down'!$A$4"}</definedName>
    <definedName name="llll" localSheetId="4" hidden="1">{"'Break down'!$A$4"}</definedName>
    <definedName name="llll" localSheetId="3" hidden="1">{"'Break down'!$A$4"}</definedName>
    <definedName name="llll" localSheetId="5" hidden="1">{"'Break down'!$A$4"}</definedName>
    <definedName name="llll" hidden="1">{"'Break down'!$A$4"}</definedName>
    <definedName name="llll_1" localSheetId="2" hidden="1">{"'Break down'!$A$4"}</definedName>
    <definedName name="llll_1" localSheetId="1" hidden="1">{"'Break down'!$A$4"}</definedName>
    <definedName name="llll_1" localSheetId="0" hidden="1">{"'Break down'!$A$4"}</definedName>
    <definedName name="llll_1" localSheetId="4" hidden="1">{"'Break down'!$A$4"}</definedName>
    <definedName name="llll_1" localSheetId="3" hidden="1">{"'Break down'!$A$4"}</definedName>
    <definedName name="llll_1" localSheetId="5" hidden="1">{"'Break down'!$A$4"}</definedName>
    <definedName name="llll_1" hidden="1">{"'Break down'!$A$4"}</definedName>
    <definedName name="llll_2" localSheetId="2" hidden="1">{"'Break down'!$A$4"}</definedName>
    <definedName name="llll_2" localSheetId="1" hidden="1">{"'Break down'!$A$4"}</definedName>
    <definedName name="llll_2" localSheetId="0" hidden="1">{"'Break down'!$A$4"}</definedName>
    <definedName name="llll_2" localSheetId="4" hidden="1">{"'Break down'!$A$4"}</definedName>
    <definedName name="llll_2" localSheetId="3" hidden="1">{"'Break down'!$A$4"}</definedName>
    <definedName name="llll_2" localSheetId="5" hidden="1">{"'Break down'!$A$4"}</definedName>
    <definedName name="llll_2" hidden="1">{"'Break down'!$A$4"}</definedName>
    <definedName name="lllll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oan_Amount" localSheetId="2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3">#REF!</definedName>
    <definedName name="Loan_Amount" localSheetId="5">#REF!</definedName>
    <definedName name="Loan_Amount">#REF!</definedName>
    <definedName name="Loan_Start" localSheetId="2">#REF!</definedName>
    <definedName name="Loan_Start" localSheetId="1">#REF!</definedName>
    <definedName name="Loan_Start" localSheetId="0">#REF!</definedName>
    <definedName name="Loan_Start" localSheetId="4">#REF!</definedName>
    <definedName name="Loan_Start" localSheetId="3">#REF!</definedName>
    <definedName name="Loan_Start" localSheetId="5">#REF!</definedName>
    <definedName name="Loan_Start">#REF!</definedName>
    <definedName name="Loan_Years" localSheetId="2">#REF!</definedName>
    <definedName name="Loan_Years" localSheetId="1">#REF!</definedName>
    <definedName name="Loan_Years" localSheetId="0">#REF!</definedName>
    <definedName name="Loan_Years" localSheetId="4">#REF!</definedName>
    <definedName name="Loan_Years" localSheetId="3">#REF!</definedName>
    <definedName name="Loan_Years" localSheetId="5">#REF!</definedName>
    <definedName name="Loan_Years">#REF!</definedName>
    <definedName name="Location" localSheetId="0">#REF!</definedName>
    <definedName name="Location" localSheetId="4">#REF!</definedName>
    <definedName name="Location" localSheetId="3">#REF!</definedName>
    <definedName name="location" localSheetId="5">#REF!</definedName>
    <definedName name="location">#REF!</definedName>
    <definedName name="Log" localSheetId="2">#REF!</definedName>
    <definedName name="Log" localSheetId="1">#REF!</definedName>
    <definedName name="Log" localSheetId="0">#REF!</definedName>
    <definedName name="Log" localSheetId="4">#REF!</definedName>
    <definedName name="Log" localSheetId="3">#REF!</definedName>
    <definedName name="Log" localSheetId="5">#REF!</definedName>
    <definedName name="Log">#REF!</definedName>
    <definedName name="Logical" localSheetId="4">#REF!</definedName>
    <definedName name="Logical" localSheetId="3">#REF!</definedName>
    <definedName name="Logical" localSheetId="5">#REF!</definedName>
    <definedName name="Logical">#REF!</definedName>
    <definedName name="LOGO" localSheetId="2">#REF!</definedName>
    <definedName name="LOGO" localSheetId="1">#REF!</definedName>
    <definedName name="LOGO" localSheetId="0">#REF!</definedName>
    <definedName name="LOGO" localSheetId="4">#REF!</definedName>
    <definedName name="LOGO" localSheetId="3">#REF!</definedName>
    <definedName name="LOGO" localSheetId="5">#REF!</definedName>
    <definedName name="LOGO">#REF!</definedName>
    <definedName name="london" localSheetId="2">#REF!</definedName>
    <definedName name="london" localSheetId="1">#REF!</definedName>
    <definedName name="london" localSheetId="0">#REF!</definedName>
    <definedName name="london" localSheetId="4">#REF!</definedName>
    <definedName name="london" localSheetId="3">#REF!</definedName>
    <definedName name="london" localSheetId="5">#REF!</definedName>
    <definedName name="london">#REF!</definedName>
    <definedName name="LookPump" localSheetId="2">IF(VLOOKUP(#REF!,'A10 Design + Subs fee'!LookupPump,2)="HELP","HELP",VLOOKUP(#REF!,'A10 Design + Subs fee'!LookupPump,2))</definedName>
    <definedName name="LookPump" localSheetId="1">IF(VLOOKUP(#REF!,'A9 Design + Subs fee '!LookupPump,2)="HELP","HELP",VLOOKUP(#REF!,'A9 Design + Subs fee '!LookupPump,2))</definedName>
    <definedName name="LookPump" localSheetId="0">IF(VLOOKUP(#REF!,'FEE RECON RAIHAN'!LookupPump,2)="HELP","HELP",VLOOKUP(#REF!,'FEE RECON RAIHAN'!LookupPump,2))</definedName>
    <definedName name="LookPump" localSheetId="4">IF(VLOOKUP(#REF!,'Mastersheet-Projects'!LookupPump,2)="HELP","HELP",VLOOKUP(#REF!,'Mastersheet-Projects'!LookupPump,2))</definedName>
    <definedName name="LookPump" localSheetId="3">IF(VLOOKUP(#REF!,'Mastersheet-Resources'!LookupPump,2)="HELP","HELP",VLOOKUP(#REF!,'Mastersheet-Resources'!LookupPump,2))</definedName>
    <definedName name="LookPump" localSheetId="5">IF(VLOOKUP(#REF!,'Tender List'!LookupPump,2)="HELP","HELP",VLOOKUP(#REF!,'Tender List'!LookupPump,2))</definedName>
    <definedName name="LookPump">IF(VLOOKUP(#REF!,LookupPump,2)="HELP","HELP",VLOOKUP(#REF!,LookupPump,2))</definedName>
    <definedName name="LookPump1">#N/A</definedName>
    <definedName name="Lookup" localSheetId="2">#REF!</definedName>
    <definedName name="Lookup" localSheetId="1">#REF!</definedName>
    <definedName name="Lookup" localSheetId="0">#REF!</definedName>
    <definedName name="Lookup" localSheetId="4">#REF!</definedName>
    <definedName name="Lookup" localSheetId="3">#REF!</definedName>
    <definedName name="Lookup" localSheetId="5">#REF!</definedName>
    <definedName name="Lookup">#REF!</definedName>
    <definedName name="Lookup_GL_Account" localSheetId="2">#REF!</definedName>
    <definedName name="Lookup_GL_Account" localSheetId="1">#REF!</definedName>
    <definedName name="Lookup_GL_Account" localSheetId="0">#REF!</definedName>
    <definedName name="Lookup_GL_Account" localSheetId="4">#REF!</definedName>
    <definedName name="Lookup_GL_Account" localSheetId="3">#REF!</definedName>
    <definedName name="Lookup_GL_Account" localSheetId="5">#REF!</definedName>
    <definedName name="Lookup_GL_Account">#REF!</definedName>
    <definedName name="LookupFormulae" localSheetId="2">#REF!</definedName>
    <definedName name="LookupFormulae" localSheetId="1">#REF!</definedName>
    <definedName name="LookupFormulae" localSheetId="0">#REF!</definedName>
    <definedName name="LookupFormulae" localSheetId="4">#REF!</definedName>
    <definedName name="LookupFormulae" localSheetId="3">#REF!</definedName>
    <definedName name="LookupFormulae" localSheetId="5">#REF!</definedName>
    <definedName name="LookupFormulae">#REF!</definedName>
    <definedName name="LookupPump" localSheetId="2">#REF!</definedName>
    <definedName name="LookupPump" localSheetId="1">#REF!</definedName>
    <definedName name="LookupPump" localSheetId="0">#REF!</definedName>
    <definedName name="LookupPump" localSheetId="4">#REF!</definedName>
    <definedName name="LookupPump" localSheetId="3">#REF!</definedName>
    <definedName name="LookupPump" localSheetId="5">#REF!</definedName>
    <definedName name="LookupPump">#REF!</definedName>
    <definedName name="LOWER" localSheetId="2">#REF!</definedName>
    <definedName name="LOWER" localSheetId="1">#REF!</definedName>
    <definedName name="LOWER" localSheetId="0">#REF!</definedName>
    <definedName name="LOWER" localSheetId="4">#REF!</definedName>
    <definedName name="LOWER" localSheetId="3">#REF!</definedName>
    <definedName name="LOWER" localSheetId="5">#REF!</definedName>
    <definedName name="LOWER">#REF!</definedName>
    <definedName name="LTG_ALS" localSheetId="2">#REF!</definedName>
    <definedName name="LTG_ALS" localSheetId="1">#REF!</definedName>
    <definedName name="LTG_ALS" localSheetId="0">#REF!</definedName>
    <definedName name="LTG_ALS" localSheetId="4">#REF!</definedName>
    <definedName name="LTG_ALS" localSheetId="3">#REF!</definedName>
    <definedName name="LTG_ALS" localSheetId="5">#REF!</definedName>
    <definedName name="LTG_ALS">#REF!</definedName>
    <definedName name="LTG_CONDUIT" localSheetId="2">#REF!</definedName>
    <definedName name="LTG_CONDUIT" localSheetId="1">#REF!</definedName>
    <definedName name="LTG_CONDUIT" localSheetId="0">#REF!</definedName>
    <definedName name="LTG_CONDUIT" localSheetId="4">#REF!</definedName>
    <definedName name="LTG_CONDUIT" localSheetId="3">#REF!</definedName>
    <definedName name="LTG_CONDUIT" localSheetId="5">#REF!</definedName>
    <definedName name="LTG_CONDUIT">#REF!</definedName>
    <definedName name="LTG_INDOOR" localSheetId="2">#REF!</definedName>
    <definedName name="LTG_INDOOR" localSheetId="1">#REF!</definedName>
    <definedName name="LTG_INDOOR" localSheetId="0">#REF!</definedName>
    <definedName name="LTG_INDOOR" localSheetId="4">#REF!</definedName>
    <definedName name="LTG_INDOOR" localSheetId="3">#REF!</definedName>
    <definedName name="LTG_INDOOR" localSheetId="5">#REF!</definedName>
    <definedName name="LTG_INDOOR">#REF!</definedName>
    <definedName name="LTG_OUTDOOR" localSheetId="2">#REF!</definedName>
    <definedName name="LTG_OUTDOOR" localSheetId="1">#REF!</definedName>
    <definedName name="LTG_OUTDOOR" localSheetId="0">#REF!</definedName>
    <definedName name="LTG_OUTDOOR" localSheetId="4">#REF!</definedName>
    <definedName name="LTG_OUTDOOR" localSheetId="3">#REF!</definedName>
    <definedName name="LTG_OUTDOOR" localSheetId="5">#REF!</definedName>
    <definedName name="LTG_OUTDOOR">#REF!</definedName>
    <definedName name="LTG_POLES" localSheetId="2">#REF!</definedName>
    <definedName name="LTG_POLES" localSheetId="1">#REF!</definedName>
    <definedName name="LTG_POLES" localSheetId="0">#REF!</definedName>
    <definedName name="LTG_POLES" localSheetId="4">#REF!</definedName>
    <definedName name="LTG_POLES" localSheetId="3">#REF!</definedName>
    <definedName name="LTG_POLES" localSheetId="5">#REF!</definedName>
    <definedName name="LTG_POLES">#REF!</definedName>
    <definedName name="LTG_PWR_EQUIP" localSheetId="2">#REF!</definedName>
    <definedName name="LTG_PWR_EQUIP" localSheetId="1">#REF!</definedName>
    <definedName name="LTG_PWR_EQUIP" localSheetId="0">#REF!</definedName>
    <definedName name="LTG_PWR_EQUIP" localSheetId="4">#REF!</definedName>
    <definedName name="LTG_PWR_EQUIP" localSheetId="3">#REF!</definedName>
    <definedName name="LTG_PWR_EQUIP" localSheetId="5">#REF!</definedName>
    <definedName name="LTG_PWR_EQUIP">#REF!</definedName>
    <definedName name="LTG_WIRE" localSheetId="2">#REF!</definedName>
    <definedName name="LTG_WIRE" localSheetId="1">#REF!</definedName>
    <definedName name="LTG_WIRE" localSheetId="0">#REF!</definedName>
    <definedName name="LTG_WIRE" localSheetId="4">#REF!</definedName>
    <definedName name="LTG_WIRE" localSheetId="3">#REF!</definedName>
    <definedName name="LTG_WIRE" localSheetId="5">#REF!</definedName>
    <definedName name="LTG_WIRE">#REF!</definedName>
    <definedName name="m" localSheetId="2">#REF!</definedName>
    <definedName name="m" localSheetId="1">#REF!</definedName>
    <definedName name="M" localSheetId="0">#REF!</definedName>
    <definedName name="M" localSheetId="4">#REF!</definedName>
    <definedName name="M" localSheetId="3">#REF!</definedName>
    <definedName name="M" localSheetId="5">#REF!</definedName>
    <definedName name="M">#REF!</definedName>
    <definedName name="M_UP" localSheetId="4">#REF!</definedName>
    <definedName name="M_UP" localSheetId="3">#REF!</definedName>
    <definedName name="M_UP" localSheetId="5">#REF!</definedName>
    <definedName name="M_UP">#REF!</definedName>
    <definedName name="MaceCompletionDate" localSheetId="4">#REF!</definedName>
    <definedName name="MaceCompletionDate" localSheetId="3">#REF!</definedName>
    <definedName name="MaceCompletionDate" localSheetId="5">#REF!</definedName>
    <definedName name="MaceCompletionDate">#REF!</definedName>
    <definedName name="MaceStartDate" localSheetId="4">#REF!</definedName>
    <definedName name="MaceStartDate" localSheetId="3">#REF!</definedName>
    <definedName name="MaceStartDate" localSheetId="5">#REF!</definedName>
    <definedName name="MaceStartDate">#REF!</definedName>
    <definedName name="MACROS" localSheetId="2">#REF!</definedName>
    <definedName name="MACROS" localSheetId="1">#REF!</definedName>
    <definedName name="MACROS" localSheetId="0">#REF!</definedName>
    <definedName name="MACROS" localSheetId="4">#REF!</definedName>
    <definedName name="MACROS" localSheetId="3">#REF!</definedName>
    <definedName name="MACROS" localSheetId="5">#REF!</definedName>
    <definedName name="MACROS">#REF!</definedName>
    <definedName name="Mahesh" localSheetId="2">#REF!</definedName>
    <definedName name="Mahesh" localSheetId="1">#REF!</definedName>
    <definedName name="Mahesh" localSheetId="0">#REF!</definedName>
    <definedName name="Mahesh" localSheetId="4">#REF!</definedName>
    <definedName name="Mahesh" localSheetId="3">#REF!</definedName>
    <definedName name="Mahesh" localSheetId="5">#REF!</definedName>
    <definedName name="Mahesh">#REF!</definedName>
    <definedName name="MAIL" localSheetId="2">#REF!</definedName>
    <definedName name="MAIL" localSheetId="1">#REF!</definedName>
    <definedName name="MAIL" localSheetId="0">#REF!</definedName>
    <definedName name="MAIL" localSheetId="4">#REF!</definedName>
    <definedName name="MAIL" localSheetId="3">#REF!</definedName>
    <definedName name="MAIL" localSheetId="5">#REF!</definedName>
    <definedName name="MAIL">#REF!</definedName>
    <definedName name="MAJORS" localSheetId="2">#REF!</definedName>
    <definedName name="MAJORS" localSheetId="1">#REF!</definedName>
    <definedName name="MAJORS" localSheetId="0">#REF!</definedName>
    <definedName name="MAJORS" localSheetId="4">#REF!</definedName>
    <definedName name="MAJORS" localSheetId="3">#REF!</definedName>
    <definedName name="MAJORS" localSheetId="5">#REF!</definedName>
    <definedName name="MAJORS">#REF!</definedName>
    <definedName name="MAN_HRS" localSheetId="4">#REF!</definedName>
    <definedName name="MAN_HRS" localSheetId="3">#REF!</definedName>
    <definedName name="MAN_HRS" localSheetId="5">#REF!</definedName>
    <definedName name="MAN_HRS">#REF!</definedName>
    <definedName name="MAN_LAB" localSheetId="4">#REF!</definedName>
    <definedName name="MAN_LAB" localSheetId="3">#REF!</definedName>
    <definedName name="MAN_LAB" localSheetId="5">#REF!</definedName>
    <definedName name="MAN_LAB">#REF!</definedName>
    <definedName name="Management_Fee_at_Risk" localSheetId="4">#REF!</definedName>
    <definedName name="Management_Fee_at_Risk" localSheetId="3">#REF!</definedName>
    <definedName name="Management_Fee_at_Risk" localSheetId="5">#REF!</definedName>
    <definedName name="Management_Fee_at_Risk">#REF!</definedName>
    <definedName name="management_graph" localSheetId="4">#REF!</definedName>
    <definedName name="management_graph" localSheetId="3">#REF!</definedName>
    <definedName name="management_graph" localSheetId="5">#REF!</definedName>
    <definedName name="management_graph">#REF!</definedName>
    <definedName name="management_schedule" localSheetId="4">#REF!</definedName>
    <definedName name="management_schedule" localSheetId="3">#REF!</definedName>
    <definedName name="management_schedule" localSheetId="5">#REF!</definedName>
    <definedName name="management_schedule">#REF!</definedName>
    <definedName name="MANHOLE" localSheetId="2">#REF!</definedName>
    <definedName name="MANHOLE" localSheetId="1">#REF!</definedName>
    <definedName name="MANHOLE" localSheetId="0">#REF!</definedName>
    <definedName name="MANHOLE" localSheetId="4">#REF!</definedName>
    <definedName name="MANHOLE" localSheetId="3">#REF!</definedName>
    <definedName name="MANHOLE" localSheetId="5">#REF!</definedName>
    <definedName name="MANHOLE">#REF!</definedName>
    <definedName name="MANPOURINGRATE" localSheetId="4">#REF!</definedName>
    <definedName name="MANPOURINGRATE" localSheetId="3">#REF!</definedName>
    <definedName name="MANPOURINGRATE" localSheetId="5">#REF!</definedName>
    <definedName name="MANPOURINGRATE">#REF!</definedName>
    <definedName name="MARK" localSheetId="2">#REF!</definedName>
    <definedName name="MARK" localSheetId="1">#REF!</definedName>
    <definedName name="MARK" localSheetId="0">#REF!</definedName>
    <definedName name="MARK" localSheetId="4">#REF!</definedName>
    <definedName name="MARK" localSheetId="3">#REF!</definedName>
    <definedName name="MARK" localSheetId="5">#REF!</definedName>
    <definedName name="MARK">#REF!</definedName>
    <definedName name="markup" localSheetId="4">#REF!</definedName>
    <definedName name="markup" localSheetId="3">#REF!</definedName>
    <definedName name="markup" localSheetId="5">#REF!</definedName>
    <definedName name="markup">#REF!</definedName>
    <definedName name="Material_Ave_Selling" localSheetId="2">#REF!</definedName>
    <definedName name="Material_Ave_Selling" localSheetId="1">#REF!</definedName>
    <definedName name="Material_Ave_Selling" localSheetId="0">#REF!</definedName>
    <definedName name="Material_Ave_Selling" localSheetId="4">#REF!</definedName>
    <definedName name="Material_Ave_Selling" localSheetId="3">#REF!</definedName>
    <definedName name="Material_Ave_Selling" localSheetId="5">#REF!</definedName>
    <definedName name="Material_Ave_Selling">#REF!</definedName>
    <definedName name="Material_Selling" localSheetId="2">#REF!</definedName>
    <definedName name="Material_Selling" localSheetId="1">#REF!</definedName>
    <definedName name="Material_Selling" localSheetId="4">#REF!</definedName>
    <definedName name="Material_Selling" localSheetId="3">#REF!</definedName>
    <definedName name="Material_Selling" localSheetId="5">#REF!</definedName>
    <definedName name="Material_Selling">#REF!</definedName>
    <definedName name="Material_Selling_3" localSheetId="2">#REF!</definedName>
    <definedName name="Material_Selling_3" localSheetId="1">#REF!</definedName>
    <definedName name="Material_Selling_3" localSheetId="4">#REF!</definedName>
    <definedName name="Material_Selling_3" localSheetId="3">#REF!</definedName>
    <definedName name="Material_Selling_3" localSheetId="5">#REF!</definedName>
    <definedName name="Material_Selling_3">#REF!</definedName>
    <definedName name="Material_Selling_4" localSheetId="2">#REF!</definedName>
    <definedName name="Material_Selling_4" localSheetId="1">#REF!</definedName>
    <definedName name="Material_Selling_4" localSheetId="4">#REF!</definedName>
    <definedName name="Material_Selling_4" localSheetId="3">#REF!</definedName>
    <definedName name="Material_Selling_4" localSheetId="5">#REF!</definedName>
    <definedName name="Material_Selling_4">#REF!</definedName>
    <definedName name="Materials" localSheetId="2">#REF!</definedName>
    <definedName name="Materials" localSheetId="1">#REF!</definedName>
    <definedName name="Materials" localSheetId="0">#REF!</definedName>
    <definedName name="Materials" localSheetId="4">#REF!</definedName>
    <definedName name="Materials" localSheetId="3">#REF!</definedName>
    <definedName name="Materials" localSheetId="5">#REF!</definedName>
    <definedName name="Materials">#REF!</definedName>
    <definedName name="MATH_CHK_AFTER_ELEC" localSheetId="2">#REF!</definedName>
    <definedName name="MATH_CHK_AFTER_ELEC" localSheetId="1">#REF!</definedName>
    <definedName name="MATH_CHK_AFTER_ELEC" localSheetId="0">#REF!</definedName>
    <definedName name="MATH_CHK_AFTER_ELEC" localSheetId="4">#REF!</definedName>
    <definedName name="MATH_CHK_AFTER_ELEC" localSheetId="3">#REF!</definedName>
    <definedName name="MATH_CHK_AFTER_ELEC" localSheetId="5">#REF!</definedName>
    <definedName name="MATH_CHK_AFTER_ELEC">#REF!</definedName>
    <definedName name="MATH_CHK_BEFORE_ELEC" localSheetId="2">#REF!</definedName>
    <definedName name="MATH_CHK_BEFORE_ELEC" localSheetId="1">#REF!</definedName>
    <definedName name="MATH_CHK_BEFORE_ELEC" localSheetId="0">#REF!</definedName>
    <definedName name="MATH_CHK_BEFORE_ELEC" localSheetId="4">#REF!</definedName>
    <definedName name="MATH_CHK_BEFORE_ELEC" localSheetId="3">#REF!</definedName>
    <definedName name="MATH_CHK_BEFORE_ELEC" localSheetId="5">#REF!</definedName>
    <definedName name="MATH_CHK_BEFORE_ELEC">#REF!</definedName>
    <definedName name="MATH_CHK_BOX_ELEC" localSheetId="2">#REF!</definedName>
    <definedName name="MATH_CHK_BOX_ELEC" localSheetId="1">#REF!</definedName>
    <definedName name="MATH_CHK_BOX_ELEC" localSheetId="0">#REF!</definedName>
    <definedName name="MATH_CHK_BOX_ELEC" localSheetId="4">#REF!</definedName>
    <definedName name="MATH_CHK_BOX_ELEC" localSheetId="3">#REF!</definedName>
    <definedName name="MATH_CHK_BOX_ELEC" localSheetId="5">#REF!</definedName>
    <definedName name="MATH_CHK_BOX_ELEC">#REF!</definedName>
    <definedName name="MATH_CHK_DATE_ELEC" localSheetId="2">#REF!</definedName>
    <definedName name="MATH_CHK_DATE_ELEC" localSheetId="1">#REF!</definedName>
    <definedName name="MATH_CHK_DATE_ELEC" localSheetId="0">#REF!</definedName>
    <definedName name="MATH_CHK_DATE_ELEC" localSheetId="4">#REF!</definedName>
    <definedName name="MATH_CHK_DATE_ELEC" localSheetId="3">#REF!</definedName>
    <definedName name="MATH_CHK_DATE_ELEC" localSheetId="5">#REF!</definedName>
    <definedName name="MATH_CHK_DATE_ELEC">#REF!</definedName>
    <definedName name="MATH_CHK_DELTA_ELEC" localSheetId="2">#REF!</definedName>
    <definedName name="MATH_CHK_DELTA_ELEC" localSheetId="1">#REF!</definedName>
    <definedName name="MATH_CHK_DELTA_ELEC" localSheetId="0">#REF!</definedName>
    <definedName name="MATH_CHK_DELTA_ELEC" localSheetId="4">#REF!</definedName>
    <definedName name="MATH_CHK_DELTA_ELEC" localSheetId="3">#REF!</definedName>
    <definedName name="MATH_CHK_DELTA_ELEC" localSheetId="5">#REF!</definedName>
    <definedName name="MATH_CHK_DELTA_ELEC">#REF!</definedName>
    <definedName name="MATH_CHK_STAT_ELEC" localSheetId="2">#REF!</definedName>
    <definedName name="MATH_CHK_STAT_ELEC" localSheetId="1">#REF!</definedName>
    <definedName name="MATH_CHK_STAT_ELEC" localSheetId="0">#REF!</definedName>
    <definedName name="MATH_CHK_STAT_ELEC" localSheetId="4">#REF!</definedName>
    <definedName name="MATH_CHK_STAT_ELEC" localSheetId="3">#REF!</definedName>
    <definedName name="MATH_CHK_STAT_ELEC" localSheetId="5">#REF!</definedName>
    <definedName name="MATH_CHK_STAT_ELEC">#REF!</definedName>
    <definedName name="MATL" localSheetId="2">IF(VLOOKUP(#REF!,'A10 Design + Subs fee'!TABLE,5)*#REF!*#REF!=0,0,VLOOKUP(#REF!,'A10 Design + Subs fee'!TABLE,5)*#REF!*#REF!)</definedName>
    <definedName name="MATL" localSheetId="1">IF(VLOOKUP(#REF!,'A9 Design + Subs fee '!TABLE,5)*#REF!*#REF!=0,0,VLOOKUP(#REF!,'A9 Design + Subs fee '!TABLE,5)*#REF!*#REF!)</definedName>
    <definedName name="MATL" localSheetId="0">IF(VLOOKUP(#REF!,'FEE RECON RAIHAN'!TABLE,5)*#REF!*#REF!=0,0,VLOOKUP(#REF!,'FEE RECON RAIHAN'!TABLE,5)*#REF!*#REF!)</definedName>
    <definedName name="MATL" localSheetId="4">IF(VLOOKUP(#REF!,'Mastersheet-Projects'!TABLE,5)*#REF!*#REF!=0,0,VLOOKUP(#REF!,'Mastersheet-Projects'!TABLE,5)*#REF!*#REF!)</definedName>
    <definedName name="MATL" localSheetId="3">IF(VLOOKUP(#REF!,'Mastersheet-Resources'!TABLE,5)*#REF!*#REF!=0,0,VLOOKUP(#REF!,'Mastersheet-Resources'!TABLE,5)*#REF!*#REF!)</definedName>
    <definedName name="MATL" localSheetId="5">IF(VLOOKUP(#REF!,'Tender List'!TABLE,5)*#REF!*#REF!=0,0,VLOOKUP(#REF!,'Tender List'!TABLE,5)*#REF!*#REF!)</definedName>
    <definedName name="MATL">IF(VLOOKUP(#REF!,#REF!,5)*#REF!*#REF!=0,0,VLOOKUP(#REF!,#REF!,5)*#REF!*#REF!)</definedName>
    <definedName name="MATL_DISC_AG_COND" localSheetId="2">#REF!</definedName>
    <definedName name="MATL_DISC_AG_COND" localSheetId="1">#REF!</definedName>
    <definedName name="MATL_DISC_AG_COND" localSheetId="0">#REF!</definedName>
    <definedName name="MATL_DISC_AG_COND" localSheetId="4">#REF!</definedName>
    <definedName name="MATL_DISC_AG_COND" localSheetId="3">#REF!</definedName>
    <definedName name="MATL_DISC_AG_COND" localSheetId="5">#REF!</definedName>
    <definedName name="MATL_DISC_AG_COND">#REF!</definedName>
    <definedName name="MATL_DISC_DB" localSheetId="2">#REF!</definedName>
    <definedName name="MATL_DISC_DB" localSheetId="1">#REF!</definedName>
    <definedName name="MATL_DISC_DB" localSheetId="0">#REF!</definedName>
    <definedName name="MATL_DISC_DB" localSheetId="4">#REF!</definedName>
    <definedName name="MATL_DISC_DB" localSheetId="3">#REF!</definedName>
    <definedName name="MATL_DISC_DB" localSheetId="5">#REF!</definedName>
    <definedName name="MATL_DISC_DB">#REF!</definedName>
    <definedName name="MATL_DISC_EMB_COND" localSheetId="2">#REF!</definedName>
    <definedName name="MATL_DISC_EMB_COND" localSheetId="1">#REF!</definedName>
    <definedName name="MATL_DISC_EMB_COND" localSheetId="0">#REF!</definedName>
    <definedName name="MATL_DISC_EMB_COND" localSheetId="4">#REF!</definedName>
    <definedName name="MATL_DISC_EMB_COND" localSheetId="3">#REF!</definedName>
    <definedName name="MATL_DISC_EMB_COND" localSheetId="5">#REF!</definedName>
    <definedName name="MATL_DISC_EMB_COND">#REF!</definedName>
    <definedName name="MATL_DISC_MV" localSheetId="2">#REF!</definedName>
    <definedName name="MATL_DISC_MV" localSheetId="1">#REF!</definedName>
    <definedName name="MATL_DISC_MV" localSheetId="0">#REF!</definedName>
    <definedName name="MATL_DISC_MV" localSheetId="4">#REF!</definedName>
    <definedName name="MATL_DISC_MV" localSheetId="3">#REF!</definedName>
    <definedName name="MATL_DISC_MV" localSheetId="5">#REF!</definedName>
    <definedName name="MATL_DISC_MV">#REF!</definedName>
    <definedName name="MATL_DISC_OTHER" localSheetId="2">#REF!</definedName>
    <definedName name="MATL_DISC_OTHER" localSheetId="1">#REF!</definedName>
    <definedName name="MATL_DISC_OTHER" localSheetId="0">#REF!</definedName>
    <definedName name="MATL_DISC_OTHER" localSheetId="4">#REF!</definedName>
    <definedName name="MATL_DISC_OTHER" localSheetId="3">#REF!</definedName>
    <definedName name="MATL_DISC_OTHER" localSheetId="5">#REF!</definedName>
    <definedName name="MATL_DISC_OTHER">#REF!</definedName>
    <definedName name="MATL_DISC_TRAY" localSheetId="2">#REF!</definedName>
    <definedName name="MATL_DISC_TRAY" localSheetId="1">#REF!</definedName>
    <definedName name="MATL_DISC_TRAY" localSheetId="0">#REF!</definedName>
    <definedName name="MATL_DISC_TRAY" localSheetId="4">#REF!</definedName>
    <definedName name="MATL_DISC_TRAY" localSheetId="3">#REF!</definedName>
    <definedName name="MATL_DISC_TRAY" localSheetId="5">#REF!</definedName>
    <definedName name="MATL_DISC_TRAY">#REF!</definedName>
    <definedName name="MATL1" localSheetId="2">IF(VLOOKUP(#REF!,'A10 Design + Subs fee'!TABLE,5)*#REF!*#REF!=0,0,VLOOKUP(#REF!,'A10 Design + Subs fee'!TABLE,5)*#REF!*#REF!)</definedName>
    <definedName name="MATL1" localSheetId="1">IF(VLOOKUP(#REF!,'A9 Design + Subs fee '!TABLE,5)*#REF!*#REF!=0,0,VLOOKUP(#REF!,'A9 Design + Subs fee '!TABLE,5)*#REF!*#REF!)</definedName>
    <definedName name="MATL1" localSheetId="0">IF(VLOOKUP(#REF!,'FEE RECON RAIHAN'!TABLE,5)*#REF!*#REF!=0,0,VLOOKUP(#REF!,'FEE RECON RAIHAN'!TABLE,5)*#REF!*#REF!)</definedName>
    <definedName name="MATL1" localSheetId="4">IF(VLOOKUP(#REF!,'Mastersheet-Projects'!TABLE,5)*#REF!*#REF!=0,0,VLOOKUP(#REF!,'Mastersheet-Projects'!TABLE,5)*#REF!*#REF!)</definedName>
    <definedName name="MATL1" localSheetId="3">IF(VLOOKUP(#REF!,'Mastersheet-Resources'!TABLE,5)*#REF!*#REF!=0,0,VLOOKUP(#REF!,'Mastersheet-Resources'!TABLE,5)*#REF!*#REF!)</definedName>
    <definedName name="MATL1" localSheetId="5">IF(VLOOKUP(#REF!,'Tender List'!TABLE,5)*#REF!*#REF!=0,0,VLOOKUP(#REF!,'Tender List'!TABLE,5)*#REF!*#REF!)</definedName>
    <definedName name="MATL1">IF(VLOOKUP(#REF!,#REF!,5)*#REF!*#REF!=0,0,VLOOKUP(#REF!,#REF!,5)*#REF!*#REF!)</definedName>
    <definedName name="MaxArt" localSheetId="4">#REF!</definedName>
    <definedName name="MaxArt" localSheetId="3">#REF!</definedName>
    <definedName name="MaxArt" localSheetId="5">#REF!</definedName>
    <definedName name="MaxArt">#REF!</definedName>
    <definedName name="MaxCreativeOff" localSheetId="4">#REF!</definedName>
    <definedName name="MaxCreativeOff" localSheetId="3">#REF!</definedName>
    <definedName name="MaxCreativeOff" localSheetId="5">#REF!</definedName>
    <definedName name="MaxCreativeOff">#REF!</definedName>
    <definedName name="MaxCreativeWork" localSheetId="4">#REF!</definedName>
    <definedName name="MaxCreativeWork" localSheetId="3">#REF!</definedName>
    <definedName name="MaxCreativeWork" localSheetId="5">#REF!</definedName>
    <definedName name="MaxCreativeWork">#REF!</definedName>
    <definedName name="MaxFB" localSheetId="4">#REF!</definedName>
    <definedName name="MaxFB" localSheetId="3">#REF!</definedName>
    <definedName name="MaxFB" localSheetId="5">#REF!</definedName>
    <definedName name="MaxFB">#REF!</definedName>
    <definedName name="MaxShowroom" localSheetId="4">#REF!</definedName>
    <definedName name="MaxShowroom" localSheetId="3">#REF!</definedName>
    <definedName name="MaxShowroom" localSheetId="5">#REF!</definedName>
    <definedName name="MaxShowroom">#REF!</definedName>
    <definedName name="MaxTotal" localSheetId="4">#REF!</definedName>
    <definedName name="MaxTotal" localSheetId="3">#REF!</definedName>
    <definedName name="MaxTotal" localSheetId="5">#REF!</definedName>
    <definedName name="MaxTotal">#REF!</definedName>
    <definedName name="MCC" localSheetId="4">#REF!</definedName>
    <definedName name="MCC" localSheetId="3">#REF!</definedName>
    <definedName name="MCC" localSheetId="5">#REF!</definedName>
    <definedName name="MCC">#REF!</definedName>
    <definedName name="MDB" localSheetId="4">#REF!</definedName>
    <definedName name="MDB" localSheetId="3">#REF!</definedName>
    <definedName name="MDB" localSheetId="5">#REF!</definedName>
    <definedName name="MDB">#REF!</definedName>
    <definedName name="ME_Salary" localSheetId="4">#REF!</definedName>
    <definedName name="ME_Salary" localSheetId="3">#REF!</definedName>
    <definedName name="ME_Salary" localSheetId="5">#REF!</definedName>
    <definedName name="ME_Salary">#REF!</definedName>
    <definedName name="MECH_INSTR" localSheetId="2">#REF!</definedName>
    <definedName name="MECH_INSTR" localSheetId="1">#REF!</definedName>
    <definedName name="MECH_INSTR" localSheetId="0">#REF!</definedName>
    <definedName name="MECH_INSTR" localSheetId="4">#REF!</definedName>
    <definedName name="MECH_INSTR" localSheetId="3">#REF!</definedName>
    <definedName name="MECH_INSTR" localSheetId="5">#REF!</definedName>
    <definedName name="MECH_INSTR">#REF!</definedName>
    <definedName name="MECH30_CITY" localSheetId="2">#REF!</definedName>
    <definedName name="MECH30_CITY" localSheetId="1">#REF!</definedName>
    <definedName name="MECH30_CITY" localSheetId="0">#REF!</definedName>
    <definedName name="MECH30_CITY" localSheetId="4">#REF!</definedName>
    <definedName name="MECH30_CITY" localSheetId="3">#REF!</definedName>
    <definedName name="MECH30_CITY" localSheetId="5">#REF!</definedName>
    <definedName name="MECH30_CITY">#REF!</definedName>
    <definedName name="MECH30_ESC" localSheetId="2">#REF!</definedName>
    <definedName name="MECH30_ESC" localSheetId="1">#REF!</definedName>
    <definedName name="MECH30_ESC" localSheetId="0">#REF!</definedName>
    <definedName name="MECH30_ESC" localSheetId="4">#REF!</definedName>
    <definedName name="MECH30_ESC" localSheetId="3">#REF!</definedName>
    <definedName name="MECH30_ESC" localSheetId="5">#REF!</definedName>
    <definedName name="MECH30_ESC">#REF!</definedName>
    <definedName name="MECH30_OLD_CITY" localSheetId="2">#REF!</definedName>
    <definedName name="MECH30_OLD_CITY" localSheetId="1">#REF!</definedName>
    <definedName name="MECH30_OLD_CITY" localSheetId="0">#REF!</definedName>
    <definedName name="MECH30_OLD_CITY" localSheetId="4">#REF!</definedName>
    <definedName name="MECH30_OLD_CITY" localSheetId="3">#REF!</definedName>
    <definedName name="MECH30_OLD_CITY" localSheetId="5">#REF!</definedName>
    <definedName name="MECH30_OLD_CITY">#REF!</definedName>
    <definedName name="MECH30_OLD_ESC" localSheetId="2">#REF!</definedName>
    <definedName name="MECH30_OLD_ESC" localSheetId="1">#REF!</definedName>
    <definedName name="MECH30_OLD_ESC" localSheetId="0">#REF!</definedName>
    <definedName name="MECH30_OLD_ESC" localSheetId="4">#REF!</definedName>
    <definedName name="MECH30_OLD_ESC" localSheetId="3">#REF!</definedName>
    <definedName name="MECH30_OLD_ESC" localSheetId="5">#REF!</definedName>
    <definedName name="MECH30_OLD_ESC">#REF!</definedName>
    <definedName name="MECH30_OLD_PROD" localSheetId="2">#REF!</definedName>
    <definedName name="MECH30_OLD_PROD" localSheetId="1">#REF!</definedName>
    <definedName name="MECH30_OLD_PROD" localSheetId="0">#REF!</definedName>
    <definedName name="MECH30_OLD_PROD" localSheetId="4">#REF!</definedName>
    <definedName name="MECH30_OLD_PROD" localSheetId="3">#REF!</definedName>
    <definedName name="MECH30_OLD_PROD" localSheetId="5">#REF!</definedName>
    <definedName name="MECH30_OLD_PROD">#REF!</definedName>
    <definedName name="MECH30_OLD_WAGE" localSheetId="2">#REF!</definedName>
    <definedName name="MECH30_OLD_WAGE" localSheetId="1">#REF!</definedName>
    <definedName name="MECH30_OLD_WAGE" localSheetId="0">#REF!</definedName>
    <definedName name="MECH30_OLD_WAGE" localSheetId="4">#REF!</definedName>
    <definedName name="MECH30_OLD_WAGE" localSheetId="3">#REF!</definedName>
    <definedName name="MECH30_OLD_WAGE" localSheetId="5">#REF!</definedName>
    <definedName name="MECH30_OLD_WAGE">#REF!</definedName>
    <definedName name="MECH30_PROD" localSheetId="2">#REF!</definedName>
    <definedName name="MECH30_PROD" localSheetId="1">#REF!</definedName>
    <definedName name="MECH30_PROD" localSheetId="0">#REF!</definedName>
    <definedName name="MECH30_PROD" localSheetId="4">#REF!</definedName>
    <definedName name="MECH30_PROD" localSheetId="3">#REF!</definedName>
    <definedName name="MECH30_PROD" localSheetId="5">#REF!</definedName>
    <definedName name="MECH30_PROD">#REF!</definedName>
    <definedName name="MECH30_WAGE" localSheetId="2">#REF!</definedName>
    <definedName name="MECH30_WAGE" localSheetId="1">#REF!</definedName>
    <definedName name="MECH30_WAGE" localSheetId="0">#REF!</definedName>
    <definedName name="MECH30_WAGE" localSheetId="4">#REF!</definedName>
    <definedName name="MECH30_WAGE" localSheetId="3">#REF!</definedName>
    <definedName name="MECH30_WAGE" localSheetId="5">#REF!</definedName>
    <definedName name="MECH30_WAGE">#REF!</definedName>
    <definedName name="Mechanical_sprinkler_alarm_valves" localSheetId="4">#REF!</definedName>
    <definedName name="Mechanical_sprinkler_alarm_valves" localSheetId="3">#REF!</definedName>
    <definedName name="Mechanical_sprinkler_alarm_valves" localSheetId="5">#REF!</definedName>
    <definedName name="Mechanical_sprinkler_alarm_valves">#REF!</definedName>
    <definedName name="MECHNOTES" localSheetId="4">#REF!</definedName>
    <definedName name="MECHNOTES" localSheetId="3">#REF!</definedName>
    <definedName name="MECHNOTES" localSheetId="5">#REF!</definedName>
    <definedName name="MECHNOTES">#REF!</definedName>
    <definedName name="MENU" localSheetId="4">#REF!</definedName>
    <definedName name="MENU" localSheetId="3">#REF!</definedName>
    <definedName name="MENU" localSheetId="5">#REF!</definedName>
    <definedName name="MENU">#REF!</definedName>
    <definedName name="mep" localSheetId="2">#REF!</definedName>
    <definedName name="mep" localSheetId="1">#REF!</definedName>
    <definedName name="mep" localSheetId="0">#REF!</definedName>
    <definedName name="mep" localSheetId="4">#REF!</definedName>
    <definedName name="mep" localSheetId="3">#REF!</definedName>
    <definedName name="mep" localSheetId="5">#REF!</definedName>
    <definedName name="mep">#REF!</definedName>
    <definedName name="mesh193" localSheetId="4">#REF!</definedName>
    <definedName name="mesh193" localSheetId="3">#REF!</definedName>
    <definedName name="mesh193" localSheetId="5">#REF!</definedName>
    <definedName name="mesh193">#REF!</definedName>
    <definedName name="METALWORK" localSheetId="2">#REF!</definedName>
    <definedName name="METALWORK" localSheetId="1">#REF!</definedName>
    <definedName name="METALWORK" localSheetId="0">#REF!</definedName>
    <definedName name="METALWORK" localSheetId="4">#REF!</definedName>
    <definedName name="METALWORK" localSheetId="3">#REF!</definedName>
    <definedName name="METALWORK" localSheetId="5">#REF!</definedName>
    <definedName name="METALWORK">#REF!</definedName>
    <definedName name="MH" localSheetId="2">#REF!</definedName>
    <definedName name="MH" localSheetId="1">#REF!</definedName>
    <definedName name="MH" localSheetId="0">#REF!</definedName>
    <definedName name="MH" localSheetId="4">#REF!</definedName>
    <definedName name="MH" localSheetId="3">#REF!</definedName>
    <definedName name="MH" localSheetId="5">#REF!</definedName>
    <definedName name="MH">#REF!</definedName>
    <definedName name="MH_HH" localSheetId="2">#REF!</definedName>
    <definedName name="MH_HH" localSheetId="1">#REF!</definedName>
    <definedName name="MH_HH" localSheetId="0">#REF!</definedName>
    <definedName name="MH_HH" localSheetId="4">#REF!</definedName>
    <definedName name="MH_HH" localSheetId="3">#REF!</definedName>
    <definedName name="MH_HH" localSheetId="5">#REF!</definedName>
    <definedName name="MH_HH">#REF!</definedName>
    <definedName name="MHR_Selling" localSheetId="2">#REF!</definedName>
    <definedName name="MHR_Selling" localSheetId="1">#REF!</definedName>
    <definedName name="MHR_Selling" localSheetId="4">#REF!</definedName>
    <definedName name="MHR_Selling" localSheetId="3">#REF!</definedName>
    <definedName name="MHR_Selling" localSheetId="5">#REF!</definedName>
    <definedName name="MHR_Selling">#REF!</definedName>
    <definedName name="MHRS_CONDENSER" localSheetId="2">#REF!</definedName>
    <definedName name="MHRS_CONDENSER" localSheetId="1">#REF!</definedName>
    <definedName name="MHRS_CONDENSER" localSheetId="0">#REF!</definedName>
    <definedName name="MHRS_CONDENSER" localSheetId="4">#REF!</definedName>
    <definedName name="MHRS_CONDENSER" localSheetId="3">#REF!</definedName>
    <definedName name="MHRS_CONDENSER" localSheetId="5">#REF!</definedName>
    <definedName name="MHRS_CONDENSER">#REF!</definedName>
    <definedName name="MHRS_GTG" localSheetId="2">#REF!</definedName>
    <definedName name="MHRS_GTG" localSheetId="1">#REF!</definedName>
    <definedName name="MHRS_GTG" localSheetId="0">#REF!</definedName>
    <definedName name="MHRS_GTG" localSheetId="4">#REF!</definedName>
    <definedName name="MHRS_GTG" localSheetId="3">#REF!</definedName>
    <definedName name="MHRS_GTG" localSheetId="5">#REF!</definedName>
    <definedName name="MHRS_GTG">#REF!</definedName>
    <definedName name="MHRS_STG" localSheetId="2">#REF!</definedName>
    <definedName name="MHRS_STG" localSheetId="1">#REF!</definedName>
    <definedName name="MHRS_STG" localSheetId="0">#REF!</definedName>
    <definedName name="MHRS_STG" localSheetId="4">#REF!</definedName>
    <definedName name="MHRS_STG" localSheetId="3">#REF!</definedName>
    <definedName name="MHRS_STG" localSheetId="5">#REF!</definedName>
    <definedName name="MHRS_STG">#REF!</definedName>
    <definedName name="MIDPOINT" localSheetId="4">#REF!</definedName>
    <definedName name="MIDPOINT" localSheetId="3">#REF!</definedName>
    <definedName name="MIDPOINT" localSheetId="5">#REF!</definedName>
    <definedName name="MIDPOINT">#REF!</definedName>
    <definedName name="milan" localSheetId="4">#REF!</definedName>
    <definedName name="milan" localSheetId="3">#REF!</definedName>
    <definedName name="milan" localSheetId="5">#REF!</definedName>
    <definedName name="milan">#REF!</definedName>
    <definedName name="milestone">37891</definedName>
    <definedName name="minutes" localSheetId="2">#REF!</definedName>
    <definedName name="minutes" localSheetId="1">#REF!</definedName>
    <definedName name="minutes" localSheetId="0">#REF!</definedName>
    <definedName name="minutes" localSheetId="4">#REF!</definedName>
    <definedName name="minutes" localSheetId="3">#REF!</definedName>
    <definedName name="minutes" localSheetId="5">#REF!</definedName>
    <definedName name="minutes">#REF!</definedName>
    <definedName name="MISC" localSheetId="2">#REF!</definedName>
    <definedName name="MISC" localSheetId="1">#REF!</definedName>
    <definedName name="MISC" localSheetId="0">#REF!</definedName>
    <definedName name="MISC" localSheetId="4">#REF!</definedName>
    <definedName name="MISC" localSheetId="3">#REF!</definedName>
    <definedName name="MISC" localSheetId="5">#REF!</definedName>
    <definedName name="MISC">#REF!</definedName>
    <definedName name="Misc_Steel_1" localSheetId="2">#REF!</definedName>
    <definedName name="Misc_Steel_1" localSheetId="1">#REF!</definedName>
    <definedName name="Misc_Steel_1" localSheetId="0">#REF!</definedName>
    <definedName name="Misc_Steel_1" localSheetId="4">#REF!</definedName>
    <definedName name="Misc_Steel_1" localSheetId="3">#REF!</definedName>
    <definedName name="Misc_Steel_1" localSheetId="5">#REF!</definedName>
    <definedName name="Misc_Steel_1">#REF!</definedName>
    <definedName name="MIsc_Steel_10" localSheetId="2">#REF!</definedName>
    <definedName name="MIsc_Steel_10" localSheetId="1">#REF!</definedName>
    <definedName name="MIsc_Steel_10" localSheetId="0">#REF!</definedName>
    <definedName name="MIsc_Steel_10" localSheetId="4">#REF!</definedName>
    <definedName name="MIsc_Steel_10" localSheetId="3">#REF!</definedName>
    <definedName name="MIsc_Steel_10" localSheetId="5">#REF!</definedName>
    <definedName name="MIsc_Steel_10">#REF!</definedName>
    <definedName name="Misc_Steel_100" localSheetId="2">#REF!</definedName>
    <definedName name="Misc_Steel_100" localSheetId="1">#REF!</definedName>
    <definedName name="Misc_Steel_100" localSheetId="0">#REF!</definedName>
    <definedName name="Misc_Steel_100" localSheetId="4">#REF!</definedName>
    <definedName name="Misc_Steel_100" localSheetId="3">#REF!</definedName>
    <definedName name="Misc_Steel_100" localSheetId="5">#REF!</definedName>
    <definedName name="Misc_Steel_100">#REF!</definedName>
    <definedName name="MIsc_Steel_20" localSheetId="2">#REF!</definedName>
    <definedName name="MIsc_Steel_20" localSheetId="1">#REF!</definedName>
    <definedName name="MIsc_Steel_20" localSheetId="0">#REF!</definedName>
    <definedName name="MIsc_Steel_20" localSheetId="4">#REF!</definedName>
    <definedName name="MIsc_Steel_20" localSheetId="3">#REF!</definedName>
    <definedName name="MIsc_Steel_20" localSheetId="5">#REF!</definedName>
    <definedName name="MIsc_Steel_20">#REF!</definedName>
    <definedName name="Misc_Steel_30" localSheetId="2">#REF!</definedName>
    <definedName name="Misc_Steel_30" localSheetId="1">#REF!</definedName>
    <definedName name="Misc_Steel_30" localSheetId="0">#REF!</definedName>
    <definedName name="Misc_Steel_30" localSheetId="4">#REF!</definedName>
    <definedName name="Misc_Steel_30" localSheetId="3">#REF!</definedName>
    <definedName name="Misc_Steel_30" localSheetId="5">#REF!</definedName>
    <definedName name="Misc_Steel_30">#REF!</definedName>
    <definedName name="MIsc_Steel_40" localSheetId="2">#REF!</definedName>
    <definedName name="MIsc_Steel_40" localSheetId="1">#REF!</definedName>
    <definedName name="MIsc_Steel_40" localSheetId="0">#REF!</definedName>
    <definedName name="MIsc_Steel_40" localSheetId="4">#REF!</definedName>
    <definedName name="MIsc_Steel_40" localSheetId="3">#REF!</definedName>
    <definedName name="MIsc_Steel_40" localSheetId="5">#REF!</definedName>
    <definedName name="MIsc_Steel_40">#REF!</definedName>
    <definedName name="Misc_Steel_50" localSheetId="2">#REF!</definedName>
    <definedName name="Misc_Steel_50" localSheetId="1">#REF!</definedName>
    <definedName name="Misc_Steel_50" localSheetId="0">#REF!</definedName>
    <definedName name="Misc_Steel_50" localSheetId="4">#REF!</definedName>
    <definedName name="Misc_Steel_50" localSheetId="3">#REF!</definedName>
    <definedName name="Misc_Steel_50" localSheetId="5">#REF!</definedName>
    <definedName name="Misc_Steel_50">#REF!</definedName>
    <definedName name="Misc_Steel_60" localSheetId="2">#REF!</definedName>
    <definedName name="Misc_Steel_60" localSheetId="1">#REF!</definedName>
    <definedName name="Misc_Steel_60" localSheetId="0">#REF!</definedName>
    <definedName name="Misc_Steel_60" localSheetId="4">#REF!</definedName>
    <definedName name="Misc_Steel_60" localSheetId="3">#REF!</definedName>
    <definedName name="Misc_Steel_60" localSheetId="5">#REF!</definedName>
    <definedName name="Misc_Steel_60">#REF!</definedName>
    <definedName name="MIsc_Steel_70" localSheetId="2">#REF!</definedName>
    <definedName name="MIsc_Steel_70" localSheetId="1">#REF!</definedName>
    <definedName name="MIsc_Steel_70" localSheetId="0">#REF!</definedName>
    <definedName name="MIsc_Steel_70" localSheetId="4">#REF!</definedName>
    <definedName name="MIsc_Steel_70" localSheetId="3">#REF!</definedName>
    <definedName name="MIsc_Steel_70" localSheetId="5">#REF!</definedName>
    <definedName name="MIsc_Steel_70">#REF!</definedName>
    <definedName name="Misc_Steel_80" localSheetId="2">#REF!</definedName>
    <definedName name="Misc_Steel_80" localSheetId="1">#REF!</definedName>
    <definedName name="Misc_Steel_80" localSheetId="0">#REF!</definedName>
    <definedName name="Misc_Steel_80" localSheetId="4">#REF!</definedName>
    <definedName name="Misc_Steel_80" localSheetId="3">#REF!</definedName>
    <definedName name="Misc_Steel_80" localSheetId="5">#REF!</definedName>
    <definedName name="Misc_Steel_80">#REF!</definedName>
    <definedName name="Misc_Steel_90" localSheetId="2">#REF!</definedName>
    <definedName name="Misc_Steel_90" localSheetId="1">#REF!</definedName>
    <definedName name="Misc_Steel_90" localSheetId="0">#REF!</definedName>
    <definedName name="Misc_Steel_90" localSheetId="4">#REF!</definedName>
    <definedName name="Misc_Steel_90" localSheetId="3">#REF!</definedName>
    <definedName name="Misc_Steel_90" localSheetId="5">#REF!</definedName>
    <definedName name="Misc_Steel_90">#REF!</definedName>
    <definedName name="mmm" localSheetId="0">#REF!</definedName>
    <definedName name="mmm" localSheetId="4">#REF!</definedName>
    <definedName name="mmm" localSheetId="3">#REF!</definedName>
    <definedName name="mmm" localSheetId="5">#REF!</definedName>
    <definedName name="mmm">#REF!</definedName>
    <definedName name="mn" localSheetId="2">IF(VLOOKUP(#REF!,PRICE_CIVIL,8)=0,0,VLOOKUP(#REF!,PRICE_CIVIL,8))</definedName>
    <definedName name="mn" localSheetId="1">IF(VLOOKUP(#REF!,PRICE_CIVIL,8)=0,0,VLOOKUP(#REF!,PRICE_CIVIL,8))</definedName>
    <definedName name="mn" localSheetId="0">IF(VLOOKUP(#REF!,PRICE_CIVIL,8)=0,0,VLOOKUP(#REF!,PRICE_CIVIL,8))</definedName>
    <definedName name="mn" localSheetId="4">IF(VLOOKUP(#REF!,PRICE_CIVIL,8)=0,0,VLOOKUP(#REF!,PRICE_CIVIL,8))</definedName>
    <definedName name="mn" localSheetId="3">IF(VLOOKUP(#REF!,PRICE_CIVIL,8)=0,0,VLOOKUP(#REF!,PRICE_CIVIL,8))</definedName>
    <definedName name="mn" localSheetId="5">IF(VLOOKUP(#REF!,PRICE_CIVIL,8)=0,0,VLOOKUP(#REF!,PRICE_CIVIL,8))</definedName>
    <definedName name="mn">IF(VLOOKUP(#REF!,PRICE_CIVIL,8)=0,0,VLOOKUP(#REF!,PRICE_CIVIL,8))</definedName>
    <definedName name="mnm" localSheetId="2">#REF!</definedName>
    <definedName name="mnm" localSheetId="1">#REF!</definedName>
    <definedName name="mnm" localSheetId="0">#REF!</definedName>
    <definedName name="mnm" localSheetId="4">#REF!</definedName>
    <definedName name="mnm" localSheetId="3">#REF!</definedName>
    <definedName name="mnm" localSheetId="5">#REF!</definedName>
    <definedName name="mnm">#REF!</definedName>
    <definedName name="mnmm" localSheetId="2">#REF!</definedName>
    <definedName name="mnmm" localSheetId="1">#REF!</definedName>
    <definedName name="mnmm" localSheetId="0">#REF!</definedName>
    <definedName name="mnmm" localSheetId="4">#REF!</definedName>
    <definedName name="mnmm" localSheetId="3">#REF!</definedName>
    <definedName name="mnmm" localSheetId="5">#REF!</definedName>
    <definedName name="mnmm">#REF!</definedName>
    <definedName name="mnuSiteNumber" localSheetId="4">OFFSET(#REF!,0,0,COUNTA(#REF!),1)</definedName>
    <definedName name="mnuSiteNumber" localSheetId="3">OFFSET(#REF!,0,0,COUNTA(#REF!),1)</definedName>
    <definedName name="mnuSiteNumber" localSheetId="5">OFFSET(#REF!,0,0,COUNTA(#REF!),1)</definedName>
    <definedName name="mnuSiteNumber">OFFSET(#REF!,0,0,COUNTA(#REF!),1)</definedName>
    <definedName name="MO___12___MO___13" localSheetId="4">#REF!</definedName>
    <definedName name="MO___12___MO___13" localSheetId="3">#REF!</definedName>
    <definedName name="MO___12___MO___13" localSheetId="5">#REF!</definedName>
    <definedName name="MO___12___MO___13">#REF!</definedName>
    <definedName name="MO_13_MO_12" localSheetId="4">#REF!</definedName>
    <definedName name="MO_13_MO_12" localSheetId="3">#REF!</definedName>
    <definedName name="MO_13_MO_12" localSheetId="5">#REF!</definedName>
    <definedName name="MO_13_MO_12">#REF!</definedName>
    <definedName name="MONTH" localSheetId="4">#REF!</definedName>
    <definedName name="MONTH" localSheetId="3">#REF!</definedName>
    <definedName name="MONTH" localSheetId="5">#REF!</definedName>
    <definedName name="MONTH">#REF!</definedName>
    <definedName name="MONTHQTY" localSheetId="2">#REF!</definedName>
    <definedName name="MONTHQTY" localSheetId="1">#REF!</definedName>
    <definedName name="MONTHQTY" localSheetId="0">#REF!</definedName>
    <definedName name="MONTHQTY" localSheetId="4">#REF!</definedName>
    <definedName name="MONTHQTY" localSheetId="3">#REF!</definedName>
    <definedName name="MONTHQTY" localSheetId="5">#REF!</definedName>
    <definedName name="MONTHQTY">#REF!</definedName>
    <definedName name="MONTHS" localSheetId="4">#REF!</definedName>
    <definedName name="MONTHS" localSheetId="3">#REF!</definedName>
    <definedName name="MONTHS" localSheetId="5">#REF!</definedName>
    <definedName name="MONTHS">#REF!</definedName>
    <definedName name="MOSQ" localSheetId="2">#REF!</definedName>
    <definedName name="MOSQ" localSheetId="1">#REF!</definedName>
    <definedName name="MOSQ" localSheetId="0">#REF!</definedName>
    <definedName name="MOSQ" localSheetId="4">#REF!</definedName>
    <definedName name="MOSQ" localSheetId="3">#REF!</definedName>
    <definedName name="MOSQ" localSheetId="5">#REF!</definedName>
    <definedName name="MOSQ">#REF!</definedName>
    <definedName name="Motor_Hp" localSheetId="2">#REF!</definedName>
    <definedName name="Motor_Hp" localSheetId="1">#REF!</definedName>
    <definedName name="Motor_Hp" localSheetId="0">#REF!</definedName>
    <definedName name="Motor_Hp" localSheetId="4">#REF!</definedName>
    <definedName name="Motor_Hp" localSheetId="3">#REF!</definedName>
    <definedName name="Motor_Hp" localSheetId="5">#REF!</definedName>
    <definedName name="Motor_Hp">#REF!</definedName>
    <definedName name="MOTOR_HP_OFFSITE" localSheetId="2">#REF!</definedName>
    <definedName name="MOTOR_HP_OFFSITE" localSheetId="1">#REF!</definedName>
    <definedName name="MOTOR_HP_OFFSITE" localSheetId="0">#REF!</definedName>
    <definedName name="MOTOR_HP_OFFSITE" localSheetId="4">#REF!</definedName>
    <definedName name="MOTOR_HP_OFFSITE" localSheetId="3">#REF!</definedName>
    <definedName name="MOTOR_HP_OFFSITE" localSheetId="5">#REF!</definedName>
    <definedName name="MOTOR_HP_OFFSITE">#REF!</definedName>
    <definedName name="MOTOR_HP_PB" localSheetId="2">#REF!</definedName>
    <definedName name="MOTOR_HP_PB" localSheetId="1">#REF!</definedName>
    <definedName name="MOTOR_HP_PB" localSheetId="0">#REF!</definedName>
    <definedName name="MOTOR_HP_PB" localSheetId="4">#REF!</definedName>
    <definedName name="MOTOR_HP_PB" localSheetId="3">#REF!</definedName>
    <definedName name="MOTOR_HP_PB" localSheetId="5">#REF!</definedName>
    <definedName name="MOTOR_HP_PB">#REF!</definedName>
    <definedName name="MOTOR_HP_PB10" localSheetId="2">#REF!</definedName>
    <definedName name="MOTOR_HP_PB10" localSheetId="1">#REF!</definedName>
    <definedName name="MOTOR_HP_PB10" localSheetId="0">#REF!</definedName>
    <definedName name="MOTOR_HP_PB10" localSheetId="4">#REF!</definedName>
    <definedName name="MOTOR_HP_PB10" localSheetId="3">#REF!</definedName>
    <definedName name="MOTOR_HP_PB10" localSheetId="5">#REF!</definedName>
    <definedName name="MOTOR_HP_PB10">#REF!</definedName>
    <definedName name="MOTOR_HP_PB100" localSheetId="2">#REF!</definedName>
    <definedName name="MOTOR_HP_PB100" localSheetId="1">#REF!</definedName>
    <definedName name="MOTOR_HP_PB100" localSheetId="0">#REF!</definedName>
    <definedName name="MOTOR_HP_PB100" localSheetId="4">#REF!</definedName>
    <definedName name="MOTOR_HP_PB100" localSheetId="3">#REF!</definedName>
    <definedName name="MOTOR_HP_PB100" localSheetId="5">#REF!</definedName>
    <definedName name="MOTOR_HP_PB100">#REF!</definedName>
    <definedName name="MOTOR_HP_PB1000" localSheetId="2">#REF!</definedName>
    <definedName name="MOTOR_HP_PB1000" localSheetId="1">#REF!</definedName>
    <definedName name="MOTOR_HP_PB1000" localSheetId="0">#REF!</definedName>
    <definedName name="MOTOR_HP_PB1000" localSheetId="4">#REF!</definedName>
    <definedName name="MOTOR_HP_PB1000" localSheetId="3">#REF!</definedName>
    <definedName name="MOTOR_HP_PB1000" localSheetId="5">#REF!</definedName>
    <definedName name="MOTOR_HP_PB1000">#REF!</definedName>
    <definedName name="MOTOR_HP_PB10000" localSheetId="2">#REF!</definedName>
    <definedName name="MOTOR_HP_PB10000" localSheetId="1">#REF!</definedName>
    <definedName name="MOTOR_HP_PB10000" localSheetId="0">#REF!</definedName>
    <definedName name="MOTOR_HP_PB10000" localSheetId="4">#REF!</definedName>
    <definedName name="MOTOR_HP_PB10000" localSheetId="3">#REF!</definedName>
    <definedName name="MOTOR_HP_PB10000" localSheetId="5">#REF!</definedName>
    <definedName name="MOTOR_HP_PB10000">#REF!</definedName>
    <definedName name="MOTOR_HP_PB15000" localSheetId="2">#REF!</definedName>
    <definedName name="MOTOR_HP_PB15000" localSheetId="1">#REF!</definedName>
    <definedName name="MOTOR_HP_PB15000" localSheetId="0">#REF!</definedName>
    <definedName name="MOTOR_HP_PB15000" localSheetId="4">#REF!</definedName>
    <definedName name="MOTOR_HP_PB15000" localSheetId="3">#REF!</definedName>
    <definedName name="MOTOR_HP_PB15000" localSheetId="5">#REF!</definedName>
    <definedName name="MOTOR_HP_PB15000">#REF!</definedName>
    <definedName name="MOTOR_HP_PB200" localSheetId="2">#REF!</definedName>
    <definedName name="MOTOR_HP_PB200" localSheetId="1">#REF!</definedName>
    <definedName name="MOTOR_HP_PB200" localSheetId="0">#REF!</definedName>
    <definedName name="MOTOR_HP_PB200" localSheetId="4">#REF!</definedName>
    <definedName name="MOTOR_HP_PB200" localSheetId="3">#REF!</definedName>
    <definedName name="MOTOR_HP_PB200" localSheetId="5">#REF!</definedName>
    <definedName name="MOTOR_HP_PB200">#REF!</definedName>
    <definedName name="MOTOR_HP_PB2000" localSheetId="2">#REF!</definedName>
    <definedName name="MOTOR_HP_PB2000" localSheetId="1">#REF!</definedName>
    <definedName name="MOTOR_HP_PB2000" localSheetId="0">#REF!</definedName>
    <definedName name="MOTOR_HP_PB2000" localSheetId="4">#REF!</definedName>
    <definedName name="MOTOR_HP_PB2000" localSheetId="3">#REF!</definedName>
    <definedName name="MOTOR_HP_PB2000" localSheetId="5">#REF!</definedName>
    <definedName name="MOTOR_HP_PB2000">#REF!</definedName>
    <definedName name="MOTOR_HP_PB25" localSheetId="2">#REF!</definedName>
    <definedName name="MOTOR_HP_PB25" localSheetId="1">#REF!</definedName>
    <definedName name="MOTOR_HP_PB25" localSheetId="0">#REF!</definedName>
    <definedName name="MOTOR_HP_PB25" localSheetId="4">#REF!</definedName>
    <definedName name="MOTOR_HP_PB25" localSheetId="3">#REF!</definedName>
    <definedName name="MOTOR_HP_PB25" localSheetId="5">#REF!</definedName>
    <definedName name="MOTOR_HP_PB25">#REF!</definedName>
    <definedName name="MOTOR_HP_PB3000" localSheetId="2">#REF!</definedName>
    <definedName name="MOTOR_HP_PB3000" localSheetId="1">#REF!</definedName>
    <definedName name="MOTOR_HP_PB3000" localSheetId="0">#REF!</definedName>
    <definedName name="MOTOR_HP_PB3000" localSheetId="4">#REF!</definedName>
    <definedName name="MOTOR_HP_PB3000" localSheetId="3">#REF!</definedName>
    <definedName name="MOTOR_HP_PB3000" localSheetId="5">#REF!</definedName>
    <definedName name="MOTOR_HP_PB3000">#REF!</definedName>
    <definedName name="MOTOR_HP_PB400" localSheetId="2">#REF!</definedName>
    <definedName name="MOTOR_HP_PB400" localSheetId="1">#REF!</definedName>
    <definedName name="MOTOR_HP_PB400" localSheetId="0">#REF!</definedName>
    <definedName name="MOTOR_HP_PB400" localSheetId="4">#REF!</definedName>
    <definedName name="MOTOR_HP_PB400" localSheetId="3">#REF!</definedName>
    <definedName name="MOTOR_HP_PB400" localSheetId="5">#REF!</definedName>
    <definedName name="MOTOR_HP_PB400">#REF!</definedName>
    <definedName name="MOTOR_HP_PB4000" localSheetId="2">#REF!</definedName>
    <definedName name="MOTOR_HP_PB4000" localSheetId="1">#REF!</definedName>
    <definedName name="MOTOR_HP_PB4000" localSheetId="0">#REF!</definedName>
    <definedName name="MOTOR_HP_PB4000" localSheetId="4">#REF!</definedName>
    <definedName name="MOTOR_HP_PB4000" localSheetId="3">#REF!</definedName>
    <definedName name="MOTOR_HP_PB4000" localSheetId="5">#REF!</definedName>
    <definedName name="MOTOR_HP_PB4000">#REF!</definedName>
    <definedName name="MOTOR_HP_PB50" localSheetId="2">#REF!</definedName>
    <definedName name="MOTOR_HP_PB50" localSheetId="1">#REF!</definedName>
    <definedName name="MOTOR_HP_PB50" localSheetId="0">#REF!</definedName>
    <definedName name="MOTOR_HP_PB50" localSheetId="4">#REF!</definedName>
    <definedName name="MOTOR_HP_PB50" localSheetId="3">#REF!</definedName>
    <definedName name="MOTOR_HP_PB50" localSheetId="5">#REF!</definedName>
    <definedName name="MOTOR_HP_PB50">#REF!</definedName>
    <definedName name="MOTOR_HP_PB500" localSheetId="2">#REF!</definedName>
    <definedName name="MOTOR_HP_PB500" localSheetId="1">#REF!</definedName>
    <definedName name="MOTOR_HP_PB500" localSheetId="0">#REF!</definedName>
    <definedName name="MOTOR_HP_PB500" localSheetId="4">#REF!</definedName>
    <definedName name="MOTOR_HP_PB500" localSheetId="3">#REF!</definedName>
    <definedName name="MOTOR_HP_PB500" localSheetId="5">#REF!</definedName>
    <definedName name="MOTOR_HP_PB500">#REF!</definedName>
    <definedName name="MOTOR_HP_PB5000" localSheetId="2">#REF!</definedName>
    <definedName name="MOTOR_HP_PB5000" localSheetId="1">#REF!</definedName>
    <definedName name="MOTOR_HP_PB5000" localSheetId="0">#REF!</definedName>
    <definedName name="MOTOR_HP_PB5000" localSheetId="4">#REF!</definedName>
    <definedName name="MOTOR_HP_PB5000" localSheetId="3">#REF!</definedName>
    <definedName name="MOTOR_HP_PB5000" localSheetId="5">#REF!</definedName>
    <definedName name="MOTOR_HP_PB5000">#REF!</definedName>
    <definedName name="MOTOR_HP_PB7500" localSheetId="2">#REF!</definedName>
    <definedName name="MOTOR_HP_PB7500" localSheetId="1">#REF!</definedName>
    <definedName name="MOTOR_HP_PB7500" localSheetId="0">#REF!</definedName>
    <definedName name="MOTOR_HP_PB7500" localSheetId="4">#REF!</definedName>
    <definedName name="MOTOR_HP_PB7500" localSheetId="3">#REF!</definedName>
    <definedName name="MOTOR_HP_PB7500" localSheetId="5">#REF!</definedName>
    <definedName name="MOTOR_HP_PB7500">#REF!</definedName>
    <definedName name="MOTOR_HP_YARD" localSheetId="2">#REF!</definedName>
    <definedName name="MOTOR_HP_YARD" localSheetId="1">#REF!</definedName>
    <definedName name="MOTOR_HP_YARD" localSheetId="0">#REF!</definedName>
    <definedName name="MOTOR_HP_YARD" localSheetId="4">#REF!</definedName>
    <definedName name="MOTOR_HP_YARD" localSheetId="3">#REF!</definedName>
    <definedName name="MOTOR_HP_YARD" localSheetId="5">#REF!</definedName>
    <definedName name="MOTOR_HP_YARD">#REF!</definedName>
    <definedName name="MOTOR_HP_YARD10" localSheetId="2">#REF!</definedName>
    <definedName name="MOTOR_HP_YARD10" localSheetId="1">#REF!</definedName>
    <definedName name="MOTOR_HP_YARD10" localSheetId="0">#REF!</definedName>
    <definedName name="MOTOR_HP_YARD10" localSheetId="4">#REF!</definedName>
    <definedName name="MOTOR_HP_YARD10" localSheetId="3">#REF!</definedName>
    <definedName name="MOTOR_HP_YARD10" localSheetId="5">#REF!</definedName>
    <definedName name="MOTOR_HP_YARD10">#REF!</definedName>
    <definedName name="MOTOR_HP_YARD100" localSheetId="2">#REF!</definedName>
    <definedName name="MOTOR_HP_YARD100" localSheetId="1">#REF!</definedName>
    <definedName name="MOTOR_HP_YARD100" localSheetId="0">#REF!</definedName>
    <definedName name="MOTOR_HP_YARD100" localSheetId="4">#REF!</definedName>
    <definedName name="MOTOR_HP_YARD100" localSheetId="3">#REF!</definedName>
    <definedName name="MOTOR_HP_YARD100" localSheetId="5">#REF!</definedName>
    <definedName name="MOTOR_HP_YARD100">#REF!</definedName>
    <definedName name="MOTOR_HP_YARD1000" localSheetId="2">#REF!</definedName>
    <definedName name="MOTOR_HP_YARD1000" localSheetId="1">#REF!</definedName>
    <definedName name="MOTOR_HP_YARD1000" localSheetId="0">#REF!</definedName>
    <definedName name="MOTOR_HP_YARD1000" localSheetId="4">#REF!</definedName>
    <definedName name="MOTOR_HP_YARD1000" localSheetId="3">#REF!</definedName>
    <definedName name="MOTOR_HP_YARD1000" localSheetId="5">#REF!</definedName>
    <definedName name="MOTOR_HP_YARD1000">#REF!</definedName>
    <definedName name="MOTOR_HP_YARD10000" localSheetId="2">#REF!</definedName>
    <definedName name="MOTOR_HP_YARD10000" localSheetId="1">#REF!</definedName>
    <definedName name="MOTOR_HP_YARD10000" localSheetId="0">#REF!</definedName>
    <definedName name="MOTOR_HP_YARD10000" localSheetId="4">#REF!</definedName>
    <definedName name="MOTOR_HP_YARD10000" localSheetId="3">#REF!</definedName>
    <definedName name="MOTOR_HP_YARD10000" localSheetId="5">#REF!</definedName>
    <definedName name="MOTOR_HP_YARD10000">#REF!</definedName>
    <definedName name="MOTOR_HP_YARD15000" localSheetId="2">#REF!</definedName>
    <definedName name="MOTOR_HP_YARD15000" localSheetId="1">#REF!</definedName>
    <definedName name="MOTOR_HP_YARD15000" localSheetId="0">#REF!</definedName>
    <definedName name="MOTOR_HP_YARD15000" localSheetId="4">#REF!</definedName>
    <definedName name="MOTOR_HP_YARD15000" localSheetId="3">#REF!</definedName>
    <definedName name="MOTOR_HP_YARD15000" localSheetId="5">#REF!</definedName>
    <definedName name="MOTOR_HP_YARD15000">#REF!</definedName>
    <definedName name="MOTOR_HP_YARD200" localSheetId="2">#REF!</definedName>
    <definedName name="MOTOR_HP_YARD200" localSheetId="1">#REF!</definedName>
    <definedName name="MOTOR_HP_YARD200" localSheetId="0">#REF!</definedName>
    <definedName name="MOTOR_HP_YARD200" localSheetId="4">#REF!</definedName>
    <definedName name="MOTOR_HP_YARD200" localSheetId="3">#REF!</definedName>
    <definedName name="MOTOR_HP_YARD200" localSheetId="5">#REF!</definedName>
    <definedName name="MOTOR_HP_YARD200">#REF!</definedName>
    <definedName name="MOTOR_HP_YARD2000" localSheetId="2">#REF!</definedName>
    <definedName name="MOTOR_HP_YARD2000" localSheetId="1">#REF!</definedName>
    <definedName name="MOTOR_HP_YARD2000" localSheetId="0">#REF!</definedName>
    <definedName name="MOTOR_HP_YARD2000" localSheetId="4">#REF!</definedName>
    <definedName name="MOTOR_HP_YARD2000" localSheetId="3">#REF!</definedName>
    <definedName name="MOTOR_HP_YARD2000" localSheetId="5">#REF!</definedName>
    <definedName name="MOTOR_HP_YARD2000">#REF!</definedName>
    <definedName name="MOTOR_HP_YARD25" localSheetId="2">#REF!</definedName>
    <definedName name="MOTOR_HP_YARD25" localSheetId="1">#REF!</definedName>
    <definedName name="MOTOR_HP_YARD25" localSheetId="0">#REF!</definedName>
    <definedName name="MOTOR_HP_YARD25" localSheetId="4">#REF!</definedName>
    <definedName name="MOTOR_HP_YARD25" localSheetId="3">#REF!</definedName>
    <definedName name="MOTOR_HP_YARD25" localSheetId="5">#REF!</definedName>
    <definedName name="MOTOR_HP_YARD25">#REF!</definedName>
    <definedName name="MOTOR_HP_YARD3000" localSheetId="2">#REF!</definedName>
    <definedName name="MOTOR_HP_YARD3000" localSheetId="1">#REF!</definedName>
    <definedName name="MOTOR_HP_YARD3000" localSheetId="0">#REF!</definedName>
    <definedName name="MOTOR_HP_YARD3000" localSheetId="4">#REF!</definedName>
    <definedName name="MOTOR_HP_YARD3000" localSheetId="3">#REF!</definedName>
    <definedName name="MOTOR_HP_YARD3000" localSheetId="5">#REF!</definedName>
    <definedName name="MOTOR_HP_YARD3000">#REF!</definedName>
    <definedName name="MOTOR_HP_YARD400" localSheetId="2">#REF!</definedName>
    <definedName name="MOTOR_HP_YARD400" localSheetId="1">#REF!</definedName>
    <definedName name="MOTOR_HP_YARD400" localSheetId="0">#REF!</definedName>
    <definedName name="MOTOR_HP_YARD400" localSheetId="4">#REF!</definedName>
    <definedName name="MOTOR_HP_YARD400" localSheetId="3">#REF!</definedName>
    <definedName name="MOTOR_HP_YARD400" localSheetId="5">#REF!</definedName>
    <definedName name="MOTOR_HP_YARD400">#REF!</definedName>
    <definedName name="MOTOR_HP_YARD4000" localSheetId="2">#REF!</definedName>
    <definedName name="MOTOR_HP_YARD4000" localSheetId="1">#REF!</definedName>
    <definedName name="MOTOR_HP_YARD4000" localSheetId="0">#REF!</definedName>
    <definedName name="MOTOR_HP_YARD4000" localSheetId="4">#REF!</definedName>
    <definedName name="MOTOR_HP_YARD4000" localSheetId="3">#REF!</definedName>
    <definedName name="MOTOR_HP_YARD4000" localSheetId="5">#REF!</definedName>
    <definedName name="MOTOR_HP_YARD4000">#REF!</definedName>
    <definedName name="MOTOR_HP_YARD50" localSheetId="2">#REF!</definedName>
    <definedName name="MOTOR_HP_YARD50" localSheetId="1">#REF!</definedName>
    <definedName name="MOTOR_HP_YARD50" localSheetId="0">#REF!</definedName>
    <definedName name="MOTOR_HP_YARD50" localSheetId="4">#REF!</definedName>
    <definedName name="MOTOR_HP_YARD50" localSheetId="3">#REF!</definedName>
    <definedName name="MOTOR_HP_YARD50" localSheetId="5">#REF!</definedName>
    <definedName name="MOTOR_HP_YARD50">#REF!</definedName>
    <definedName name="MOTOR_HP_YARD500" localSheetId="2">#REF!</definedName>
    <definedName name="MOTOR_HP_YARD500" localSheetId="1">#REF!</definedName>
    <definedName name="MOTOR_HP_YARD500" localSheetId="0">#REF!</definedName>
    <definedName name="MOTOR_HP_YARD500" localSheetId="4">#REF!</definedName>
    <definedName name="MOTOR_HP_YARD500" localSheetId="3">#REF!</definedName>
    <definedName name="MOTOR_HP_YARD500" localSheetId="5">#REF!</definedName>
    <definedName name="MOTOR_HP_YARD500">#REF!</definedName>
    <definedName name="MOTOR_HP_YARD5000" localSheetId="2">#REF!</definedName>
    <definedName name="MOTOR_HP_YARD5000" localSheetId="1">#REF!</definedName>
    <definedName name="MOTOR_HP_YARD5000" localSheetId="0">#REF!</definedName>
    <definedName name="MOTOR_HP_YARD5000" localSheetId="4">#REF!</definedName>
    <definedName name="MOTOR_HP_YARD5000" localSheetId="3">#REF!</definedName>
    <definedName name="MOTOR_HP_YARD5000" localSheetId="5">#REF!</definedName>
    <definedName name="MOTOR_HP_YARD5000">#REF!</definedName>
    <definedName name="MOTOR_HP_YARD7500" localSheetId="2">#REF!</definedName>
    <definedName name="MOTOR_HP_YARD7500" localSheetId="1">#REF!</definedName>
    <definedName name="MOTOR_HP_YARD7500" localSheetId="0">#REF!</definedName>
    <definedName name="MOTOR_HP_YARD7500" localSheetId="4">#REF!</definedName>
    <definedName name="MOTOR_HP_YARD7500" localSheetId="3">#REF!</definedName>
    <definedName name="MOTOR_HP_YARD7500" localSheetId="5">#REF!</definedName>
    <definedName name="MOTOR_HP_YARD7500">#REF!</definedName>
    <definedName name="MPA15FDNS" localSheetId="4">#REF!</definedName>
    <definedName name="MPA15FDNS" localSheetId="3">#REF!</definedName>
    <definedName name="MPA15FDNS" localSheetId="5">#REF!</definedName>
    <definedName name="MPA15FDNS">#REF!</definedName>
    <definedName name="MPA25FDNS" localSheetId="4">#REF!</definedName>
    <definedName name="MPA25FDNS" localSheetId="3">#REF!</definedName>
    <definedName name="MPA25FDNS" localSheetId="5">#REF!</definedName>
    <definedName name="MPA25FDNS">#REF!</definedName>
    <definedName name="MPA30SS" localSheetId="4">#REF!</definedName>
    <definedName name="MPA30SS" localSheetId="3">#REF!</definedName>
    <definedName name="MPA30SS" localSheetId="5">#REF!</definedName>
    <definedName name="MPA30SS">#REF!</definedName>
    <definedName name="mr" localSheetId="2">#REF!</definedName>
    <definedName name="mr" localSheetId="1">#REF!</definedName>
    <definedName name="mr" localSheetId="0">#REF!</definedName>
    <definedName name="mr" localSheetId="4">#REF!</definedName>
    <definedName name="mr" localSheetId="3">#REF!</definedName>
    <definedName name="mr" localSheetId="5">#REF!</definedName>
    <definedName name="mr">#REF!</definedName>
    <definedName name="MRReq02" localSheetId="4">#REF!</definedName>
    <definedName name="MRReq02" localSheetId="3">#REF!</definedName>
    <definedName name="MRReq02" localSheetId="5">#REF!</definedName>
    <definedName name="MRReq02">#REF!</definedName>
    <definedName name="MS_1" localSheetId="2">#REF!</definedName>
    <definedName name="MS_1" localSheetId="1">#REF!</definedName>
    <definedName name="MS_1" localSheetId="0">#REF!</definedName>
    <definedName name="MS_1" localSheetId="4">#REF!</definedName>
    <definedName name="MS_1" localSheetId="3">#REF!</definedName>
    <definedName name="MS_1" localSheetId="5">#REF!</definedName>
    <definedName name="MS_1">#REF!</definedName>
    <definedName name="MS_2" localSheetId="2">#REF!</definedName>
    <definedName name="MS_2" localSheetId="1">#REF!</definedName>
    <definedName name="MS_2" localSheetId="0">#REF!</definedName>
    <definedName name="MS_2" localSheetId="4">#REF!</definedName>
    <definedName name="MS_2" localSheetId="3">#REF!</definedName>
    <definedName name="MS_2" localSheetId="5">#REF!</definedName>
    <definedName name="MS_2">#REF!</definedName>
    <definedName name="mt" localSheetId="2">#REF!</definedName>
    <definedName name="mt" localSheetId="1">#REF!</definedName>
    <definedName name="mt" localSheetId="0">#REF!</definedName>
    <definedName name="mt" localSheetId="4">#REF!</definedName>
    <definedName name="mt" localSheetId="3">#REF!</definedName>
    <definedName name="mt" localSheetId="5">#REF!</definedName>
    <definedName name="mt">#REF!</definedName>
    <definedName name="MTHS_TO_DEL" localSheetId="2">#REF!</definedName>
    <definedName name="MTHS_TO_DEL" localSheetId="1">#REF!</definedName>
    <definedName name="MTHS_TO_DEL" localSheetId="0">#REF!</definedName>
    <definedName name="MTHS_TO_DEL" localSheetId="4">#REF!</definedName>
    <definedName name="MTHS_TO_DEL" localSheetId="3">#REF!</definedName>
    <definedName name="MTHS_TO_DEL" localSheetId="5">#REF!</definedName>
    <definedName name="MTHS_TO_DEL">#REF!</definedName>
    <definedName name="Mult" localSheetId="4">#REF!</definedName>
    <definedName name="Mult" localSheetId="3">#REF!</definedName>
    <definedName name="Mult" localSheetId="5">#REF!</definedName>
    <definedName name="Mult">#REF!</definedName>
    <definedName name="MUP" localSheetId="4">#REF!</definedName>
    <definedName name="MUP" localSheetId="3">#REF!</definedName>
    <definedName name="MUP" localSheetId="5">#REF!</definedName>
    <definedName name="MUP">#REF!</definedName>
    <definedName name="MURFAC" localSheetId="4">#REF!</definedName>
    <definedName name="MURFAC" localSheetId="3">#REF!</definedName>
    <definedName name="MURFAC" localSheetId="5">#REF!</definedName>
    <definedName name="MURFAC">#REF!</definedName>
    <definedName name="MWeGross" localSheetId="2">#REF!</definedName>
    <definedName name="MWeGross" localSheetId="1">#REF!</definedName>
    <definedName name="MWeGross" localSheetId="0">#REF!</definedName>
    <definedName name="MWeGross" localSheetId="4">#REF!</definedName>
    <definedName name="MWeGross" localSheetId="3">#REF!</definedName>
    <definedName name="MWeGross" localSheetId="5">#REF!</definedName>
    <definedName name="MWeGross">#REF!</definedName>
    <definedName name="MWeNet" localSheetId="2">#REF!</definedName>
    <definedName name="MWeNet" localSheetId="1">#REF!</definedName>
    <definedName name="MWeNet" localSheetId="0">#REF!</definedName>
    <definedName name="MWeNet" localSheetId="4">#REF!</definedName>
    <definedName name="MWeNet" localSheetId="3">#REF!</definedName>
    <definedName name="MWeNet" localSheetId="5">#REF!</definedName>
    <definedName name="MWeNet">#REF!</definedName>
    <definedName name="N" localSheetId="2">#REF!</definedName>
    <definedName name="N" localSheetId="1">#REF!</definedName>
    <definedName name="N" localSheetId="0">#REF!</definedName>
    <definedName name="N" localSheetId="4">#REF!</definedName>
    <definedName name="N" localSheetId="3">#REF!</definedName>
    <definedName name="N" localSheetId="5">#REF!</definedName>
    <definedName name="N">#REF!</definedName>
    <definedName name="NAILS" localSheetId="4">#REF!</definedName>
    <definedName name="NAILS" localSheetId="3">#REF!</definedName>
    <definedName name="NAILS" localSheetId="5">#REF!</definedName>
    <definedName name="NAILS">#REF!</definedName>
    <definedName name="NAILSPR" localSheetId="4">#REF!</definedName>
    <definedName name="NAILSPR" localSheetId="3">#REF!</definedName>
    <definedName name="NAILSPR" localSheetId="5">#REF!</definedName>
    <definedName name="NAILSPR">#REF!</definedName>
    <definedName name="NAILSRATE" localSheetId="4">#REF!</definedName>
    <definedName name="NAILSRATE" localSheetId="3">#REF!</definedName>
    <definedName name="NAILSRATE" localSheetId="5">#REF!</definedName>
    <definedName name="NAILSRATE">#REF!</definedName>
    <definedName name="Name" localSheetId="2">#REF!</definedName>
    <definedName name="Name" localSheetId="1">#REF!</definedName>
    <definedName name="name" localSheetId="0">#REF!</definedName>
    <definedName name="name" localSheetId="4">#REF!</definedName>
    <definedName name="name" localSheetId="3">#REF!</definedName>
    <definedName name="Name" localSheetId="5">#REF!</definedName>
    <definedName name="Name">#REF!</definedName>
    <definedName name="NATIONALS" localSheetId="2">#REF!</definedName>
    <definedName name="NATIONALS" localSheetId="1">#REF!</definedName>
    <definedName name="NATIONALS" localSheetId="0">#REF!</definedName>
    <definedName name="NATIONALS" localSheetId="4">#REF!</definedName>
    <definedName name="NATIONALS" localSheetId="3">#REF!</definedName>
    <definedName name="NATIONALS" localSheetId="5">#REF!</definedName>
    <definedName name="NATIONALS">#REF!</definedName>
    <definedName name="NDatabase" localSheetId="4">#REF!</definedName>
    <definedName name="NDatabase" localSheetId="3">#REF!</definedName>
    <definedName name="NDatabase" localSheetId="5">#REF!</definedName>
    <definedName name="NDatabase">#REF!</definedName>
    <definedName name="needle" localSheetId="2">#REF!</definedName>
    <definedName name="needle" localSheetId="1">#REF!</definedName>
    <definedName name="needle" localSheetId="0">#REF!</definedName>
    <definedName name="needle" localSheetId="4">#REF!</definedName>
    <definedName name="needle" localSheetId="3">#REF!</definedName>
    <definedName name="needle" localSheetId="5">#REF!</definedName>
    <definedName name="needle">#REF!</definedName>
    <definedName name="NETT_SUBMITTED" localSheetId="4">#REF!</definedName>
    <definedName name="NETT_SUBMITTED" localSheetId="3">#REF!</definedName>
    <definedName name="NETT_SUBMITTED" localSheetId="5">#REF!</definedName>
    <definedName name="NETT_SUBMITTED">#REF!</definedName>
    <definedName name="New" localSheetId="0">#REF!</definedName>
    <definedName name="New" localSheetId="4">#REF!</definedName>
    <definedName name="New" localSheetId="3">#REF!</definedName>
    <definedName name="New" localSheetId="5">#REF!</definedName>
    <definedName name="New">#REF!</definedName>
    <definedName name="nfgg" localSheetId="2">#REF!</definedName>
    <definedName name="nfgg" localSheetId="1">#REF!</definedName>
    <definedName name="nfgg" localSheetId="0">#REF!</definedName>
    <definedName name="nfgg" localSheetId="4">#REF!</definedName>
    <definedName name="nfgg" localSheetId="3">#REF!</definedName>
    <definedName name="nfgg" localSheetId="5">#REF!</definedName>
    <definedName name="nfgg">#REF!</definedName>
    <definedName name="NGK" localSheetId="2" hidden="1">{#N/A,#N/A,FALSE,"估價單  (3)"}</definedName>
    <definedName name="NGK" localSheetId="1" hidden="1">{#N/A,#N/A,FALSE,"估價單  (3)"}</definedName>
    <definedName name="NGK" localSheetId="0" hidden="1">{#N/A,#N/A,FALSE,"估價單  (3)"}</definedName>
    <definedName name="NGK" localSheetId="4" hidden="1">{#N/A,#N/A,FALSE,"估價單  (3)"}</definedName>
    <definedName name="NGK" localSheetId="3" hidden="1">{#N/A,#N/A,FALSE,"估價單  (3)"}</definedName>
    <definedName name="NGK" localSheetId="5" hidden="1">{#N/A,#N/A,FALSE,"估價單  (3)"}</definedName>
    <definedName name="NGK" hidden="1">{#N/A,#N/A,FALSE,"估價單  (3)"}</definedName>
    <definedName name="NH_1" localSheetId="2">#REF!</definedName>
    <definedName name="NH_1" localSheetId="1">#REF!</definedName>
    <definedName name="NH_1" localSheetId="0">#REF!</definedName>
    <definedName name="NH_1" localSheetId="4">#REF!</definedName>
    <definedName name="NH_1" localSheetId="3">#REF!</definedName>
    <definedName name="NH_1" localSheetId="5">#REF!</definedName>
    <definedName name="NH_1">#REF!</definedName>
    <definedName name="NH_2" localSheetId="2">#REF!</definedName>
    <definedName name="NH_2" localSheetId="1">#REF!</definedName>
    <definedName name="NH_2" localSheetId="0">#REF!</definedName>
    <definedName name="NH_2" localSheetId="4">#REF!</definedName>
    <definedName name="NH_2" localSheetId="3">#REF!</definedName>
    <definedName name="NH_2" localSheetId="5">#REF!</definedName>
    <definedName name="NH_2">#REF!</definedName>
    <definedName name="NH_3" localSheetId="2">#REF!</definedName>
    <definedName name="NH_3" localSheetId="1">#REF!</definedName>
    <definedName name="NH_3" localSheetId="0">#REF!</definedName>
    <definedName name="NH_3" localSheetId="4">#REF!</definedName>
    <definedName name="NH_3" localSheetId="3">#REF!</definedName>
    <definedName name="NH_3" localSheetId="5">#REF!</definedName>
    <definedName name="NH_3">#REF!</definedName>
    <definedName name="NH_4" localSheetId="2">#REF!</definedName>
    <definedName name="NH_4" localSheetId="1">#REF!</definedName>
    <definedName name="NH_4" localSheetId="0">#REF!</definedName>
    <definedName name="NH_4" localSheetId="4">#REF!</definedName>
    <definedName name="NH_4" localSheetId="3">#REF!</definedName>
    <definedName name="NH_4" localSheetId="5">#REF!</definedName>
    <definedName name="NH_4">#REF!</definedName>
    <definedName name="NH_5" localSheetId="2">#REF!</definedName>
    <definedName name="NH_5" localSheetId="1">#REF!</definedName>
    <definedName name="NH_5" localSheetId="0">#REF!</definedName>
    <definedName name="NH_5" localSheetId="4">#REF!</definedName>
    <definedName name="NH_5" localSheetId="3">#REF!</definedName>
    <definedName name="NH_5" localSheetId="5">#REF!</definedName>
    <definedName name="NH_5">#REF!</definedName>
    <definedName name="nhnh" localSheetId="2">#REF!</definedName>
    <definedName name="nhnh" localSheetId="1">#REF!</definedName>
    <definedName name="nhnh" localSheetId="0">#REF!</definedName>
    <definedName name="nhnh" localSheetId="4">#REF!</definedName>
    <definedName name="nhnh" localSheetId="3">#REF!</definedName>
    <definedName name="nhnh" localSheetId="5">#REF!</definedName>
    <definedName name="nhnh">#REF!</definedName>
    <definedName name="NIPP" localSheetId="2">#REF!</definedName>
    <definedName name="NIPP" localSheetId="1">#REF!</definedName>
    <definedName name="NIPP" localSheetId="0">#REF!</definedName>
    <definedName name="NIPP" localSheetId="4">#REF!</definedName>
    <definedName name="NIPP" localSheetId="3">#REF!</definedName>
    <definedName name="NIPP" localSheetId="5">#REF!</definedName>
    <definedName name="NIPP">#REF!</definedName>
    <definedName name="nm" localSheetId="2">#REF!</definedName>
    <definedName name="nm" localSheetId="1">#REF!</definedName>
    <definedName name="nm" localSheetId="0">#REF!</definedName>
    <definedName name="nm" localSheetId="4">#REF!</definedName>
    <definedName name="nm" localSheetId="3">#REF!</definedName>
    <definedName name="nm" localSheetId="5">#REF!</definedName>
    <definedName name="nm">#REF!</definedName>
    <definedName name="NN" localSheetId="2">#REF!</definedName>
    <definedName name="NN" localSheetId="1">#REF!</definedName>
    <definedName name="NN" localSheetId="0">#REF!</definedName>
    <definedName name="NN" localSheetId="4">#REF!</definedName>
    <definedName name="NN" localSheetId="3">#REF!</definedName>
    <definedName name="NN" localSheetId="5">#REF!</definedName>
    <definedName name="NN">#REF!</definedName>
    <definedName name="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o" localSheetId="4">#REF!</definedName>
    <definedName name="nnno" localSheetId="3">#REF!</definedName>
    <definedName name="nnno" localSheetId="5">#REF!</definedName>
    <definedName name="nnno">#REF!</definedName>
    <definedName name="NNR" localSheetId="4">#REF!</definedName>
    <definedName name="NNR" localSheetId="3">#REF!</definedName>
    <definedName name="NNR" localSheetId="5">#REF!</definedName>
    <definedName name="NNR">#REF!</definedName>
    <definedName name="No_of_Hollidays" localSheetId="2">#REF!</definedName>
    <definedName name="No_of_Hollidays" localSheetId="1">#REF!</definedName>
    <definedName name="No_of_Hollidays" localSheetId="0">#REF!</definedName>
    <definedName name="No_of_Hollidays" localSheetId="4">#REF!</definedName>
    <definedName name="No_of_Hollidays" localSheetId="3">#REF!</definedName>
    <definedName name="No_of_Hollidays" localSheetId="5">#REF!</definedName>
    <definedName name="No_of_Hollidays">#REF!</definedName>
    <definedName name="No_Ramadan_Days" localSheetId="2">#REF!</definedName>
    <definedName name="No_Ramadan_Days" localSheetId="1">#REF!</definedName>
    <definedName name="No_Ramadan_Days" localSheetId="0">#REF!</definedName>
    <definedName name="No_Ramadan_Days" localSheetId="4">#REF!</definedName>
    <definedName name="No_Ramadan_Days" localSheetId="3">#REF!</definedName>
    <definedName name="No_Ramadan_Days" localSheetId="5">#REF!</definedName>
    <definedName name="No_Ramadan_Days">#REF!</definedName>
    <definedName name="No_Week_Days" localSheetId="2">#REF!</definedName>
    <definedName name="No_Week_Days" localSheetId="1">#REF!</definedName>
    <definedName name="No_Week_Days" localSheetId="0">#REF!</definedName>
    <definedName name="No_Week_Days" localSheetId="4">#REF!</definedName>
    <definedName name="No_Week_Days" localSheetId="3">#REF!</definedName>
    <definedName name="No_Week_Days" localSheetId="5">#REF!</definedName>
    <definedName name="No_Week_Days">#REF!</definedName>
    <definedName name="No_Weekend_Days" localSheetId="2">#REF!</definedName>
    <definedName name="No_Weekend_Days" localSheetId="1">#REF!</definedName>
    <definedName name="No_Weekend_Days" localSheetId="0">#REF!</definedName>
    <definedName name="No_Weekend_Days" localSheetId="4">#REF!</definedName>
    <definedName name="No_Weekend_Days" localSheetId="3">#REF!</definedName>
    <definedName name="No_Weekend_Days" localSheetId="5">#REF!</definedName>
    <definedName name="No_Weekend_Days">#REF!</definedName>
    <definedName name="NOMSUBS" localSheetId="2">#REF!</definedName>
    <definedName name="NOMSUBS" localSheetId="1">#REF!</definedName>
    <definedName name="NOMSUBS" localSheetId="0">#REF!</definedName>
    <definedName name="NOMSUBS" localSheetId="4">#REF!</definedName>
    <definedName name="NOMSUBS" localSheetId="3">#REF!</definedName>
    <definedName name="NOMSUBS" localSheetId="5">#REF!</definedName>
    <definedName name="NOMSUBS">#REF!</definedName>
    <definedName name="NONI" localSheetId="4">#REF!</definedName>
    <definedName name="NONI" localSheetId="3">#REF!</definedName>
    <definedName name="NONI" localSheetId="5">#REF!</definedName>
    <definedName name="NONI">#REF!</definedName>
    <definedName name="nonreimb" localSheetId="0">#REF!</definedName>
    <definedName name="nonreimb" localSheetId="4">#REF!</definedName>
    <definedName name="nonreimb" localSheetId="3">#REF!</definedName>
    <definedName name="nonreimb" localSheetId="5">#REF!</definedName>
    <definedName name="nonreimb">#REF!</definedName>
    <definedName name="NOTES" localSheetId="2">#REF!</definedName>
    <definedName name="NOTES" localSheetId="1">#REF!</definedName>
    <definedName name="NOTES" localSheetId="0">#REF!</definedName>
    <definedName name="NOTES" localSheetId="4">#REF!</definedName>
    <definedName name="NOTES" localSheetId="3">#REF!</definedName>
    <definedName name="NOTES" localSheetId="5">#REF!</definedName>
    <definedName name="NOTES">#REF!</definedName>
    <definedName name="Notes1" localSheetId="2">#REF!</definedName>
    <definedName name="Notes1" localSheetId="1">#REF!</definedName>
    <definedName name="Notes1" localSheetId="0">#REF!</definedName>
    <definedName name="Notes1" localSheetId="4">#REF!</definedName>
    <definedName name="Notes1" localSheetId="3">#REF!</definedName>
    <definedName name="Notes1" localSheetId="5">#REF!</definedName>
    <definedName name="Notes1">#REF!</definedName>
    <definedName name="Num_Pmt_Per_Year" localSheetId="2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3">#REF!</definedName>
    <definedName name="Num_Pmt_Per_Year" localSheetId="5">#REF!</definedName>
    <definedName name="Num_Pmt_Per_Year">#REF!</definedName>
    <definedName name="Number" localSheetId="4">#REF!</definedName>
    <definedName name="Number" localSheetId="3">#REF!</definedName>
    <definedName name="Number" localSheetId="5">#REF!</definedName>
    <definedName name="Number">#REF!</definedName>
    <definedName name="Number_of_Payments" localSheetId="2">MATCH(0.01,'A10 Design + Subs fee'!End_Bal,-1)+1</definedName>
    <definedName name="Number_of_Payments" localSheetId="1">MATCH(0.01,'A9 Design + Subs fee '!End_Bal,-1)+1</definedName>
    <definedName name="Number_of_Payments" localSheetId="0">MATCH(0.01,'FEE RECON RAIHAN'!End_Bal,-1)+1</definedName>
    <definedName name="Number_of_Payments" localSheetId="4">MATCH(0.01,'Mastersheet-Projects'!End_Bal,-1)+1</definedName>
    <definedName name="Number_of_Payments" localSheetId="3">MATCH(0.01,'Mastersheet-Resources'!End_Bal,-1)+1</definedName>
    <definedName name="Number_of_Payments" localSheetId="5">MATCH(0.01,'Tender List'!End_Bal,-1)+1</definedName>
    <definedName name="Number_of_Payments">MATCH(0.01,End_Bal,-1)+1</definedName>
    <definedName name="O" localSheetId="2">#REF!</definedName>
    <definedName name="O" localSheetId="1">#REF!</definedName>
    <definedName name="O" localSheetId="0">#REF!</definedName>
    <definedName name="O" localSheetId="4">#REF!</definedName>
    <definedName name="O" localSheetId="3">#REF!</definedName>
    <definedName name="O" localSheetId="5">#REF!</definedName>
    <definedName name="O">#REF!</definedName>
    <definedName name="O." localSheetId="2">#REF!</definedName>
    <definedName name="O." localSheetId="1">#REF!</definedName>
    <definedName name="O." localSheetId="0">#REF!</definedName>
    <definedName name="O." localSheetId="4">#REF!</definedName>
    <definedName name="O." localSheetId="3">#REF!</definedName>
    <definedName name="O." localSheetId="5">#REF!</definedName>
    <definedName name="O.">#REF!</definedName>
    <definedName name="O01SF1" localSheetId="4">#REF!</definedName>
    <definedName name="O01SF1" localSheetId="3">#REF!</definedName>
    <definedName name="O01SF1" localSheetId="5">#REF!</definedName>
    <definedName name="O01SF1">#REF!</definedName>
    <definedName name="obw" localSheetId="4">#REF!</definedName>
    <definedName name="obw" localSheetId="3">#REF!</definedName>
    <definedName name="obw" localSheetId="5">#REF!</definedName>
    <definedName name="obw">#REF!</definedName>
    <definedName name="obwfdns" localSheetId="4">#REF!</definedName>
    <definedName name="obwfdns" localSheetId="3">#REF!</definedName>
    <definedName name="obwfdns" localSheetId="5">#REF!</definedName>
    <definedName name="obwfdns">#REF!</definedName>
    <definedName name="OD" localSheetId="2">#REF!</definedName>
    <definedName name="OD" localSheetId="1">#REF!</definedName>
    <definedName name="OD" localSheetId="0">#REF!</definedName>
    <definedName name="OD" localSheetId="4">#REF!</definedName>
    <definedName name="OD" localSheetId="3">#REF!</definedName>
    <definedName name="OD" localSheetId="5">#REF!</definedName>
    <definedName name="OD">#REF!</definedName>
    <definedName name="OD_FACTOR" localSheetId="2">#REF!</definedName>
    <definedName name="OD_FACTOR" localSheetId="1">#REF!</definedName>
    <definedName name="OD_FACTOR" localSheetId="0">#REF!</definedName>
    <definedName name="OD_FACTOR" localSheetId="4">#REF!</definedName>
    <definedName name="OD_FACTOR" localSheetId="3">#REF!</definedName>
    <definedName name="OD_FACTOR" localSheetId="5">#REF!</definedName>
    <definedName name="OD_FACTOR">#REF!</definedName>
    <definedName name="ODC" localSheetId="4">#REF!</definedName>
    <definedName name="ODC" localSheetId="3">#REF!</definedName>
    <definedName name="ODC" localSheetId="5">#REF!</definedName>
    <definedName name="ODC">#REF!</definedName>
    <definedName name="ODC_Allowance_Rates" localSheetId="2">#REF!</definedName>
    <definedName name="ODC_Allowance_Rates" localSheetId="1">#REF!</definedName>
    <definedName name="ODC_Allowance_Rates" localSheetId="0">#REF!</definedName>
    <definedName name="ODC_Allowance_Rates" localSheetId="4">#REF!</definedName>
    <definedName name="ODC_Allowance_Rates" localSheetId="3">#REF!</definedName>
    <definedName name="ODC_Allowance_Rates" localSheetId="5">#REF!</definedName>
    <definedName name="ODC_Allowance_Rates">#REF!</definedName>
    <definedName name="Office_Charge_Rate" localSheetId="2">#REF!</definedName>
    <definedName name="Office_Charge_Rate" localSheetId="1">#REF!</definedName>
    <definedName name="Office_Charge_Rate" localSheetId="0">#REF!</definedName>
    <definedName name="Office_Charge_Rate" localSheetId="4">#REF!</definedName>
    <definedName name="Office_Charge_Rate" localSheetId="3">#REF!</definedName>
    <definedName name="Office_Charge_Rate" localSheetId="5">#REF!</definedName>
    <definedName name="Office_Charge_Rate">#REF!</definedName>
    <definedName name="Office_Supplies_Unit_Rate" localSheetId="2">#REF!</definedName>
    <definedName name="Office_Supplies_Unit_Rate" localSheetId="1">#REF!</definedName>
    <definedName name="Office_Supplies_Unit_Rate" localSheetId="0">#REF!</definedName>
    <definedName name="Office_Supplies_Unit_Rate" localSheetId="4">#REF!</definedName>
    <definedName name="Office_Supplies_Unit_Rate" localSheetId="3">#REF!</definedName>
    <definedName name="Office_Supplies_Unit_Rate" localSheetId="5">#REF!</definedName>
    <definedName name="Office_Supplies_Unit_Rate">#REF!</definedName>
    <definedName name="OFFICES" localSheetId="2">#REF!</definedName>
    <definedName name="OFFICES" localSheetId="1">#REF!</definedName>
    <definedName name="OFFICES" localSheetId="0">#REF!</definedName>
    <definedName name="OFFICES" localSheetId="4">#REF!</definedName>
    <definedName name="OFFICES" localSheetId="3">#REF!</definedName>
    <definedName name="OFFICES" localSheetId="5">#REF!</definedName>
    <definedName name="OFFICES">#REF!</definedName>
    <definedName name="oi" localSheetId="2" hidden="1">{#N/A,#N/A,TRUE,"Cover";#N/A,#N/A,TRUE,"Conts";#N/A,#N/A,TRUE,"VOS";#N/A,#N/A,TRUE,"Warrington";#N/A,#N/A,TRUE,"Widnes"}</definedName>
    <definedName name="oi" localSheetId="1" hidden="1">{#N/A,#N/A,TRUE,"Cover";#N/A,#N/A,TRUE,"Conts";#N/A,#N/A,TRUE,"VOS";#N/A,#N/A,TRUE,"Warrington";#N/A,#N/A,TRUE,"Widnes"}</definedName>
    <definedName name="oi" localSheetId="0" hidden="1">{#N/A,#N/A,TRUE,"Cover";#N/A,#N/A,TRUE,"Conts";#N/A,#N/A,TRUE,"VOS";#N/A,#N/A,TRUE,"Warrington";#N/A,#N/A,TRUE,"Widnes"}</definedName>
    <definedName name="oi" localSheetId="4" hidden="1">{#N/A,#N/A,TRUE,"Cover";#N/A,#N/A,TRUE,"Conts";#N/A,#N/A,TRUE,"VOS";#N/A,#N/A,TRUE,"Warrington";#N/A,#N/A,TRUE,"Widnes"}</definedName>
    <definedName name="oi" localSheetId="3" hidden="1">{#N/A,#N/A,TRUE,"Cover";#N/A,#N/A,TRUE,"Conts";#N/A,#N/A,TRUE,"VOS";#N/A,#N/A,TRUE,"Warrington";#N/A,#N/A,TRUE,"Widnes"}</definedName>
    <definedName name="oi" localSheetId="5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k" localSheetId="2" hidden="1">{"'Break down'!$A$4"}</definedName>
    <definedName name="ok" localSheetId="1" hidden="1">{"'Break down'!$A$4"}</definedName>
    <definedName name="ok" localSheetId="0" hidden="1">{"'Break down'!$A$4"}</definedName>
    <definedName name="ok" localSheetId="4" hidden="1">{"'Break down'!$A$4"}</definedName>
    <definedName name="ok" localSheetId="3" hidden="1">{"'Break down'!$A$4"}</definedName>
    <definedName name="ok" localSheetId="5" hidden="1">{"'Break down'!$A$4"}</definedName>
    <definedName name="ok" hidden="1">{"'Break down'!$A$4"}</definedName>
    <definedName name="old" localSheetId="2">#REF!</definedName>
    <definedName name="old" localSheetId="1">#REF!</definedName>
    <definedName name="old" localSheetId="0">#REF!</definedName>
    <definedName name="old" localSheetId="4">#REF!</definedName>
    <definedName name="old" localSheetId="3">#REF!</definedName>
    <definedName name="old" localSheetId="5">#REF!</definedName>
    <definedName name="old">#REF!</definedName>
    <definedName name="oldprinttotal" localSheetId="4">#REF!</definedName>
    <definedName name="oldprinttotal" localSheetId="3">#REF!</definedName>
    <definedName name="oldprinttotal" localSheetId="5">#REF!</definedName>
    <definedName name="oldprinttotal">#REF!</definedName>
    <definedName name="OM" localSheetId="4">#REF!</definedName>
    <definedName name="OM" localSheetId="3">#REF!</definedName>
    <definedName name="OM" localSheetId="5">#REF!</definedName>
    <definedName name="OM">#REF!</definedName>
    <definedName name="OO" localSheetId="2">#REF!</definedName>
    <definedName name="OO" localSheetId="1">#REF!</definedName>
    <definedName name="OO" localSheetId="0">#REF!</definedName>
    <definedName name="OO" localSheetId="4">#REF!</definedName>
    <definedName name="OO" localSheetId="3">#REF!</definedName>
    <definedName name="OO" localSheetId="5">#REF!</definedName>
    <definedName name="OO">#REF!</definedName>
    <definedName name="op" localSheetId="4">#REF!</definedName>
    <definedName name="op" localSheetId="3">#REF!</definedName>
    <definedName name="op" localSheetId="5">#REF!</definedName>
    <definedName name="op">#REF!</definedName>
    <definedName name="Opening_Bal" localSheetId="2">#REF!</definedName>
    <definedName name="Opening_Bal" localSheetId="1">#REF!</definedName>
    <definedName name="Opening_Bal" localSheetId="0">#REF!</definedName>
    <definedName name="Opening_Bal" localSheetId="4">#REF!</definedName>
    <definedName name="Opening_Bal" localSheetId="3">#REF!</definedName>
    <definedName name="Opening_Bal" localSheetId="5">#REF!</definedName>
    <definedName name="Opening_Bal">#REF!</definedName>
    <definedName name="OPS" localSheetId="2">#REF!</definedName>
    <definedName name="OPS" localSheetId="1">#REF!</definedName>
    <definedName name="OPS" localSheetId="0">#REF!</definedName>
    <definedName name="OPS" localSheetId="4">#REF!</definedName>
    <definedName name="OPS" localSheetId="3">#REF!</definedName>
    <definedName name="OPS" localSheetId="5">#REF!</definedName>
    <definedName name="OPS">#REF!</definedName>
    <definedName name="OPSSI" localSheetId="2">#REF!</definedName>
    <definedName name="OPSSI" localSheetId="1">#REF!</definedName>
    <definedName name="OPSSI" localSheetId="0">#REF!</definedName>
    <definedName name="OPSSI" localSheetId="4">#REF!</definedName>
    <definedName name="OPSSI" localSheetId="3">#REF!</definedName>
    <definedName name="OPSSI" localSheetId="5">#REF!</definedName>
    <definedName name="OPSSI">#REF!</definedName>
    <definedName name="OPTIONS" localSheetId="0">#REF!</definedName>
    <definedName name="OPTIONS" localSheetId="4">#REF!</definedName>
    <definedName name="OPTIONS" localSheetId="3">#REF!</definedName>
    <definedName name="OPTIONS" localSheetId="5">#REF!</definedName>
    <definedName name="OPTIONS">#REF!</definedName>
    <definedName name="Orange" localSheetId="4">#REF!</definedName>
    <definedName name="Orange" localSheetId="3">#REF!</definedName>
    <definedName name="Orange" localSheetId="5">#REF!</definedName>
    <definedName name="Orange">#REF!</definedName>
    <definedName name="OrderTable" localSheetId="2" hidden="1">#REF!</definedName>
    <definedName name="OrderTable" localSheetId="1" hidden="1">#REF!</definedName>
    <definedName name="OrderTable" localSheetId="0" hidden="1">#REF!</definedName>
    <definedName name="OrderTable" localSheetId="4" hidden="1">#REF!</definedName>
    <definedName name="OrderTable" localSheetId="3" hidden="1">#REF!</definedName>
    <definedName name="OrderTable" localSheetId="5" hidden="1">#REF!</definedName>
    <definedName name="OrderTable" hidden="1">#REF!</definedName>
    <definedName name="ori" localSheetId="2">#REF!</definedName>
    <definedName name="ori" localSheetId="1">#REF!</definedName>
    <definedName name="ori" localSheetId="0">#REF!</definedName>
    <definedName name="ori" localSheetId="4">#REF!</definedName>
    <definedName name="ori" localSheetId="3">#REF!</definedName>
    <definedName name="ori" localSheetId="5">#REF!</definedName>
    <definedName name="ori">#REF!</definedName>
    <definedName name="OSBL_Costs" localSheetId="2">#REF!</definedName>
    <definedName name="OSBL_Costs" localSheetId="1">#REF!</definedName>
    <definedName name="OSBL_Costs" localSheetId="0">#REF!</definedName>
    <definedName name="OSBL_Costs" localSheetId="4">#REF!</definedName>
    <definedName name="OSBL_Costs" localSheetId="3">#REF!</definedName>
    <definedName name="OSBL_Costs" localSheetId="5">#REF!</definedName>
    <definedName name="OSBL_Costs">#REF!</definedName>
    <definedName name="OSBL_Mhrs" localSheetId="2">#REF!</definedName>
    <definedName name="OSBL_Mhrs" localSheetId="1">#REF!</definedName>
    <definedName name="OSBL_Mhrs" localSheetId="0">#REF!</definedName>
    <definedName name="OSBL_Mhrs" localSheetId="4">#REF!</definedName>
    <definedName name="OSBL_Mhrs" localSheetId="3">#REF!</definedName>
    <definedName name="OSBL_Mhrs" localSheetId="5">#REF!</definedName>
    <definedName name="OSBL_Mhrs">#REF!</definedName>
    <definedName name="OTH_DIR" localSheetId="4">#REF!</definedName>
    <definedName name="OTH_DIR" localSheetId="3">#REF!</definedName>
    <definedName name="OTH_DIR" localSheetId="5">#REF!</definedName>
    <definedName name="OTH_DIR">#REF!</definedName>
    <definedName name="OTHER" localSheetId="2">#REF!</definedName>
    <definedName name="OTHER" localSheetId="1">#REF!</definedName>
    <definedName name="OTHER" localSheetId="0">#REF!</definedName>
    <definedName name="OTHER" localSheetId="4">#REF!</definedName>
    <definedName name="OTHER" localSheetId="3">#REF!</definedName>
    <definedName name="OTHER" localSheetId="5">#REF!</definedName>
    <definedName name="OTHER">#REF!</definedName>
    <definedName name="OTHER_PRICING" localSheetId="2">#REF!</definedName>
    <definedName name="OTHER_PRICING" localSheetId="1">#REF!</definedName>
    <definedName name="OTHER_PRICING" localSheetId="0">#REF!</definedName>
    <definedName name="OTHER_PRICING" localSheetId="4">#REF!</definedName>
    <definedName name="OTHER_PRICING" localSheetId="3">#REF!</definedName>
    <definedName name="OTHER_PRICING" localSheetId="5">#REF!</definedName>
    <definedName name="OTHER_PRICING">#REF!</definedName>
    <definedName name="other_schedule" localSheetId="4">#REF!</definedName>
    <definedName name="other_schedule" localSheetId="3">#REF!</definedName>
    <definedName name="other_schedule" localSheetId="5">#REF!</definedName>
    <definedName name="other_schedule">#REF!</definedName>
    <definedName name="OTHER_VALVES" localSheetId="2">#REF!</definedName>
    <definedName name="OTHER_VALVES" localSheetId="1">#REF!</definedName>
    <definedName name="OTHER_VALVES" localSheetId="0">#REF!</definedName>
    <definedName name="OTHER_VALVES" localSheetId="4">#REF!</definedName>
    <definedName name="OTHER_VALVES" localSheetId="3">#REF!</definedName>
    <definedName name="OTHER_VALVES" localSheetId="5">#REF!</definedName>
    <definedName name="OTHER_VALVES">#REF!</definedName>
    <definedName name="OUTDOOR_COND" localSheetId="2">#REF!</definedName>
    <definedName name="OUTDOOR_COND" localSheetId="1">#REF!</definedName>
    <definedName name="OUTDOOR_COND" localSheetId="0">#REF!</definedName>
    <definedName name="OUTDOOR_COND" localSheetId="4">#REF!</definedName>
    <definedName name="OUTDOOR_COND" localSheetId="3">#REF!</definedName>
    <definedName name="OUTDOOR_COND" localSheetId="5">#REF!</definedName>
    <definedName name="OUTDOOR_COND">#REF!</definedName>
    <definedName name="OVERALL" localSheetId="2">#REF!</definedName>
    <definedName name="OVERALL" localSheetId="1">#REF!</definedName>
    <definedName name="OVERALL" localSheetId="0">#REF!</definedName>
    <definedName name="OVERALL" localSheetId="4">#REF!</definedName>
    <definedName name="OVERALL" localSheetId="3">#REF!</definedName>
    <definedName name="OVERALL" localSheetId="5">#REF!</definedName>
    <definedName name="OVERALL">#REF!</definedName>
    <definedName name="OVERALLSUM" localSheetId="2">#REF!</definedName>
    <definedName name="OVERALLSUM" localSheetId="1">#REF!</definedName>
    <definedName name="OVERALLSUM" localSheetId="0">#REF!</definedName>
    <definedName name="OVERALLSUM" localSheetId="4">#REF!</definedName>
    <definedName name="OVERALLSUM" localSheetId="3">#REF!</definedName>
    <definedName name="OVERALLSUM" localSheetId="5">#REF!</definedName>
    <definedName name="OVERALLSUM">#REF!</definedName>
    <definedName name="p" localSheetId="2" hidden="1">{#N/A,#N/A,TRUE,"Cover";#N/A,#N/A,TRUE,"Conts";#N/A,#N/A,TRUE,"VOS";#N/A,#N/A,TRUE,"Warrington";#N/A,#N/A,TRUE,"Widnes"}</definedName>
    <definedName name="p" localSheetId="1" hidden="1">{#N/A,#N/A,TRUE,"Cover";#N/A,#N/A,TRUE,"Conts";#N/A,#N/A,TRUE,"VOS";#N/A,#N/A,TRUE,"Warrington";#N/A,#N/A,TRUE,"Widnes"}</definedName>
    <definedName name="P" localSheetId="0">#REF!</definedName>
    <definedName name="P" localSheetId="4">#REF!</definedName>
    <definedName name="P" localSheetId="3">#REF!</definedName>
    <definedName name="P" localSheetId="5">#REF!</definedName>
    <definedName name="P">#REF!</definedName>
    <definedName name="p2.013" localSheetId="2">#REF!</definedName>
    <definedName name="p2.013" localSheetId="1">#REF!</definedName>
    <definedName name="p2.013" localSheetId="0">#REF!</definedName>
    <definedName name="p2.013" localSheetId="4">#REF!</definedName>
    <definedName name="p2.013" localSheetId="3">#REF!</definedName>
    <definedName name="p2.013" localSheetId="5">#REF!</definedName>
    <definedName name="p2.013">#REF!</definedName>
    <definedName name="p2.014" localSheetId="2">#REF!</definedName>
    <definedName name="p2.014" localSheetId="1">#REF!</definedName>
    <definedName name="p2.014" localSheetId="4">#REF!</definedName>
    <definedName name="p2.014" localSheetId="3">#REF!</definedName>
    <definedName name="p2.014" localSheetId="5">#REF!</definedName>
    <definedName name="p2.014">#REF!</definedName>
    <definedName name="p2.021" localSheetId="2">#REF!</definedName>
    <definedName name="p2.021" localSheetId="1">#REF!</definedName>
    <definedName name="p2.021" localSheetId="4">#REF!</definedName>
    <definedName name="p2.021" localSheetId="3">#REF!</definedName>
    <definedName name="p2.021" localSheetId="5">#REF!</definedName>
    <definedName name="p2.021">#REF!</definedName>
    <definedName name="p2.022" localSheetId="2">#REF!</definedName>
    <definedName name="p2.022" localSheetId="1">#REF!</definedName>
    <definedName name="p2.022" localSheetId="4">#REF!</definedName>
    <definedName name="p2.022" localSheetId="3">#REF!</definedName>
    <definedName name="p2.022" localSheetId="5">#REF!</definedName>
    <definedName name="p2.022">#REF!</definedName>
    <definedName name="p2.023" localSheetId="4">#REF!</definedName>
    <definedName name="p2.023" localSheetId="3">#REF!</definedName>
    <definedName name="p2.023" localSheetId="5">#REF!</definedName>
    <definedName name="p2.023">#REF!</definedName>
    <definedName name="p3.001" localSheetId="4">#REF!</definedName>
    <definedName name="p3.001" localSheetId="3">#REF!</definedName>
    <definedName name="p3.001" localSheetId="5">#REF!</definedName>
    <definedName name="p3.001">#REF!</definedName>
    <definedName name="p4.001" localSheetId="4">#REF!</definedName>
    <definedName name="p4.001" localSheetId="3">#REF!</definedName>
    <definedName name="p4.001" localSheetId="5">#REF!</definedName>
    <definedName name="p4.001">#REF!</definedName>
    <definedName name="p4s" localSheetId="2">#REF!</definedName>
    <definedName name="p4s" localSheetId="1">#REF!</definedName>
    <definedName name="p4s" localSheetId="0">#REF!</definedName>
    <definedName name="p4s" localSheetId="4">#REF!</definedName>
    <definedName name="p4s" localSheetId="3">#REF!</definedName>
    <definedName name="p4s" localSheetId="5">#REF!</definedName>
    <definedName name="p4s">#REF!</definedName>
    <definedName name="p5.002" localSheetId="2">#REF!</definedName>
    <definedName name="p5.002" localSheetId="1">#REF!</definedName>
    <definedName name="p5.002" localSheetId="0">#REF!</definedName>
    <definedName name="p5.002" localSheetId="4">#REF!</definedName>
    <definedName name="p5.002" localSheetId="3">#REF!</definedName>
    <definedName name="p5.002" localSheetId="5">#REF!</definedName>
    <definedName name="p5.002">#REF!</definedName>
    <definedName name="p7y" localSheetId="2" hidden="1">{#N/A,#N/A,TRUE,"Cover";#N/A,#N/A,TRUE,"Conts";#N/A,#N/A,TRUE,"VOS";#N/A,#N/A,TRUE,"Warrington";#N/A,#N/A,TRUE,"Widnes"}</definedName>
    <definedName name="p7y" localSheetId="1" hidden="1">{#N/A,#N/A,TRUE,"Cover";#N/A,#N/A,TRUE,"Conts";#N/A,#N/A,TRUE,"VOS";#N/A,#N/A,TRUE,"Warrington";#N/A,#N/A,TRUE,"Widnes"}</definedName>
    <definedName name="p7y" localSheetId="0" hidden="1">{#N/A,#N/A,TRUE,"Cover";#N/A,#N/A,TRUE,"Conts";#N/A,#N/A,TRUE,"VOS";#N/A,#N/A,TRUE,"Warrington";#N/A,#N/A,TRUE,"Widnes"}</definedName>
    <definedName name="p7y" localSheetId="4" hidden="1">{#N/A,#N/A,TRUE,"Cover";#N/A,#N/A,TRUE,"Conts";#N/A,#N/A,TRUE,"VOS";#N/A,#N/A,TRUE,"Warrington";#N/A,#N/A,TRUE,"Widnes"}</definedName>
    <definedName name="p7y" localSheetId="3" hidden="1">{#N/A,#N/A,TRUE,"Cover";#N/A,#N/A,TRUE,"Conts";#N/A,#N/A,TRUE,"VOS";#N/A,#N/A,TRUE,"Warrington";#N/A,#N/A,TRUE,"Widnes"}</definedName>
    <definedName name="p7y" localSheetId="5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8.001" localSheetId="5">#REF!</definedName>
    <definedName name="p8.001">#REF!</definedName>
    <definedName name="p8.002" localSheetId="4">#REF!</definedName>
    <definedName name="p8.002" localSheetId="3">#REF!</definedName>
    <definedName name="p8.002" localSheetId="5">#REF!</definedName>
    <definedName name="p8.002">#REF!</definedName>
    <definedName name="PA_CABLE" localSheetId="2">#REF!</definedName>
    <definedName name="PA_CABLE" localSheetId="1">#REF!</definedName>
    <definedName name="PA_CABLE" localSheetId="0">#REF!</definedName>
    <definedName name="PA_CABLE" localSheetId="4">#REF!</definedName>
    <definedName name="PA_CABLE" localSheetId="3">#REF!</definedName>
    <definedName name="PA_CABLE" localSheetId="5">#REF!</definedName>
    <definedName name="PA_CABLE">#REF!</definedName>
    <definedName name="PA_CONDUIT" localSheetId="2">#REF!</definedName>
    <definedName name="PA_CONDUIT" localSheetId="1">#REF!</definedName>
    <definedName name="PA_CONDUIT" localSheetId="0">#REF!</definedName>
    <definedName name="PA_CONDUIT" localSheetId="4">#REF!</definedName>
    <definedName name="PA_CONDUIT" localSheetId="3">#REF!</definedName>
    <definedName name="PA_CONDUIT" localSheetId="5">#REF!</definedName>
    <definedName name="PA_CONDUIT">#REF!</definedName>
    <definedName name="PA_EQUIP" localSheetId="2">#REF!</definedName>
    <definedName name="PA_EQUIP" localSheetId="1">#REF!</definedName>
    <definedName name="PA_EQUIP" localSheetId="0">#REF!</definedName>
    <definedName name="PA_EQUIP" localSheetId="4">#REF!</definedName>
    <definedName name="PA_EQUIP" localSheetId="3">#REF!</definedName>
    <definedName name="PA_EQUIP" localSheetId="5">#REF!</definedName>
    <definedName name="PA_EQUIP">#REF!</definedName>
    <definedName name="PACKAGE" localSheetId="2">#REF!</definedName>
    <definedName name="PACKAGE" localSheetId="1">#REF!</definedName>
    <definedName name="PACKAGE" localSheetId="0">#REF!</definedName>
    <definedName name="PACKAGE" localSheetId="4">#REF!</definedName>
    <definedName name="PACKAGE" localSheetId="3">#REF!</definedName>
    <definedName name="PACKAGE" localSheetId="5">#REF!</definedName>
    <definedName name="PACKAGE">#REF!</definedName>
    <definedName name="Package_number" localSheetId="4">#REF!</definedName>
    <definedName name="Package_number" localSheetId="3">#REF!</definedName>
    <definedName name="Package_number" localSheetId="5">#REF!</definedName>
    <definedName name="Package_number">#REF!</definedName>
    <definedName name="Page" localSheetId="2">#REF!</definedName>
    <definedName name="Page" localSheetId="1">#REF!</definedName>
    <definedName name="Page" localSheetId="0">#REF!</definedName>
    <definedName name="Page" localSheetId="4">#REF!</definedName>
    <definedName name="Page" localSheetId="3">#REF!</definedName>
    <definedName name="Page" localSheetId="5">#REF!</definedName>
    <definedName name="Page">#REF!</definedName>
    <definedName name="PAGE1" localSheetId="2">#REF!</definedName>
    <definedName name="PAGE1" localSheetId="1">#REF!</definedName>
    <definedName name="PAGE1" localSheetId="0">#REF!</definedName>
    <definedName name="PAGE1" localSheetId="4">#REF!</definedName>
    <definedName name="PAGE1" localSheetId="3">#REF!</definedName>
    <definedName name="PAGE1" localSheetId="5">#REF!</definedName>
    <definedName name="PAGE1">#REF!</definedName>
    <definedName name="page10" localSheetId="4">#REF!</definedName>
    <definedName name="page10" localSheetId="3">#REF!</definedName>
    <definedName name="page10" localSheetId="5">#REF!</definedName>
    <definedName name="page10">#REF!</definedName>
    <definedName name="page100" localSheetId="4">#REF!</definedName>
    <definedName name="page100" localSheetId="3">#REF!</definedName>
    <definedName name="page100" localSheetId="5">#REF!</definedName>
    <definedName name="page100">#REF!</definedName>
    <definedName name="page101" localSheetId="4">#REF!</definedName>
    <definedName name="page101" localSheetId="3">#REF!</definedName>
    <definedName name="page101" localSheetId="5">#REF!</definedName>
    <definedName name="page101">#REF!</definedName>
    <definedName name="page102" localSheetId="4">#REF!</definedName>
    <definedName name="page102" localSheetId="3">#REF!</definedName>
    <definedName name="page102" localSheetId="5">#REF!</definedName>
    <definedName name="page102">#REF!</definedName>
    <definedName name="page103" localSheetId="4">#REF!</definedName>
    <definedName name="page103" localSheetId="3">#REF!</definedName>
    <definedName name="page103" localSheetId="5">#REF!</definedName>
    <definedName name="page103">#REF!</definedName>
    <definedName name="page104" localSheetId="4">#REF!</definedName>
    <definedName name="page104" localSheetId="3">#REF!</definedName>
    <definedName name="page104" localSheetId="5">#REF!</definedName>
    <definedName name="page104">#REF!</definedName>
    <definedName name="page105" localSheetId="4">#REF!</definedName>
    <definedName name="page105" localSheetId="3">#REF!</definedName>
    <definedName name="page105" localSheetId="5">#REF!</definedName>
    <definedName name="page105">#REF!</definedName>
    <definedName name="page106" localSheetId="4">#REF!</definedName>
    <definedName name="page106" localSheetId="3">#REF!</definedName>
    <definedName name="page106" localSheetId="5">#REF!</definedName>
    <definedName name="page106">#REF!</definedName>
    <definedName name="PAGE11" localSheetId="4">#REF!</definedName>
    <definedName name="PAGE11" localSheetId="3">#REF!</definedName>
    <definedName name="PAGE11" localSheetId="5">#REF!</definedName>
    <definedName name="PAGE11">#REF!</definedName>
    <definedName name="page12" localSheetId="4">#REF!</definedName>
    <definedName name="page12" localSheetId="3">#REF!</definedName>
    <definedName name="page12" localSheetId="5">#REF!</definedName>
    <definedName name="page12">#REF!</definedName>
    <definedName name="page13" localSheetId="4">#REF!</definedName>
    <definedName name="page13" localSheetId="3">#REF!</definedName>
    <definedName name="page13" localSheetId="5">#REF!</definedName>
    <definedName name="page13">#REF!</definedName>
    <definedName name="PAGE14" localSheetId="4">#REF!</definedName>
    <definedName name="PAGE14" localSheetId="3">#REF!</definedName>
    <definedName name="PAGE14" localSheetId="5">#REF!</definedName>
    <definedName name="PAGE14">#REF!</definedName>
    <definedName name="page15" localSheetId="4">#REF!</definedName>
    <definedName name="page15" localSheetId="3">#REF!</definedName>
    <definedName name="page15" localSheetId="5">#REF!</definedName>
    <definedName name="page15">#REF!</definedName>
    <definedName name="page16" localSheetId="4">#REF!</definedName>
    <definedName name="page16" localSheetId="3">#REF!</definedName>
    <definedName name="page16" localSheetId="5">#REF!</definedName>
    <definedName name="page16">#REF!</definedName>
    <definedName name="page1601" localSheetId="4">#REF!</definedName>
    <definedName name="page1601" localSheetId="3">#REF!</definedName>
    <definedName name="page1601" localSheetId="5">#REF!</definedName>
    <definedName name="page1601">#REF!</definedName>
    <definedName name="page1602" localSheetId="4">#REF!</definedName>
    <definedName name="page1602" localSheetId="3">#REF!</definedName>
    <definedName name="page1602" localSheetId="5">#REF!</definedName>
    <definedName name="page1602">#REF!</definedName>
    <definedName name="page1603" localSheetId="4">#REF!</definedName>
    <definedName name="page1603" localSheetId="3">#REF!</definedName>
    <definedName name="page1603" localSheetId="5">#REF!</definedName>
    <definedName name="page1603">#REF!</definedName>
    <definedName name="page1604" localSheetId="4">#REF!</definedName>
    <definedName name="page1604" localSheetId="3">#REF!</definedName>
    <definedName name="page1604" localSheetId="5">#REF!</definedName>
    <definedName name="page1604">#REF!</definedName>
    <definedName name="page1605" localSheetId="4">#REF!</definedName>
    <definedName name="page1605" localSheetId="3">#REF!</definedName>
    <definedName name="page1605" localSheetId="5">#REF!</definedName>
    <definedName name="page1605">#REF!</definedName>
    <definedName name="page1606" localSheetId="4">#REF!</definedName>
    <definedName name="page1606" localSheetId="3">#REF!</definedName>
    <definedName name="page1606" localSheetId="5">#REF!</definedName>
    <definedName name="page1606">#REF!</definedName>
    <definedName name="page1607" localSheetId="4">#REF!</definedName>
    <definedName name="page1607" localSheetId="3">#REF!</definedName>
    <definedName name="page1607" localSheetId="5">#REF!</definedName>
    <definedName name="page1607">#REF!</definedName>
    <definedName name="page1608" localSheetId="4">#REF!</definedName>
    <definedName name="page1608" localSheetId="3">#REF!</definedName>
    <definedName name="page1608" localSheetId="5">#REF!</definedName>
    <definedName name="page1608">#REF!</definedName>
    <definedName name="page1609" localSheetId="4">#REF!</definedName>
    <definedName name="page1609" localSheetId="3">#REF!</definedName>
    <definedName name="page1609" localSheetId="5">#REF!</definedName>
    <definedName name="page1609">#REF!</definedName>
    <definedName name="page1610" localSheetId="4">#REF!</definedName>
    <definedName name="page1610" localSheetId="3">#REF!</definedName>
    <definedName name="page1610" localSheetId="5">#REF!</definedName>
    <definedName name="page1610">#REF!</definedName>
    <definedName name="page1611" localSheetId="4">#REF!</definedName>
    <definedName name="page1611" localSheetId="3">#REF!</definedName>
    <definedName name="page1611" localSheetId="5">#REF!</definedName>
    <definedName name="page1611">#REF!</definedName>
    <definedName name="page1612" localSheetId="4">#REF!</definedName>
    <definedName name="page1612" localSheetId="3">#REF!</definedName>
    <definedName name="page1612" localSheetId="5">#REF!</definedName>
    <definedName name="page1612">#REF!</definedName>
    <definedName name="page1613" localSheetId="4">#REF!</definedName>
    <definedName name="page1613" localSheetId="3">#REF!</definedName>
    <definedName name="page1613" localSheetId="5">#REF!</definedName>
    <definedName name="page1613">#REF!</definedName>
    <definedName name="page1614" localSheetId="4">#REF!</definedName>
    <definedName name="page1614" localSheetId="3">#REF!</definedName>
    <definedName name="page1614" localSheetId="5">#REF!</definedName>
    <definedName name="page1614">#REF!</definedName>
    <definedName name="page1615" localSheetId="4">#REF!</definedName>
    <definedName name="page1615" localSheetId="3">#REF!</definedName>
    <definedName name="page1615" localSheetId="5">#REF!</definedName>
    <definedName name="page1615">#REF!</definedName>
    <definedName name="page1616" localSheetId="4">#REF!</definedName>
    <definedName name="page1616" localSheetId="3">#REF!</definedName>
    <definedName name="page1616" localSheetId="5">#REF!</definedName>
    <definedName name="page1616">#REF!</definedName>
    <definedName name="page1617" localSheetId="4">#REF!</definedName>
    <definedName name="page1617" localSheetId="3">#REF!</definedName>
    <definedName name="page1617" localSheetId="5">#REF!</definedName>
    <definedName name="page1617">#REF!</definedName>
    <definedName name="page1618" localSheetId="4">#REF!</definedName>
    <definedName name="page1618" localSheetId="3">#REF!</definedName>
    <definedName name="page1618" localSheetId="5">#REF!</definedName>
    <definedName name="page1618">#REF!</definedName>
    <definedName name="page1619" localSheetId="4">#REF!</definedName>
    <definedName name="page1619" localSheetId="3">#REF!</definedName>
    <definedName name="page1619" localSheetId="5">#REF!</definedName>
    <definedName name="page1619">#REF!</definedName>
    <definedName name="page1620" localSheetId="4">#REF!</definedName>
    <definedName name="page1620" localSheetId="3">#REF!</definedName>
    <definedName name="page1620" localSheetId="5">#REF!</definedName>
    <definedName name="page1620">#REF!</definedName>
    <definedName name="page1621" localSheetId="4">#REF!</definedName>
    <definedName name="page1621" localSheetId="3">#REF!</definedName>
    <definedName name="page1621" localSheetId="5">#REF!</definedName>
    <definedName name="page1621">#REF!</definedName>
    <definedName name="page1622" localSheetId="4">#REF!</definedName>
    <definedName name="page1622" localSheetId="3">#REF!</definedName>
    <definedName name="page1622" localSheetId="5">#REF!</definedName>
    <definedName name="page1622">#REF!</definedName>
    <definedName name="page1623" localSheetId="4">#REF!</definedName>
    <definedName name="page1623" localSheetId="3">#REF!</definedName>
    <definedName name="page1623" localSheetId="5">#REF!</definedName>
    <definedName name="page1623">#REF!</definedName>
    <definedName name="page1624" localSheetId="4">#REF!</definedName>
    <definedName name="page1624" localSheetId="3">#REF!</definedName>
    <definedName name="page1624" localSheetId="5">#REF!</definedName>
    <definedName name="page1624">#REF!</definedName>
    <definedName name="page1625" localSheetId="4">#REF!</definedName>
    <definedName name="page1625" localSheetId="3">#REF!</definedName>
    <definedName name="page1625" localSheetId="5">#REF!</definedName>
    <definedName name="page1625">#REF!</definedName>
    <definedName name="page1626" localSheetId="4">#REF!</definedName>
    <definedName name="page1626" localSheetId="3">#REF!</definedName>
    <definedName name="page1626" localSheetId="5">#REF!</definedName>
    <definedName name="page1626">#REF!</definedName>
    <definedName name="page1627" localSheetId="4">#REF!</definedName>
    <definedName name="page1627" localSheetId="3">#REF!</definedName>
    <definedName name="page1627" localSheetId="5">#REF!</definedName>
    <definedName name="page1627">#REF!</definedName>
    <definedName name="page1628" localSheetId="4">#REF!</definedName>
    <definedName name="page1628" localSheetId="3">#REF!</definedName>
    <definedName name="page1628" localSheetId="5">#REF!</definedName>
    <definedName name="page1628">#REF!</definedName>
    <definedName name="page1629" localSheetId="4">#REF!</definedName>
    <definedName name="page1629" localSheetId="3">#REF!</definedName>
    <definedName name="page1629" localSheetId="5">#REF!</definedName>
    <definedName name="page1629">#REF!</definedName>
    <definedName name="page1630" localSheetId="4">#REF!</definedName>
    <definedName name="page1630" localSheetId="3">#REF!</definedName>
    <definedName name="page1630" localSheetId="5">#REF!</definedName>
    <definedName name="page1630">#REF!</definedName>
    <definedName name="page1631" localSheetId="4">#REF!</definedName>
    <definedName name="page1631" localSheetId="3">#REF!</definedName>
    <definedName name="page1631" localSheetId="5">#REF!</definedName>
    <definedName name="page1631">#REF!</definedName>
    <definedName name="page1632" localSheetId="4">#REF!</definedName>
    <definedName name="page1632" localSheetId="3">#REF!</definedName>
    <definedName name="page1632" localSheetId="5">#REF!</definedName>
    <definedName name="page1632">#REF!</definedName>
    <definedName name="page1633" localSheetId="4">#REF!</definedName>
    <definedName name="page1633" localSheetId="3">#REF!</definedName>
    <definedName name="page1633" localSheetId="5">#REF!</definedName>
    <definedName name="page1633">#REF!</definedName>
    <definedName name="page1634" localSheetId="4">#REF!</definedName>
    <definedName name="page1634" localSheetId="3">#REF!</definedName>
    <definedName name="page1634" localSheetId="5">#REF!</definedName>
    <definedName name="page1634">#REF!</definedName>
    <definedName name="page1635" localSheetId="4">#REF!</definedName>
    <definedName name="page1635" localSheetId="3">#REF!</definedName>
    <definedName name="page1635" localSheetId="5">#REF!</definedName>
    <definedName name="page1635">#REF!</definedName>
    <definedName name="page1636" localSheetId="4">#REF!</definedName>
    <definedName name="page1636" localSheetId="3">#REF!</definedName>
    <definedName name="page1636" localSheetId="5">#REF!</definedName>
    <definedName name="page1636">#REF!</definedName>
    <definedName name="page1637" localSheetId="4">#REF!</definedName>
    <definedName name="page1637" localSheetId="3">#REF!</definedName>
    <definedName name="page1637" localSheetId="5">#REF!</definedName>
    <definedName name="page1637">#REF!</definedName>
    <definedName name="page1638" localSheetId="4">#REF!</definedName>
    <definedName name="page1638" localSheetId="3">#REF!</definedName>
    <definedName name="page1638" localSheetId="5">#REF!</definedName>
    <definedName name="page1638">#REF!</definedName>
    <definedName name="page17" localSheetId="4">#REF!</definedName>
    <definedName name="page17" localSheetId="3">#REF!</definedName>
    <definedName name="page17" localSheetId="5">#REF!</definedName>
    <definedName name="page17">#REF!</definedName>
    <definedName name="page18" localSheetId="4">#REF!</definedName>
    <definedName name="page18" localSheetId="3">#REF!</definedName>
    <definedName name="page18" localSheetId="5">#REF!</definedName>
    <definedName name="page18">#REF!</definedName>
    <definedName name="page19" localSheetId="4">#REF!</definedName>
    <definedName name="page19" localSheetId="3">#REF!</definedName>
    <definedName name="page19" localSheetId="5">#REF!</definedName>
    <definedName name="page19">#REF!</definedName>
    <definedName name="PAGE2" localSheetId="4">#REF!</definedName>
    <definedName name="PAGE2" localSheetId="3">#REF!</definedName>
    <definedName name="PAGE2" localSheetId="5">#REF!</definedName>
    <definedName name="PAGE2">#REF!</definedName>
    <definedName name="page20" localSheetId="4">#REF!</definedName>
    <definedName name="page20" localSheetId="3">#REF!</definedName>
    <definedName name="page20" localSheetId="5">#REF!</definedName>
    <definedName name="page20">#REF!</definedName>
    <definedName name="page21" localSheetId="4">#REF!</definedName>
    <definedName name="page21" localSheetId="3">#REF!</definedName>
    <definedName name="page21" localSheetId="5">#REF!</definedName>
    <definedName name="page21">#REF!</definedName>
    <definedName name="page22" localSheetId="4">#REF!</definedName>
    <definedName name="page22" localSheetId="3">#REF!</definedName>
    <definedName name="page22" localSheetId="5">#REF!</definedName>
    <definedName name="page22">#REF!</definedName>
    <definedName name="page23" localSheetId="4">#REF!</definedName>
    <definedName name="page23" localSheetId="3">#REF!</definedName>
    <definedName name="page23" localSheetId="5">#REF!</definedName>
    <definedName name="page23">#REF!</definedName>
    <definedName name="page24" localSheetId="4">#REF!</definedName>
    <definedName name="page24" localSheetId="3">#REF!</definedName>
    <definedName name="page24" localSheetId="5">#REF!</definedName>
    <definedName name="page24">#REF!</definedName>
    <definedName name="page25" localSheetId="4">#REF!</definedName>
    <definedName name="page25" localSheetId="3">#REF!</definedName>
    <definedName name="page25" localSheetId="5">#REF!</definedName>
    <definedName name="page25">#REF!</definedName>
    <definedName name="page26" localSheetId="4">#REF!</definedName>
    <definedName name="page26" localSheetId="3">#REF!</definedName>
    <definedName name="page26" localSheetId="5">#REF!</definedName>
    <definedName name="page26">#REF!</definedName>
    <definedName name="page27" localSheetId="4">#REF!</definedName>
    <definedName name="page27" localSheetId="3">#REF!</definedName>
    <definedName name="page27" localSheetId="5">#REF!</definedName>
    <definedName name="page27">#REF!</definedName>
    <definedName name="page28" localSheetId="4">#REF!</definedName>
    <definedName name="page28" localSheetId="3">#REF!</definedName>
    <definedName name="page28" localSheetId="5">#REF!</definedName>
    <definedName name="page28">#REF!</definedName>
    <definedName name="page29" localSheetId="4">#REF!</definedName>
    <definedName name="page29" localSheetId="3">#REF!</definedName>
    <definedName name="page29" localSheetId="5">#REF!</definedName>
    <definedName name="page29">#REF!</definedName>
    <definedName name="PAGE3" localSheetId="4">#REF!</definedName>
    <definedName name="PAGE3" localSheetId="3">#REF!</definedName>
    <definedName name="PAGE3" localSheetId="5">#REF!</definedName>
    <definedName name="PAGE3">#REF!</definedName>
    <definedName name="page30" localSheetId="4">#REF!</definedName>
    <definedName name="page30" localSheetId="3">#REF!</definedName>
    <definedName name="page30" localSheetId="5">#REF!</definedName>
    <definedName name="page30">#REF!</definedName>
    <definedName name="page31" localSheetId="2">#REF!</definedName>
    <definedName name="page31" localSheetId="1">#REF!</definedName>
    <definedName name="page31" localSheetId="0">#REF!</definedName>
    <definedName name="page31" localSheetId="4">#REF!</definedName>
    <definedName name="page31" localSheetId="3">#REF!</definedName>
    <definedName name="page31" localSheetId="5">#REF!</definedName>
    <definedName name="page31">#REF!</definedName>
    <definedName name="page32" localSheetId="2">#REF!</definedName>
    <definedName name="page32" localSheetId="1">#REF!</definedName>
    <definedName name="page32" localSheetId="0">#REF!</definedName>
    <definedName name="page32" localSheetId="4">#REF!</definedName>
    <definedName name="page32" localSheetId="3">#REF!</definedName>
    <definedName name="page32" localSheetId="5">#REF!</definedName>
    <definedName name="page32">#REF!</definedName>
    <definedName name="page33" localSheetId="4">#REF!</definedName>
    <definedName name="page33" localSheetId="3">#REF!</definedName>
    <definedName name="page33" localSheetId="5">#REF!</definedName>
    <definedName name="page33">#REF!</definedName>
    <definedName name="page34" localSheetId="4">#REF!</definedName>
    <definedName name="page34" localSheetId="3">#REF!</definedName>
    <definedName name="page34" localSheetId="5">#REF!</definedName>
    <definedName name="page34">#REF!</definedName>
    <definedName name="page35" localSheetId="4">#REF!</definedName>
    <definedName name="page35" localSheetId="3">#REF!</definedName>
    <definedName name="page35" localSheetId="5">#REF!</definedName>
    <definedName name="page35">#REF!</definedName>
    <definedName name="page36" localSheetId="4">#REF!</definedName>
    <definedName name="page36" localSheetId="3">#REF!</definedName>
    <definedName name="page36" localSheetId="5">#REF!</definedName>
    <definedName name="page36">#REF!</definedName>
    <definedName name="page37" localSheetId="4">#REF!</definedName>
    <definedName name="page37" localSheetId="3">#REF!</definedName>
    <definedName name="page37" localSheetId="5">#REF!</definedName>
    <definedName name="page37">#REF!</definedName>
    <definedName name="page38" localSheetId="4">#REF!</definedName>
    <definedName name="page38" localSheetId="3">#REF!</definedName>
    <definedName name="page38" localSheetId="5">#REF!</definedName>
    <definedName name="page38">#REF!</definedName>
    <definedName name="page39" localSheetId="4">#REF!</definedName>
    <definedName name="page39" localSheetId="3">#REF!</definedName>
    <definedName name="page39" localSheetId="5">#REF!</definedName>
    <definedName name="page39">#REF!</definedName>
    <definedName name="PAGE4" localSheetId="4">#REF!</definedName>
    <definedName name="PAGE4" localSheetId="3">#REF!</definedName>
    <definedName name="PAGE4" localSheetId="5">#REF!</definedName>
    <definedName name="PAGE4">#REF!</definedName>
    <definedName name="page40" localSheetId="4">#REF!</definedName>
    <definedName name="page40" localSheetId="3">#REF!</definedName>
    <definedName name="page40" localSheetId="5">#REF!</definedName>
    <definedName name="page40">#REF!</definedName>
    <definedName name="page41" localSheetId="2">#REF!</definedName>
    <definedName name="page41" localSheetId="1">#REF!</definedName>
    <definedName name="page41" localSheetId="0">#REF!</definedName>
    <definedName name="page41" localSheetId="4">#REF!</definedName>
    <definedName name="page41" localSheetId="3">#REF!</definedName>
    <definedName name="page41" localSheetId="5">#REF!</definedName>
    <definedName name="page41">#REF!</definedName>
    <definedName name="page42" localSheetId="2">#REF!</definedName>
    <definedName name="page42" localSheetId="1">#REF!</definedName>
    <definedName name="page42" localSheetId="0">#REF!</definedName>
    <definedName name="page42" localSheetId="4">#REF!</definedName>
    <definedName name="page42" localSheetId="3">#REF!</definedName>
    <definedName name="page42" localSheetId="5">#REF!</definedName>
    <definedName name="page42">#REF!</definedName>
    <definedName name="page43" localSheetId="4">#REF!</definedName>
    <definedName name="page43" localSheetId="3">#REF!</definedName>
    <definedName name="page43" localSheetId="5">#REF!</definedName>
    <definedName name="page43">#REF!</definedName>
    <definedName name="page44" localSheetId="4">#REF!</definedName>
    <definedName name="page44" localSheetId="3">#REF!</definedName>
    <definedName name="page44" localSheetId="5">#REF!</definedName>
    <definedName name="page44">#REF!</definedName>
    <definedName name="page45" localSheetId="4">#REF!</definedName>
    <definedName name="page45" localSheetId="3">#REF!</definedName>
    <definedName name="page45" localSheetId="5">#REF!</definedName>
    <definedName name="page45">#REF!</definedName>
    <definedName name="page46" localSheetId="4">#REF!</definedName>
    <definedName name="page46" localSheetId="3">#REF!</definedName>
    <definedName name="page46" localSheetId="5">#REF!</definedName>
    <definedName name="page46">#REF!</definedName>
    <definedName name="page47" localSheetId="4">#REF!</definedName>
    <definedName name="page47" localSheetId="3">#REF!</definedName>
    <definedName name="page47" localSheetId="5">#REF!</definedName>
    <definedName name="page47">#REF!</definedName>
    <definedName name="page48" localSheetId="4">#REF!</definedName>
    <definedName name="page48" localSheetId="3">#REF!</definedName>
    <definedName name="page48" localSheetId="5">#REF!</definedName>
    <definedName name="page48">#REF!</definedName>
    <definedName name="page49" localSheetId="4">#REF!</definedName>
    <definedName name="page49" localSheetId="3">#REF!</definedName>
    <definedName name="page49" localSheetId="5">#REF!</definedName>
    <definedName name="page49">#REF!</definedName>
    <definedName name="PAGE5" localSheetId="4">#REF!</definedName>
    <definedName name="PAGE5" localSheetId="3">#REF!</definedName>
    <definedName name="PAGE5" localSheetId="5">#REF!</definedName>
    <definedName name="PAGE5">#REF!</definedName>
    <definedName name="PAGE5_21" localSheetId="4">#REF!</definedName>
    <definedName name="PAGE5_21" localSheetId="3">#REF!</definedName>
    <definedName name="PAGE5_21" localSheetId="5">#REF!</definedName>
    <definedName name="PAGE5_21">#REF!</definedName>
    <definedName name="page50" localSheetId="4">#REF!</definedName>
    <definedName name="page50" localSheetId="3">#REF!</definedName>
    <definedName name="page50" localSheetId="5">#REF!</definedName>
    <definedName name="page50">#REF!</definedName>
    <definedName name="page51" localSheetId="4">#REF!</definedName>
    <definedName name="page51" localSheetId="3">#REF!</definedName>
    <definedName name="page51" localSheetId="5">#REF!</definedName>
    <definedName name="page51">#REF!</definedName>
    <definedName name="page52" localSheetId="4">#REF!</definedName>
    <definedName name="page52" localSheetId="3">#REF!</definedName>
    <definedName name="page52" localSheetId="5">#REF!</definedName>
    <definedName name="page52">#REF!</definedName>
    <definedName name="page53" localSheetId="4">#REF!</definedName>
    <definedName name="page53" localSheetId="3">#REF!</definedName>
    <definedName name="page53" localSheetId="5">#REF!</definedName>
    <definedName name="page53">#REF!</definedName>
    <definedName name="page54" localSheetId="4">#REF!</definedName>
    <definedName name="page54" localSheetId="3">#REF!</definedName>
    <definedName name="page54" localSheetId="5">#REF!</definedName>
    <definedName name="page54">#REF!</definedName>
    <definedName name="page55" localSheetId="4">#REF!</definedName>
    <definedName name="page55" localSheetId="3">#REF!</definedName>
    <definedName name="page55" localSheetId="5">#REF!</definedName>
    <definedName name="page55">#REF!</definedName>
    <definedName name="page56" localSheetId="4">#REF!</definedName>
    <definedName name="page56" localSheetId="3">#REF!</definedName>
    <definedName name="page56" localSheetId="5">#REF!</definedName>
    <definedName name="page56">#REF!</definedName>
    <definedName name="page57" localSheetId="4">#REF!</definedName>
    <definedName name="page57" localSheetId="3">#REF!</definedName>
    <definedName name="page57" localSheetId="5">#REF!</definedName>
    <definedName name="page57">#REF!</definedName>
    <definedName name="page58" localSheetId="4">#REF!</definedName>
    <definedName name="page58" localSheetId="3">#REF!</definedName>
    <definedName name="page58" localSheetId="5">#REF!</definedName>
    <definedName name="page58">#REF!</definedName>
    <definedName name="page59" localSheetId="4">#REF!</definedName>
    <definedName name="page59" localSheetId="3">#REF!</definedName>
    <definedName name="page59" localSheetId="5">#REF!</definedName>
    <definedName name="page59">#REF!</definedName>
    <definedName name="PAGE6" localSheetId="4">#REF!</definedName>
    <definedName name="PAGE6" localSheetId="3">#REF!</definedName>
    <definedName name="PAGE6" localSheetId="5">#REF!</definedName>
    <definedName name="PAGE6">#REF!</definedName>
    <definedName name="page60" localSheetId="4">#REF!</definedName>
    <definedName name="page60" localSheetId="3">#REF!</definedName>
    <definedName name="page60" localSheetId="5">#REF!</definedName>
    <definedName name="page60">#REF!</definedName>
    <definedName name="page61" localSheetId="4">#REF!</definedName>
    <definedName name="page61" localSheetId="3">#REF!</definedName>
    <definedName name="page61" localSheetId="5">#REF!</definedName>
    <definedName name="page61">#REF!</definedName>
    <definedName name="page62" localSheetId="4">#REF!</definedName>
    <definedName name="page62" localSheetId="3">#REF!</definedName>
    <definedName name="page62" localSheetId="5">#REF!</definedName>
    <definedName name="page62">#REF!</definedName>
    <definedName name="page63" localSheetId="4">#REF!</definedName>
    <definedName name="page63" localSheetId="3">#REF!</definedName>
    <definedName name="page63" localSheetId="5">#REF!</definedName>
    <definedName name="page63">#REF!</definedName>
    <definedName name="page64" localSheetId="4">#REF!</definedName>
    <definedName name="page64" localSheetId="3">#REF!</definedName>
    <definedName name="page64" localSheetId="5">#REF!</definedName>
    <definedName name="page64">#REF!</definedName>
    <definedName name="page65" localSheetId="4">#REF!</definedName>
    <definedName name="page65" localSheetId="3">#REF!</definedName>
    <definedName name="page65" localSheetId="5">#REF!</definedName>
    <definedName name="page65">#REF!</definedName>
    <definedName name="page66" localSheetId="4">#REF!</definedName>
    <definedName name="page66" localSheetId="3">#REF!</definedName>
    <definedName name="page66" localSheetId="5">#REF!</definedName>
    <definedName name="page66">#REF!</definedName>
    <definedName name="page67" localSheetId="4">#REF!</definedName>
    <definedName name="page67" localSheetId="3">#REF!</definedName>
    <definedName name="page67" localSheetId="5">#REF!</definedName>
    <definedName name="page67">#REF!</definedName>
    <definedName name="page68" localSheetId="4">#REF!</definedName>
    <definedName name="page68" localSheetId="3">#REF!</definedName>
    <definedName name="page68" localSheetId="5">#REF!</definedName>
    <definedName name="page68">#REF!</definedName>
    <definedName name="page69" localSheetId="4">#REF!</definedName>
    <definedName name="page69" localSheetId="3">#REF!</definedName>
    <definedName name="page69" localSheetId="5">#REF!</definedName>
    <definedName name="page69">#REF!</definedName>
    <definedName name="PAGE7" localSheetId="4">#REF!</definedName>
    <definedName name="PAGE7" localSheetId="3">#REF!</definedName>
    <definedName name="PAGE7" localSheetId="5">#REF!</definedName>
    <definedName name="PAGE7">#REF!</definedName>
    <definedName name="page70" localSheetId="4">#REF!</definedName>
    <definedName name="page70" localSheetId="3">#REF!</definedName>
    <definedName name="page70" localSheetId="5">#REF!</definedName>
    <definedName name="page70">#REF!</definedName>
    <definedName name="page71" localSheetId="4">#REF!</definedName>
    <definedName name="page71" localSheetId="3">#REF!</definedName>
    <definedName name="page71" localSheetId="5">#REF!</definedName>
    <definedName name="page71">#REF!</definedName>
    <definedName name="page72" localSheetId="4">#REF!</definedName>
    <definedName name="page72" localSheetId="3">#REF!</definedName>
    <definedName name="page72" localSheetId="5">#REF!</definedName>
    <definedName name="page72">#REF!</definedName>
    <definedName name="page73" localSheetId="4">#REF!</definedName>
    <definedName name="page73" localSheetId="3">#REF!</definedName>
    <definedName name="page73" localSheetId="5">#REF!</definedName>
    <definedName name="page73">#REF!</definedName>
    <definedName name="page74" localSheetId="4">#REF!</definedName>
    <definedName name="page74" localSheetId="3">#REF!</definedName>
    <definedName name="page74" localSheetId="5">#REF!</definedName>
    <definedName name="page74">#REF!</definedName>
    <definedName name="page75" localSheetId="4">#REF!</definedName>
    <definedName name="page75" localSheetId="3">#REF!</definedName>
    <definedName name="page75" localSheetId="5">#REF!</definedName>
    <definedName name="page75">#REF!</definedName>
    <definedName name="page76" localSheetId="4">#REF!</definedName>
    <definedName name="page76" localSheetId="3">#REF!</definedName>
    <definedName name="page76" localSheetId="5">#REF!</definedName>
    <definedName name="page76">#REF!</definedName>
    <definedName name="page77" localSheetId="4">#REF!</definedName>
    <definedName name="page77" localSheetId="3">#REF!</definedName>
    <definedName name="page77" localSheetId="5">#REF!</definedName>
    <definedName name="page77">#REF!</definedName>
    <definedName name="page78" localSheetId="4">#REF!</definedName>
    <definedName name="page78" localSheetId="3">#REF!</definedName>
    <definedName name="page78" localSheetId="5">#REF!</definedName>
    <definedName name="page78">#REF!</definedName>
    <definedName name="page79" localSheetId="4">#REF!</definedName>
    <definedName name="page79" localSheetId="3">#REF!</definedName>
    <definedName name="page79" localSheetId="5">#REF!</definedName>
    <definedName name="page79">#REF!</definedName>
    <definedName name="page8" localSheetId="4">#REF!</definedName>
    <definedName name="page8" localSheetId="3">#REF!</definedName>
    <definedName name="page8" localSheetId="5">#REF!</definedName>
    <definedName name="page8">#REF!</definedName>
    <definedName name="page80" localSheetId="4">#REF!</definedName>
    <definedName name="page80" localSheetId="3">#REF!</definedName>
    <definedName name="page80" localSheetId="5">#REF!</definedName>
    <definedName name="page80">#REF!</definedName>
    <definedName name="page81" localSheetId="4">#REF!</definedName>
    <definedName name="page81" localSheetId="3">#REF!</definedName>
    <definedName name="page81" localSheetId="5">#REF!</definedName>
    <definedName name="page81">#REF!</definedName>
    <definedName name="page82" localSheetId="4">#REF!</definedName>
    <definedName name="page82" localSheetId="3">#REF!</definedName>
    <definedName name="page82" localSheetId="5">#REF!</definedName>
    <definedName name="page82">#REF!</definedName>
    <definedName name="page83" localSheetId="4">#REF!</definedName>
    <definedName name="page83" localSheetId="3">#REF!</definedName>
    <definedName name="page83" localSheetId="5">#REF!</definedName>
    <definedName name="page83">#REF!</definedName>
    <definedName name="page84" localSheetId="4">#REF!</definedName>
    <definedName name="page84" localSheetId="3">#REF!</definedName>
    <definedName name="page84" localSheetId="5">#REF!</definedName>
    <definedName name="page84">#REF!</definedName>
    <definedName name="page85" localSheetId="4">#REF!</definedName>
    <definedName name="page85" localSheetId="3">#REF!</definedName>
    <definedName name="page85" localSheetId="5">#REF!</definedName>
    <definedName name="page85">#REF!</definedName>
    <definedName name="page86" localSheetId="4">#REF!</definedName>
    <definedName name="page86" localSheetId="3">#REF!</definedName>
    <definedName name="page86" localSheetId="5">#REF!</definedName>
    <definedName name="page86">#REF!</definedName>
    <definedName name="page87" localSheetId="4">#REF!</definedName>
    <definedName name="page87" localSheetId="3">#REF!</definedName>
    <definedName name="page87" localSheetId="5">#REF!</definedName>
    <definedName name="page87">#REF!</definedName>
    <definedName name="page88" localSheetId="4">#REF!</definedName>
    <definedName name="page88" localSheetId="3">#REF!</definedName>
    <definedName name="page88" localSheetId="5">#REF!</definedName>
    <definedName name="page88">#REF!</definedName>
    <definedName name="page89" localSheetId="4">#REF!</definedName>
    <definedName name="page89" localSheetId="3">#REF!</definedName>
    <definedName name="page89" localSheetId="5">#REF!</definedName>
    <definedName name="page89">#REF!</definedName>
    <definedName name="PAGE9" localSheetId="4">#REF!</definedName>
    <definedName name="PAGE9" localSheetId="3">#REF!</definedName>
    <definedName name="PAGE9" localSheetId="5">#REF!</definedName>
    <definedName name="PAGE9">#REF!</definedName>
    <definedName name="page90" localSheetId="4">#REF!</definedName>
    <definedName name="page90" localSheetId="3">#REF!</definedName>
    <definedName name="page90" localSheetId="5">#REF!</definedName>
    <definedName name="page90">#REF!</definedName>
    <definedName name="page91" localSheetId="4">#REF!</definedName>
    <definedName name="page91" localSheetId="3">#REF!</definedName>
    <definedName name="page91" localSheetId="5">#REF!</definedName>
    <definedName name="page91">#REF!</definedName>
    <definedName name="page92" localSheetId="4">#REF!</definedName>
    <definedName name="page92" localSheetId="3">#REF!</definedName>
    <definedName name="page92" localSheetId="5">#REF!</definedName>
    <definedName name="page92">#REF!</definedName>
    <definedName name="page93" localSheetId="4">#REF!</definedName>
    <definedName name="page93" localSheetId="3">#REF!</definedName>
    <definedName name="page93" localSheetId="5">#REF!</definedName>
    <definedName name="page93">#REF!</definedName>
    <definedName name="page94" localSheetId="4">#REF!</definedName>
    <definedName name="page94" localSheetId="3">#REF!</definedName>
    <definedName name="page94" localSheetId="5">#REF!</definedName>
    <definedName name="page94">#REF!</definedName>
    <definedName name="page95" localSheetId="4">#REF!</definedName>
    <definedName name="page95" localSheetId="3">#REF!</definedName>
    <definedName name="page95" localSheetId="5">#REF!</definedName>
    <definedName name="page95">#REF!</definedName>
    <definedName name="page96" localSheetId="4">#REF!</definedName>
    <definedName name="page96" localSheetId="3">#REF!</definedName>
    <definedName name="page96" localSheetId="5">#REF!</definedName>
    <definedName name="page96">#REF!</definedName>
    <definedName name="page97" localSheetId="4">#REF!</definedName>
    <definedName name="page97" localSheetId="3">#REF!</definedName>
    <definedName name="page97" localSheetId="5">#REF!</definedName>
    <definedName name="page97">#REF!</definedName>
    <definedName name="page98" localSheetId="4">#REF!</definedName>
    <definedName name="page98" localSheetId="3">#REF!</definedName>
    <definedName name="page98" localSheetId="5">#REF!</definedName>
    <definedName name="page98">#REF!</definedName>
    <definedName name="page99" localSheetId="4">#REF!</definedName>
    <definedName name="page99" localSheetId="3">#REF!</definedName>
    <definedName name="page99" localSheetId="5">#REF!</definedName>
    <definedName name="page99">#REF!</definedName>
    <definedName name="pagep1" localSheetId="2">#REF!</definedName>
    <definedName name="pagep1" localSheetId="1">#REF!</definedName>
    <definedName name="pagep1" localSheetId="0">#REF!</definedName>
    <definedName name="pagep1" localSheetId="4">#REF!</definedName>
    <definedName name="pagep1" localSheetId="3">#REF!</definedName>
    <definedName name="pagep1" localSheetId="5">#REF!</definedName>
    <definedName name="pagep1">#REF!</definedName>
    <definedName name="pagep2" localSheetId="2">#REF!</definedName>
    <definedName name="pagep2" localSheetId="1">#REF!</definedName>
    <definedName name="pagep2" localSheetId="0">#REF!</definedName>
    <definedName name="pagep2" localSheetId="4">#REF!</definedName>
    <definedName name="pagep2" localSheetId="3">#REF!</definedName>
    <definedName name="pagep2" localSheetId="5">#REF!</definedName>
    <definedName name="pagep2">#REF!</definedName>
    <definedName name="Paintcoat" localSheetId="4">#REF!</definedName>
    <definedName name="Paintcoat" localSheetId="3">#REF!</definedName>
    <definedName name="Paintcoat" localSheetId="5">#REF!</definedName>
    <definedName name="Paintcoat">#REF!</definedName>
    <definedName name="Palazzo_2005" localSheetId="2">#REF!</definedName>
    <definedName name="Palazzo_2005" localSheetId="1">#REF!</definedName>
    <definedName name="Palazzo_2005" localSheetId="0">#REF!</definedName>
    <definedName name="Palazzo_2005" localSheetId="4">#REF!</definedName>
    <definedName name="Palazzo_2005" localSheetId="3">#REF!</definedName>
    <definedName name="Palazzo_2005" localSheetId="5">#REF!</definedName>
    <definedName name="Palazzo_2005">#REF!</definedName>
    <definedName name="Palazzo_2006" localSheetId="2">#REF!</definedName>
    <definedName name="Palazzo_2006" localSheetId="1">#REF!</definedName>
    <definedName name="Palazzo_2006" localSheetId="0">#REF!</definedName>
    <definedName name="Palazzo_2006" localSheetId="4">#REF!</definedName>
    <definedName name="Palazzo_2006" localSheetId="3">#REF!</definedName>
    <definedName name="Palazzo_2006" localSheetId="5">#REF!</definedName>
    <definedName name="Palazzo_2006">#REF!</definedName>
    <definedName name="Palazzo_2007" localSheetId="2">#REF!</definedName>
    <definedName name="Palazzo_2007" localSheetId="1">#REF!</definedName>
    <definedName name="Palazzo_2007" localSheetId="0">#REF!</definedName>
    <definedName name="Palazzo_2007" localSheetId="4">#REF!</definedName>
    <definedName name="Palazzo_2007" localSheetId="3">#REF!</definedName>
    <definedName name="Palazzo_2007" localSheetId="5">#REF!</definedName>
    <definedName name="Palazzo_2007">#REF!</definedName>
    <definedName name="Palazzo_2008" localSheetId="2">#REF!</definedName>
    <definedName name="Palazzo_2008" localSheetId="1">#REF!</definedName>
    <definedName name="Palazzo_2008" localSheetId="0">#REF!</definedName>
    <definedName name="Palazzo_2008" localSheetId="4">#REF!</definedName>
    <definedName name="Palazzo_2008" localSheetId="3">#REF!</definedName>
    <definedName name="Palazzo_2008" localSheetId="5">#REF!</definedName>
    <definedName name="Palazzo_2008">#REF!</definedName>
    <definedName name="PAR" localSheetId="4">#REF!</definedName>
    <definedName name="PAR" localSheetId="3">#REF!</definedName>
    <definedName name="PAR" localSheetId="5">#REF!</definedName>
    <definedName name="PAR">#REF!</definedName>
    <definedName name="PAR_1" localSheetId="2">#REF!</definedName>
    <definedName name="PAR_1" localSheetId="1">#REF!</definedName>
    <definedName name="PAR_1" localSheetId="0">#REF!</definedName>
    <definedName name="PAR_1" localSheetId="4">#REF!</definedName>
    <definedName name="PAR_1" localSheetId="3">#REF!</definedName>
    <definedName name="PAR_1" localSheetId="5">#REF!</definedName>
    <definedName name="PAR_1">#REF!</definedName>
    <definedName name="PAR_2" localSheetId="2">#REF!</definedName>
    <definedName name="PAR_2" localSheetId="1">#REF!</definedName>
    <definedName name="PAR_2" localSheetId="0">#REF!</definedName>
    <definedName name="PAR_2" localSheetId="4">#REF!</definedName>
    <definedName name="PAR_2" localSheetId="3">#REF!</definedName>
    <definedName name="PAR_2" localSheetId="5">#REF!</definedName>
    <definedName name="PAR_2">#REF!</definedName>
    <definedName name="PAR_3" localSheetId="2">#REF!</definedName>
    <definedName name="PAR_3" localSheetId="1">#REF!</definedName>
    <definedName name="PAR_3" localSheetId="0">#REF!</definedName>
    <definedName name="PAR_3" localSheetId="4">#REF!</definedName>
    <definedName name="PAR_3" localSheetId="3">#REF!</definedName>
    <definedName name="PAR_3" localSheetId="5">#REF!</definedName>
    <definedName name="PAR_3">#REF!</definedName>
    <definedName name="PAR_4" localSheetId="2">#REF!</definedName>
    <definedName name="PAR_4" localSheetId="1">#REF!</definedName>
    <definedName name="PAR_4" localSheetId="0">#REF!</definedName>
    <definedName name="PAR_4" localSheetId="4">#REF!</definedName>
    <definedName name="PAR_4" localSheetId="3">#REF!</definedName>
    <definedName name="PAR_4" localSheetId="5">#REF!</definedName>
    <definedName name="PAR_4">#REF!</definedName>
    <definedName name="PAR_5" localSheetId="2">#REF!</definedName>
    <definedName name="PAR_5" localSheetId="1">#REF!</definedName>
    <definedName name="PAR_5" localSheetId="0">#REF!</definedName>
    <definedName name="PAR_5" localSheetId="4">#REF!</definedName>
    <definedName name="PAR_5" localSheetId="3">#REF!</definedName>
    <definedName name="PAR_5" localSheetId="5">#REF!</definedName>
    <definedName name="PAR_5">#REF!</definedName>
    <definedName name="PAR_6" localSheetId="2">#REF!</definedName>
    <definedName name="PAR_6" localSheetId="1">#REF!</definedName>
    <definedName name="PAR_6" localSheetId="0">#REF!</definedName>
    <definedName name="PAR_6" localSheetId="4">#REF!</definedName>
    <definedName name="PAR_6" localSheetId="3">#REF!</definedName>
    <definedName name="PAR_6" localSheetId="5">#REF!</definedName>
    <definedName name="PAR_6">#REF!</definedName>
    <definedName name="PAR_7" localSheetId="2">#REF!</definedName>
    <definedName name="PAR_7" localSheetId="1">#REF!</definedName>
    <definedName name="PAR_7" localSheetId="0">#REF!</definedName>
    <definedName name="PAR_7" localSheetId="4">#REF!</definedName>
    <definedName name="PAR_7" localSheetId="3">#REF!</definedName>
    <definedName name="PAR_7" localSheetId="5">#REF!</definedName>
    <definedName name="PAR_7">#REF!</definedName>
    <definedName name="PARENT" localSheetId="2">#REF!</definedName>
    <definedName name="PARENT" localSheetId="1">#REF!</definedName>
    <definedName name="PARENT" localSheetId="0">#REF!</definedName>
    <definedName name="PARENT" localSheetId="4">#REF!</definedName>
    <definedName name="PARENT" localSheetId="3">#REF!</definedName>
    <definedName name="PARENT" localSheetId="5">#REF!</definedName>
    <definedName name="PARENT">#REF!</definedName>
    <definedName name="PARENTB" localSheetId="2">#REF!</definedName>
    <definedName name="PARENTB" localSheetId="1">#REF!</definedName>
    <definedName name="PARENTB" localSheetId="0">#REF!</definedName>
    <definedName name="PARENTB" localSheetId="4">#REF!</definedName>
    <definedName name="PARENTB" localSheetId="3">#REF!</definedName>
    <definedName name="PARENTB" localSheetId="5">#REF!</definedName>
    <definedName name="PARENTB">#REF!</definedName>
    <definedName name="Parm_Civil_Build_01" localSheetId="2">#REF!</definedName>
    <definedName name="Parm_Civil_Build_01" localSheetId="1">#REF!</definedName>
    <definedName name="Parm_Civil_Build_01" localSheetId="0">#REF!</definedName>
    <definedName name="Parm_Civil_Build_01" localSheetId="4">#REF!</definedName>
    <definedName name="Parm_Civil_Build_01" localSheetId="3">#REF!</definedName>
    <definedName name="Parm_Civil_Build_01" localSheetId="5">#REF!</definedName>
    <definedName name="Parm_Civil_Build_01">#REF!</definedName>
    <definedName name="Parm_Civil_Build_02" localSheetId="2">#REF!</definedName>
    <definedName name="Parm_Civil_Build_02" localSheetId="1">#REF!</definedName>
    <definedName name="Parm_Civil_Build_02" localSheetId="0">#REF!</definedName>
    <definedName name="Parm_Civil_Build_02" localSheetId="4">#REF!</definedName>
    <definedName name="Parm_Civil_Build_02" localSheetId="3">#REF!</definedName>
    <definedName name="Parm_Civil_Build_02" localSheetId="5">#REF!</definedName>
    <definedName name="Parm_Civil_Build_02">#REF!</definedName>
    <definedName name="Parm_Civil_Build_03" localSheetId="2">#REF!</definedName>
    <definedName name="Parm_Civil_Build_03" localSheetId="1">#REF!</definedName>
    <definedName name="Parm_Civil_Build_03" localSheetId="0">#REF!</definedName>
    <definedName name="Parm_Civil_Build_03" localSheetId="4">#REF!</definedName>
    <definedName name="Parm_Civil_Build_03" localSheetId="3">#REF!</definedName>
    <definedName name="Parm_Civil_Build_03" localSheetId="5">#REF!</definedName>
    <definedName name="Parm_Civil_Build_03">#REF!</definedName>
    <definedName name="Parm_Civil_Build_04" localSheetId="2">#REF!</definedName>
    <definedName name="Parm_Civil_Build_04" localSheetId="1">#REF!</definedName>
    <definedName name="Parm_Civil_Build_04" localSheetId="0">#REF!</definedName>
    <definedName name="Parm_Civil_Build_04" localSheetId="4">#REF!</definedName>
    <definedName name="Parm_Civil_Build_04" localSheetId="3">#REF!</definedName>
    <definedName name="Parm_Civil_Build_04" localSheetId="5">#REF!</definedName>
    <definedName name="Parm_Civil_Build_04">#REF!</definedName>
    <definedName name="Parm_Civil_Build_05" localSheetId="2">#REF!</definedName>
    <definedName name="Parm_Civil_Build_05" localSheetId="1">#REF!</definedName>
    <definedName name="Parm_Civil_Build_05" localSheetId="0">#REF!</definedName>
    <definedName name="Parm_Civil_Build_05" localSheetId="4">#REF!</definedName>
    <definedName name="Parm_Civil_Build_05" localSheetId="3">#REF!</definedName>
    <definedName name="Parm_Civil_Build_05" localSheetId="5">#REF!</definedName>
    <definedName name="Parm_Civil_Build_05">#REF!</definedName>
    <definedName name="Parm_Civil_Build_06" localSheetId="2">#REF!</definedName>
    <definedName name="Parm_Civil_Build_06" localSheetId="1">#REF!</definedName>
    <definedName name="Parm_Civil_Build_06" localSheetId="0">#REF!</definedName>
    <definedName name="Parm_Civil_Build_06" localSheetId="4">#REF!</definedName>
    <definedName name="Parm_Civil_Build_06" localSheetId="3">#REF!</definedName>
    <definedName name="Parm_Civil_Build_06" localSheetId="5">#REF!</definedName>
    <definedName name="Parm_Civil_Build_06">#REF!</definedName>
    <definedName name="Parm_Civil_Build_07" localSheetId="2">#REF!</definedName>
    <definedName name="Parm_Civil_Build_07" localSheetId="1">#REF!</definedName>
    <definedName name="Parm_Civil_Build_07" localSheetId="0">#REF!</definedName>
    <definedName name="Parm_Civil_Build_07" localSheetId="4">#REF!</definedName>
    <definedName name="Parm_Civil_Build_07" localSheetId="3">#REF!</definedName>
    <definedName name="Parm_Civil_Build_07" localSheetId="5">#REF!</definedName>
    <definedName name="Parm_Civil_Build_07">#REF!</definedName>
    <definedName name="Parm_Civil_Build_08" localSheetId="2">#REF!</definedName>
    <definedName name="Parm_Civil_Build_08" localSheetId="1">#REF!</definedName>
    <definedName name="Parm_Civil_Build_08" localSheetId="0">#REF!</definedName>
    <definedName name="Parm_Civil_Build_08" localSheetId="4">#REF!</definedName>
    <definedName name="Parm_Civil_Build_08" localSheetId="3">#REF!</definedName>
    <definedName name="Parm_Civil_Build_08" localSheetId="5">#REF!</definedName>
    <definedName name="Parm_Civil_Build_08">#REF!</definedName>
    <definedName name="Parm_Civil_Build_09" localSheetId="2">#REF!</definedName>
    <definedName name="Parm_Civil_Build_09" localSheetId="1">#REF!</definedName>
    <definedName name="Parm_Civil_Build_09" localSheetId="0">#REF!</definedName>
    <definedName name="Parm_Civil_Build_09" localSheetId="4">#REF!</definedName>
    <definedName name="Parm_Civil_Build_09" localSheetId="3">#REF!</definedName>
    <definedName name="Parm_Civil_Build_09" localSheetId="5">#REF!</definedName>
    <definedName name="Parm_Civil_Build_09">#REF!</definedName>
    <definedName name="Parm_Civil_Build_10" localSheetId="2">#REF!</definedName>
    <definedName name="Parm_Civil_Build_10" localSheetId="1">#REF!</definedName>
    <definedName name="Parm_Civil_Build_10" localSheetId="0">#REF!</definedName>
    <definedName name="Parm_Civil_Build_10" localSheetId="4">#REF!</definedName>
    <definedName name="Parm_Civil_Build_10" localSheetId="3">#REF!</definedName>
    <definedName name="Parm_Civil_Build_10" localSheetId="5">#REF!</definedName>
    <definedName name="Parm_Civil_Build_10">#REF!</definedName>
    <definedName name="Parm_Civil_Build_11" localSheetId="2">#REF!</definedName>
    <definedName name="Parm_Civil_Build_11" localSheetId="1">#REF!</definedName>
    <definedName name="Parm_Civil_Build_11" localSheetId="0">#REF!</definedName>
    <definedName name="Parm_Civil_Build_11" localSheetId="4">#REF!</definedName>
    <definedName name="Parm_Civil_Build_11" localSheetId="3">#REF!</definedName>
    <definedName name="Parm_Civil_Build_11" localSheetId="5">#REF!</definedName>
    <definedName name="Parm_Civil_Build_11">#REF!</definedName>
    <definedName name="Parm_Civil_Build_12" localSheetId="2">#REF!</definedName>
    <definedName name="Parm_Civil_Build_12" localSheetId="1">#REF!</definedName>
    <definedName name="Parm_Civil_Build_12" localSheetId="0">#REF!</definedName>
    <definedName name="Parm_Civil_Build_12" localSheetId="4">#REF!</definedName>
    <definedName name="Parm_Civil_Build_12" localSheetId="3">#REF!</definedName>
    <definedName name="Parm_Civil_Build_12" localSheetId="5">#REF!</definedName>
    <definedName name="Parm_Civil_Build_12">#REF!</definedName>
    <definedName name="Parm_Civil_Build_13" localSheetId="2">#REF!</definedName>
    <definedName name="Parm_Civil_Build_13" localSheetId="1">#REF!</definedName>
    <definedName name="Parm_Civil_Build_13" localSheetId="0">#REF!</definedName>
    <definedName name="Parm_Civil_Build_13" localSheetId="4">#REF!</definedName>
    <definedName name="Parm_Civil_Build_13" localSheetId="3">#REF!</definedName>
    <definedName name="Parm_Civil_Build_13" localSheetId="5">#REF!</definedName>
    <definedName name="Parm_Civil_Build_13">#REF!</definedName>
    <definedName name="Parm_Civil_Build_14" localSheetId="2">#REF!</definedName>
    <definedName name="Parm_Civil_Build_14" localSheetId="1">#REF!</definedName>
    <definedName name="Parm_Civil_Build_14" localSheetId="0">#REF!</definedName>
    <definedName name="Parm_Civil_Build_14" localSheetId="4">#REF!</definedName>
    <definedName name="Parm_Civil_Build_14" localSheetId="3">#REF!</definedName>
    <definedName name="Parm_Civil_Build_14" localSheetId="5">#REF!</definedName>
    <definedName name="Parm_Civil_Build_14">#REF!</definedName>
    <definedName name="Parm_Civil_Build_15" localSheetId="2">#REF!</definedName>
    <definedName name="Parm_Civil_Build_15" localSheetId="1">#REF!</definedName>
    <definedName name="Parm_Civil_Build_15" localSheetId="0">#REF!</definedName>
    <definedName name="Parm_Civil_Build_15" localSheetId="4">#REF!</definedName>
    <definedName name="Parm_Civil_Build_15" localSheetId="3">#REF!</definedName>
    <definedName name="Parm_Civil_Build_15" localSheetId="5">#REF!</definedName>
    <definedName name="Parm_Civil_Build_15">#REF!</definedName>
    <definedName name="Parm_Civil_Build_16" localSheetId="2">#REF!</definedName>
    <definedName name="Parm_Civil_Build_16" localSheetId="1">#REF!</definedName>
    <definedName name="Parm_Civil_Build_16" localSheetId="0">#REF!</definedName>
    <definedName name="Parm_Civil_Build_16" localSheetId="4">#REF!</definedName>
    <definedName name="Parm_Civil_Build_16" localSheetId="3">#REF!</definedName>
    <definedName name="Parm_Civil_Build_16" localSheetId="5">#REF!</definedName>
    <definedName name="Parm_Civil_Build_16">#REF!</definedName>
    <definedName name="Parm_Civil_Build_17" localSheetId="2">#REF!</definedName>
    <definedName name="Parm_Civil_Build_17" localSheetId="1">#REF!</definedName>
    <definedName name="Parm_Civil_Build_17" localSheetId="0">#REF!</definedName>
    <definedName name="Parm_Civil_Build_17" localSheetId="4">#REF!</definedName>
    <definedName name="Parm_Civil_Build_17" localSheetId="3">#REF!</definedName>
    <definedName name="Parm_Civil_Build_17" localSheetId="5">#REF!</definedName>
    <definedName name="Parm_Civil_Build_17">#REF!</definedName>
    <definedName name="Parm_Civil_Build_18" localSheetId="2">#REF!</definedName>
    <definedName name="Parm_Civil_Build_18" localSheetId="1">#REF!</definedName>
    <definedName name="Parm_Civil_Build_18" localSheetId="0">#REF!</definedName>
    <definedName name="Parm_Civil_Build_18" localSheetId="4">#REF!</definedName>
    <definedName name="Parm_Civil_Build_18" localSheetId="3">#REF!</definedName>
    <definedName name="Parm_Civil_Build_18" localSheetId="5">#REF!</definedName>
    <definedName name="Parm_Civil_Build_18">#REF!</definedName>
    <definedName name="Parm_Civil_Build_19" localSheetId="2">#REF!</definedName>
    <definedName name="Parm_Civil_Build_19" localSheetId="1">#REF!</definedName>
    <definedName name="Parm_Civil_Build_19" localSheetId="0">#REF!</definedName>
    <definedName name="Parm_Civil_Build_19" localSheetId="4">#REF!</definedName>
    <definedName name="Parm_Civil_Build_19" localSheetId="3">#REF!</definedName>
    <definedName name="Parm_Civil_Build_19" localSheetId="5">#REF!</definedName>
    <definedName name="Parm_Civil_Build_19">#REF!</definedName>
    <definedName name="Parm_Civil_Build_20" localSheetId="2">#REF!</definedName>
    <definedName name="Parm_Civil_Build_20" localSheetId="1">#REF!</definedName>
    <definedName name="Parm_Civil_Build_20" localSheetId="0">#REF!</definedName>
    <definedName name="Parm_Civil_Build_20" localSheetId="4">#REF!</definedName>
    <definedName name="Parm_Civil_Build_20" localSheetId="3">#REF!</definedName>
    <definedName name="Parm_Civil_Build_20" localSheetId="5">#REF!</definedName>
    <definedName name="Parm_Civil_Build_20">#REF!</definedName>
    <definedName name="Parm_Civil_Build_21" localSheetId="2">#REF!</definedName>
    <definedName name="Parm_Civil_Build_21" localSheetId="1">#REF!</definedName>
    <definedName name="Parm_Civil_Build_21" localSheetId="0">#REF!</definedName>
    <definedName name="Parm_Civil_Build_21" localSheetId="4">#REF!</definedName>
    <definedName name="Parm_Civil_Build_21" localSheetId="3">#REF!</definedName>
    <definedName name="Parm_Civil_Build_21" localSheetId="5">#REF!</definedName>
    <definedName name="Parm_Civil_Build_21">#REF!</definedName>
    <definedName name="Parm_Civil_Parm_01" localSheetId="2">#REF!</definedName>
    <definedName name="Parm_Civil_Parm_01" localSheetId="1">#REF!</definedName>
    <definedName name="Parm_Civil_Parm_01" localSheetId="0">#REF!</definedName>
    <definedName name="Parm_Civil_Parm_01" localSheetId="4">#REF!</definedName>
    <definedName name="Parm_Civil_Parm_01" localSheetId="3">#REF!</definedName>
    <definedName name="Parm_Civil_Parm_01" localSheetId="5">#REF!</definedName>
    <definedName name="Parm_Civil_Parm_01">#REF!</definedName>
    <definedName name="Parm_Civil_Parm_02" localSheetId="2">#REF!</definedName>
    <definedName name="Parm_Civil_Parm_02" localSheetId="1">#REF!</definedName>
    <definedName name="Parm_Civil_Parm_02" localSheetId="0">#REF!</definedName>
    <definedName name="Parm_Civil_Parm_02" localSheetId="4">#REF!</definedName>
    <definedName name="Parm_Civil_Parm_02" localSheetId="3">#REF!</definedName>
    <definedName name="Parm_Civil_Parm_02" localSheetId="5">#REF!</definedName>
    <definedName name="Parm_Civil_Parm_02">#REF!</definedName>
    <definedName name="Parm_Civil_Parm_03" localSheetId="2">#REF!</definedName>
    <definedName name="Parm_Civil_Parm_03" localSheetId="1">#REF!</definedName>
    <definedName name="Parm_Civil_Parm_03" localSheetId="0">#REF!</definedName>
    <definedName name="Parm_Civil_Parm_03" localSheetId="4">#REF!</definedName>
    <definedName name="Parm_Civil_Parm_03" localSheetId="3">#REF!</definedName>
    <definedName name="Parm_Civil_Parm_03" localSheetId="5">#REF!</definedName>
    <definedName name="Parm_Civil_Parm_03">#REF!</definedName>
    <definedName name="Parm_Civil_Parm_04" localSheetId="2">#REF!</definedName>
    <definedName name="Parm_Civil_Parm_04" localSheetId="1">#REF!</definedName>
    <definedName name="Parm_Civil_Parm_04" localSheetId="0">#REF!</definedName>
    <definedName name="Parm_Civil_Parm_04" localSheetId="4">#REF!</definedName>
    <definedName name="Parm_Civil_Parm_04" localSheetId="3">#REF!</definedName>
    <definedName name="Parm_Civil_Parm_04" localSheetId="5">#REF!</definedName>
    <definedName name="Parm_Civil_Parm_04">#REF!</definedName>
    <definedName name="Parm_Civil_Parm_05" localSheetId="2">#REF!</definedName>
    <definedName name="Parm_Civil_Parm_05" localSheetId="1">#REF!</definedName>
    <definedName name="Parm_Civil_Parm_05" localSheetId="0">#REF!</definedName>
    <definedName name="Parm_Civil_Parm_05" localSheetId="4">#REF!</definedName>
    <definedName name="Parm_Civil_Parm_05" localSheetId="3">#REF!</definedName>
    <definedName name="Parm_Civil_Parm_05" localSheetId="5">#REF!</definedName>
    <definedName name="Parm_Civil_Parm_05">#REF!</definedName>
    <definedName name="Parm_Civil_Parm_06" localSheetId="2">#REF!</definedName>
    <definedName name="Parm_Civil_Parm_06" localSheetId="1">#REF!</definedName>
    <definedName name="Parm_Civil_Parm_06" localSheetId="0">#REF!</definedName>
    <definedName name="Parm_Civil_Parm_06" localSheetId="4">#REF!</definedName>
    <definedName name="Parm_Civil_Parm_06" localSheetId="3">#REF!</definedName>
    <definedName name="Parm_Civil_Parm_06" localSheetId="5">#REF!</definedName>
    <definedName name="Parm_Civil_Parm_06">#REF!</definedName>
    <definedName name="Parm_Civil_Parm_07" localSheetId="2">#REF!</definedName>
    <definedName name="Parm_Civil_Parm_07" localSheetId="1">#REF!</definedName>
    <definedName name="Parm_Civil_Parm_07" localSheetId="0">#REF!</definedName>
    <definedName name="Parm_Civil_Parm_07" localSheetId="4">#REF!</definedName>
    <definedName name="Parm_Civil_Parm_07" localSheetId="3">#REF!</definedName>
    <definedName name="Parm_Civil_Parm_07" localSheetId="5">#REF!</definedName>
    <definedName name="Parm_Civil_Parm_07">#REF!</definedName>
    <definedName name="Parm_Civil_Parm_08" localSheetId="2">#REF!</definedName>
    <definedName name="Parm_Civil_Parm_08" localSheetId="1">#REF!</definedName>
    <definedName name="Parm_Civil_Parm_08" localSheetId="0">#REF!</definedName>
    <definedName name="Parm_Civil_Parm_08" localSheetId="4">#REF!</definedName>
    <definedName name="Parm_Civil_Parm_08" localSheetId="3">#REF!</definedName>
    <definedName name="Parm_Civil_Parm_08" localSheetId="5">#REF!</definedName>
    <definedName name="Parm_Civil_Parm_08">#REF!</definedName>
    <definedName name="Parm_Civil_Parm_09" localSheetId="2">#REF!</definedName>
    <definedName name="Parm_Civil_Parm_09" localSheetId="1">#REF!</definedName>
    <definedName name="Parm_Civil_Parm_09" localSheetId="0">#REF!</definedName>
    <definedName name="Parm_Civil_Parm_09" localSheetId="4">#REF!</definedName>
    <definedName name="Parm_Civil_Parm_09" localSheetId="3">#REF!</definedName>
    <definedName name="Parm_Civil_Parm_09" localSheetId="5">#REF!</definedName>
    <definedName name="Parm_Civil_Parm_09">#REF!</definedName>
    <definedName name="Parm_Civil_Parm_10" localSheetId="2">#REF!</definedName>
    <definedName name="Parm_Civil_Parm_10" localSheetId="1">#REF!</definedName>
    <definedName name="Parm_Civil_Parm_10" localSheetId="0">#REF!</definedName>
    <definedName name="Parm_Civil_Parm_10" localSheetId="4">#REF!</definedName>
    <definedName name="Parm_Civil_Parm_10" localSheetId="3">#REF!</definedName>
    <definedName name="Parm_Civil_Parm_10" localSheetId="5">#REF!</definedName>
    <definedName name="Parm_Civil_Parm_10">#REF!</definedName>
    <definedName name="Parm_Civil_Parm_11" localSheetId="2">#REF!</definedName>
    <definedName name="Parm_Civil_Parm_11" localSheetId="1">#REF!</definedName>
    <definedName name="Parm_Civil_Parm_11" localSheetId="0">#REF!</definedName>
    <definedName name="Parm_Civil_Parm_11" localSheetId="4">#REF!</definedName>
    <definedName name="Parm_Civil_Parm_11" localSheetId="3">#REF!</definedName>
    <definedName name="Parm_Civil_Parm_11" localSheetId="5">#REF!</definedName>
    <definedName name="Parm_Civil_Parm_11">#REF!</definedName>
    <definedName name="Parm_Civil_Parm_12" localSheetId="2">#REF!</definedName>
    <definedName name="Parm_Civil_Parm_12" localSheetId="1">#REF!</definedName>
    <definedName name="Parm_Civil_Parm_12" localSheetId="0">#REF!</definedName>
    <definedName name="Parm_Civil_Parm_12" localSheetId="4">#REF!</definedName>
    <definedName name="Parm_Civil_Parm_12" localSheetId="3">#REF!</definedName>
    <definedName name="Parm_Civil_Parm_12" localSheetId="5">#REF!</definedName>
    <definedName name="Parm_Civil_Parm_12">#REF!</definedName>
    <definedName name="Parm_Civil_Parm_13" localSheetId="2">#REF!</definedName>
    <definedName name="Parm_Civil_Parm_13" localSheetId="1">#REF!</definedName>
    <definedName name="Parm_Civil_Parm_13" localSheetId="0">#REF!</definedName>
    <definedName name="Parm_Civil_Parm_13" localSheetId="4">#REF!</definedName>
    <definedName name="Parm_Civil_Parm_13" localSheetId="3">#REF!</definedName>
    <definedName name="Parm_Civil_Parm_13" localSheetId="5">#REF!</definedName>
    <definedName name="Parm_Civil_Parm_13">#REF!</definedName>
    <definedName name="Parm_Civil_Parm_14" localSheetId="2">#REF!</definedName>
    <definedName name="Parm_Civil_Parm_14" localSheetId="1">#REF!</definedName>
    <definedName name="Parm_Civil_Parm_14" localSheetId="0">#REF!</definedName>
    <definedName name="Parm_Civil_Parm_14" localSheetId="4">#REF!</definedName>
    <definedName name="Parm_Civil_Parm_14" localSheetId="3">#REF!</definedName>
    <definedName name="Parm_Civil_Parm_14" localSheetId="5">#REF!</definedName>
    <definedName name="Parm_Civil_Parm_14">#REF!</definedName>
    <definedName name="Parm_Civil_Parm_15" localSheetId="2">#REF!</definedName>
    <definedName name="Parm_Civil_Parm_15" localSheetId="1">#REF!</definedName>
    <definedName name="Parm_Civil_Parm_15" localSheetId="0">#REF!</definedName>
    <definedName name="Parm_Civil_Parm_15" localSheetId="4">#REF!</definedName>
    <definedName name="Parm_Civil_Parm_15" localSheetId="3">#REF!</definedName>
    <definedName name="Parm_Civil_Parm_15" localSheetId="5">#REF!</definedName>
    <definedName name="Parm_Civil_Parm_15">#REF!</definedName>
    <definedName name="Parm_Civil_Parm_16" localSheetId="2">#REF!</definedName>
    <definedName name="Parm_Civil_Parm_16" localSheetId="1">#REF!</definedName>
    <definedName name="Parm_Civil_Parm_16" localSheetId="0">#REF!</definedName>
    <definedName name="Parm_Civil_Parm_16" localSheetId="4">#REF!</definedName>
    <definedName name="Parm_Civil_Parm_16" localSheetId="3">#REF!</definedName>
    <definedName name="Parm_Civil_Parm_16" localSheetId="5">#REF!</definedName>
    <definedName name="Parm_Civil_Parm_16">#REF!</definedName>
    <definedName name="Parm_Civil_Parm_17" localSheetId="2">#REF!</definedName>
    <definedName name="Parm_Civil_Parm_17" localSheetId="1">#REF!</definedName>
    <definedName name="Parm_Civil_Parm_17" localSheetId="0">#REF!</definedName>
    <definedName name="Parm_Civil_Parm_17" localSheetId="4">#REF!</definedName>
    <definedName name="Parm_Civil_Parm_17" localSheetId="3">#REF!</definedName>
    <definedName name="Parm_Civil_Parm_17" localSheetId="5">#REF!</definedName>
    <definedName name="Parm_Civil_Parm_17">#REF!</definedName>
    <definedName name="Parm_Civil_Parm_18" localSheetId="2">#REF!</definedName>
    <definedName name="Parm_Civil_Parm_18" localSheetId="1">#REF!</definedName>
    <definedName name="Parm_Civil_Parm_18" localSheetId="0">#REF!</definedName>
    <definedName name="Parm_Civil_Parm_18" localSheetId="4">#REF!</definedName>
    <definedName name="Parm_Civil_Parm_18" localSheetId="3">#REF!</definedName>
    <definedName name="Parm_Civil_Parm_18" localSheetId="5">#REF!</definedName>
    <definedName name="Parm_Civil_Parm_18">#REF!</definedName>
    <definedName name="Parm_Civil_Site_01" localSheetId="2">#REF!</definedName>
    <definedName name="Parm_Civil_Site_01" localSheetId="1">#REF!</definedName>
    <definedName name="Parm_Civil_Site_01" localSheetId="0">#REF!</definedName>
    <definedName name="Parm_Civil_Site_01" localSheetId="4">#REF!</definedName>
    <definedName name="Parm_Civil_Site_01" localSheetId="3">#REF!</definedName>
    <definedName name="Parm_Civil_Site_01" localSheetId="5">#REF!</definedName>
    <definedName name="Parm_Civil_Site_01">#REF!</definedName>
    <definedName name="Parm_Civil_Site_02" localSheetId="2">#REF!</definedName>
    <definedName name="Parm_Civil_Site_02" localSheetId="1">#REF!</definedName>
    <definedName name="Parm_Civil_Site_02" localSheetId="0">#REF!</definedName>
    <definedName name="Parm_Civil_Site_02" localSheetId="4">#REF!</definedName>
    <definedName name="Parm_Civil_Site_02" localSheetId="3">#REF!</definedName>
    <definedName name="Parm_Civil_Site_02" localSheetId="5">#REF!</definedName>
    <definedName name="Parm_Civil_Site_02">#REF!</definedName>
    <definedName name="Parm_Civil_Site_03" localSheetId="2">#REF!</definedName>
    <definedName name="Parm_Civil_Site_03" localSheetId="1">#REF!</definedName>
    <definedName name="Parm_Civil_Site_03" localSheetId="0">#REF!</definedName>
    <definedName name="Parm_Civil_Site_03" localSheetId="4">#REF!</definedName>
    <definedName name="Parm_Civil_Site_03" localSheetId="3">#REF!</definedName>
    <definedName name="Parm_Civil_Site_03" localSheetId="5">#REF!</definedName>
    <definedName name="Parm_Civil_Site_03">#REF!</definedName>
    <definedName name="Parm_Civil_Site_04" localSheetId="2">#REF!</definedName>
    <definedName name="Parm_Civil_Site_04" localSheetId="1">#REF!</definedName>
    <definedName name="Parm_Civil_Site_04" localSheetId="0">#REF!</definedName>
    <definedName name="Parm_Civil_Site_04" localSheetId="4">#REF!</definedName>
    <definedName name="Parm_Civil_Site_04" localSheetId="3">#REF!</definedName>
    <definedName name="Parm_Civil_Site_04" localSheetId="5">#REF!</definedName>
    <definedName name="Parm_Civil_Site_04">#REF!</definedName>
    <definedName name="Parm_Civil_Site_05" localSheetId="2">#REF!</definedName>
    <definedName name="Parm_Civil_Site_05" localSheetId="1">#REF!</definedName>
    <definedName name="Parm_Civil_Site_05" localSheetId="0">#REF!</definedName>
    <definedName name="Parm_Civil_Site_05" localSheetId="4">#REF!</definedName>
    <definedName name="Parm_Civil_Site_05" localSheetId="3">#REF!</definedName>
    <definedName name="Parm_Civil_Site_05" localSheetId="5">#REF!</definedName>
    <definedName name="Parm_Civil_Site_05">#REF!</definedName>
    <definedName name="Parm_Civil_Site_06" localSheetId="2">#REF!</definedName>
    <definedName name="Parm_Civil_Site_06" localSheetId="1">#REF!</definedName>
    <definedName name="Parm_Civil_Site_06" localSheetId="0">#REF!</definedName>
    <definedName name="Parm_Civil_Site_06" localSheetId="4">#REF!</definedName>
    <definedName name="Parm_Civil_Site_06" localSheetId="3">#REF!</definedName>
    <definedName name="Parm_Civil_Site_06" localSheetId="5">#REF!</definedName>
    <definedName name="Parm_Civil_Site_06">#REF!</definedName>
    <definedName name="Parm_Civil_Site_07" localSheetId="2">#REF!</definedName>
    <definedName name="Parm_Civil_Site_07" localSheetId="1">#REF!</definedName>
    <definedName name="Parm_Civil_Site_07" localSheetId="0">#REF!</definedName>
    <definedName name="Parm_Civil_Site_07" localSheetId="4">#REF!</definedName>
    <definedName name="Parm_Civil_Site_07" localSheetId="3">#REF!</definedName>
    <definedName name="Parm_Civil_Site_07" localSheetId="5">#REF!</definedName>
    <definedName name="Parm_Civil_Site_07">#REF!</definedName>
    <definedName name="Parm_Civil_Site_08" localSheetId="2">#REF!</definedName>
    <definedName name="Parm_Civil_Site_08" localSheetId="1">#REF!</definedName>
    <definedName name="Parm_Civil_Site_08" localSheetId="0">#REF!</definedName>
    <definedName name="Parm_Civil_Site_08" localSheetId="4">#REF!</definedName>
    <definedName name="Parm_Civil_Site_08" localSheetId="3">#REF!</definedName>
    <definedName name="Parm_Civil_Site_08" localSheetId="5">#REF!</definedName>
    <definedName name="Parm_Civil_Site_08">#REF!</definedName>
    <definedName name="Parm_Civil_Site_09" localSheetId="2">#REF!</definedName>
    <definedName name="Parm_Civil_Site_09" localSheetId="1">#REF!</definedName>
    <definedName name="Parm_Civil_Site_09" localSheetId="0">#REF!</definedName>
    <definedName name="Parm_Civil_Site_09" localSheetId="4">#REF!</definedName>
    <definedName name="Parm_Civil_Site_09" localSheetId="3">#REF!</definedName>
    <definedName name="Parm_Civil_Site_09" localSheetId="5">#REF!</definedName>
    <definedName name="Parm_Civil_Site_09">#REF!</definedName>
    <definedName name="Parm_Civil_Site_10" localSheetId="2">#REF!</definedName>
    <definedName name="Parm_Civil_Site_10" localSheetId="1">#REF!</definedName>
    <definedName name="Parm_Civil_Site_10" localSheetId="0">#REF!</definedName>
    <definedName name="Parm_Civil_Site_10" localSheetId="4">#REF!</definedName>
    <definedName name="Parm_Civil_Site_10" localSheetId="3">#REF!</definedName>
    <definedName name="Parm_Civil_Site_10" localSheetId="5">#REF!</definedName>
    <definedName name="Parm_Civil_Site_10">#REF!</definedName>
    <definedName name="Parm_Civil_Site_11" localSheetId="2">#REF!</definedName>
    <definedName name="Parm_Civil_Site_11" localSheetId="1">#REF!</definedName>
    <definedName name="Parm_Civil_Site_11" localSheetId="0">#REF!</definedName>
    <definedName name="Parm_Civil_Site_11" localSheetId="4">#REF!</definedName>
    <definedName name="Parm_Civil_Site_11" localSheetId="3">#REF!</definedName>
    <definedName name="Parm_Civil_Site_11" localSheetId="5">#REF!</definedName>
    <definedName name="Parm_Civil_Site_11">#REF!</definedName>
    <definedName name="Parm_Civil_Site_12" localSheetId="2">#REF!</definedName>
    <definedName name="Parm_Civil_Site_12" localSheetId="1">#REF!</definedName>
    <definedName name="Parm_Civil_Site_12" localSheetId="0">#REF!</definedName>
    <definedName name="Parm_Civil_Site_12" localSheetId="4">#REF!</definedName>
    <definedName name="Parm_Civil_Site_12" localSheetId="3">#REF!</definedName>
    <definedName name="Parm_Civil_Site_12" localSheetId="5">#REF!</definedName>
    <definedName name="Parm_Civil_Site_12">#REF!</definedName>
    <definedName name="Parm_Civil_Site_13" localSheetId="2">#REF!</definedName>
    <definedName name="Parm_Civil_Site_13" localSheetId="1">#REF!</definedName>
    <definedName name="Parm_Civil_Site_13" localSheetId="0">#REF!</definedName>
    <definedName name="Parm_Civil_Site_13" localSheetId="4">#REF!</definedName>
    <definedName name="Parm_Civil_Site_13" localSheetId="3">#REF!</definedName>
    <definedName name="Parm_Civil_Site_13" localSheetId="5">#REF!</definedName>
    <definedName name="Parm_Civil_Site_13">#REF!</definedName>
    <definedName name="Parm_Civil_Site_14" localSheetId="2">#REF!</definedName>
    <definedName name="Parm_Civil_Site_14" localSheetId="1">#REF!</definedName>
    <definedName name="Parm_Civil_Site_14" localSheetId="0">#REF!</definedName>
    <definedName name="Parm_Civil_Site_14" localSheetId="4">#REF!</definedName>
    <definedName name="Parm_Civil_Site_14" localSheetId="3">#REF!</definedName>
    <definedName name="Parm_Civil_Site_14" localSheetId="5">#REF!</definedName>
    <definedName name="Parm_Civil_Site_14">#REF!</definedName>
    <definedName name="Parm_Civil_Site_15" localSheetId="2">#REF!</definedName>
    <definedName name="Parm_Civil_Site_15" localSheetId="1">#REF!</definedName>
    <definedName name="Parm_Civil_Site_15" localSheetId="0">#REF!</definedName>
    <definedName name="Parm_Civil_Site_15" localSheetId="4">#REF!</definedName>
    <definedName name="Parm_Civil_Site_15" localSheetId="3">#REF!</definedName>
    <definedName name="Parm_Civil_Site_15" localSheetId="5">#REF!</definedName>
    <definedName name="Parm_Civil_Site_15">#REF!</definedName>
    <definedName name="Parm_Civil_Site_16" localSheetId="2">#REF!</definedName>
    <definedName name="Parm_Civil_Site_16" localSheetId="1">#REF!</definedName>
    <definedName name="Parm_Civil_Site_16" localSheetId="0">#REF!</definedName>
    <definedName name="Parm_Civil_Site_16" localSheetId="4">#REF!</definedName>
    <definedName name="Parm_Civil_Site_16" localSheetId="3">#REF!</definedName>
    <definedName name="Parm_Civil_Site_16" localSheetId="5">#REF!</definedName>
    <definedName name="Parm_Civil_Site_16">#REF!</definedName>
    <definedName name="Parm_Civil_Site_17" localSheetId="2">#REF!</definedName>
    <definedName name="Parm_Civil_Site_17" localSheetId="1">#REF!</definedName>
    <definedName name="Parm_Civil_Site_17" localSheetId="0">#REF!</definedName>
    <definedName name="Parm_Civil_Site_17" localSheetId="4">#REF!</definedName>
    <definedName name="Parm_Civil_Site_17" localSheetId="3">#REF!</definedName>
    <definedName name="Parm_Civil_Site_17" localSheetId="5">#REF!</definedName>
    <definedName name="Parm_Civil_Site_17">#REF!</definedName>
    <definedName name="Parm_Civil_Site_18" localSheetId="2">#REF!</definedName>
    <definedName name="Parm_Civil_Site_18" localSheetId="1">#REF!</definedName>
    <definedName name="Parm_Civil_Site_18" localSheetId="0">#REF!</definedName>
    <definedName name="Parm_Civil_Site_18" localSheetId="4">#REF!</definedName>
    <definedName name="Parm_Civil_Site_18" localSheetId="3">#REF!</definedName>
    <definedName name="Parm_Civil_Site_18" localSheetId="5">#REF!</definedName>
    <definedName name="Parm_Civil_Site_18">#REF!</definedName>
    <definedName name="Parm_Civil_Site_19" localSheetId="2">#REF!</definedName>
    <definedName name="Parm_Civil_Site_19" localSheetId="1">#REF!</definedName>
    <definedName name="Parm_Civil_Site_19" localSheetId="0">#REF!</definedName>
    <definedName name="Parm_Civil_Site_19" localSheetId="4">#REF!</definedName>
    <definedName name="Parm_Civil_Site_19" localSheetId="3">#REF!</definedName>
    <definedName name="Parm_Civil_Site_19" localSheetId="5">#REF!</definedName>
    <definedName name="Parm_Civil_Site_19">#REF!</definedName>
    <definedName name="Parm_Civil_Site_20" localSheetId="2">#REF!</definedName>
    <definedName name="Parm_Civil_Site_20" localSheetId="1">#REF!</definedName>
    <definedName name="Parm_Civil_Site_20" localSheetId="0">#REF!</definedName>
    <definedName name="Parm_Civil_Site_20" localSheetId="4">#REF!</definedName>
    <definedName name="Parm_Civil_Site_20" localSheetId="3">#REF!</definedName>
    <definedName name="Parm_Civil_Site_20" localSheetId="5">#REF!</definedName>
    <definedName name="Parm_Civil_Site_20">#REF!</definedName>
    <definedName name="Parm_Civil_Site_21" localSheetId="2">#REF!</definedName>
    <definedName name="Parm_Civil_Site_21" localSheetId="1">#REF!</definedName>
    <definedName name="Parm_Civil_Site_21" localSheetId="0">#REF!</definedName>
    <definedName name="Parm_Civil_Site_21" localSheetId="4">#REF!</definedName>
    <definedName name="Parm_Civil_Site_21" localSheetId="3">#REF!</definedName>
    <definedName name="Parm_Civil_Site_21" localSheetId="5">#REF!</definedName>
    <definedName name="Parm_Civil_Site_21">#REF!</definedName>
    <definedName name="Parm_Civil_Site_22" localSheetId="2">#REF!</definedName>
    <definedName name="Parm_Civil_Site_22" localSheetId="1">#REF!</definedName>
    <definedName name="Parm_Civil_Site_22" localSheetId="0">#REF!</definedName>
    <definedName name="Parm_Civil_Site_22" localSheetId="4">#REF!</definedName>
    <definedName name="Parm_Civil_Site_22" localSheetId="3">#REF!</definedName>
    <definedName name="Parm_Civil_Site_22" localSheetId="5">#REF!</definedName>
    <definedName name="Parm_Civil_Site_22">#REF!</definedName>
    <definedName name="Parm_Civil_Site_23" localSheetId="2">#REF!</definedName>
    <definedName name="Parm_Civil_Site_23" localSheetId="1">#REF!</definedName>
    <definedName name="Parm_Civil_Site_23" localSheetId="0">#REF!</definedName>
    <definedName name="Parm_Civil_Site_23" localSheetId="4">#REF!</definedName>
    <definedName name="Parm_Civil_Site_23" localSheetId="3">#REF!</definedName>
    <definedName name="Parm_Civil_Site_23" localSheetId="5">#REF!</definedName>
    <definedName name="Parm_Civil_Site_23">#REF!</definedName>
    <definedName name="Parm_Elect_Switchgear_01" localSheetId="2">#REF!</definedName>
    <definedName name="Parm_Elect_Switchgear_01" localSheetId="1">#REF!</definedName>
    <definedName name="Parm_Elect_Switchgear_01" localSheetId="0">#REF!</definedName>
    <definedName name="Parm_Elect_Switchgear_01" localSheetId="4">#REF!</definedName>
    <definedName name="Parm_Elect_Switchgear_01" localSheetId="3">#REF!</definedName>
    <definedName name="Parm_Elect_Switchgear_01" localSheetId="5">#REF!</definedName>
    <definedName name="Parm_Elect_Switchgear_01">#REF!</definedName>
    <definedName name="Parm_Elect_Switchgear_02" localSheetId="2">#REF!</definedName>
    <definedName name="Parm_Elect_Switchgear_02" localSheetId="1">#REF!</definedName>
    <definedName name="Parm_Elect_Switchgear_02" localSheetId="0">#REF!</definedName>
    <definedName name="Parm_Elect_Switchgear_02" localSheetId="4">#REF!</definedName>
    <definedName name="Parm_Elect_Switchgear_02" localSheetId="3">#REF!</definedName>
    <definedName name="Parm_Elect_Switchgear_02" localSheetId="5">#REF!</definedName>
    <definedName name="Parm_Elect_Switchgear_02">#REF!</definedName>
    <definedName name="Parm_Elect_Switchgear_03" localSheetId="2">#REF!</definedName>
    <definedName name="Parm_Elect_Switchgear_03" localSheetId="1">#REF!</definedName>
    <definedName name="Parm_Elect_Switchgear_03" localSheetId="0">#REF!</definedName>
    <definedName name="Parm_Elect_Switchgear_03" localSheetId="4">#REF!</definedName>
    <definedName name="Parm_Elect_Switchgear_03" localSheetId="3">#REF!</definedName>
    <definedName name="Parm_Elect_Switchgear_03" localSheetId="5">#REF!</definedName>
    <definedName name="Parm_Elect_Switchgear_03">#REF!</definedName>
    <definedName name="Parm_Elect_Switchgear_04" localSheetId="2">#REF!</definedName>
    <definedName name="Parm_Elect_Switchgear_04" localSheetId="1">#REF!</definedName>
    <definedName name="Parm_Elect_Switchgear_04" localSheetId="0">#REF!</definedName>
    <definedName name="Parm_Elect_Switchgear_04" localSheetId="4">#REF!</definedName>
    <definedName name="Parm_Elect_Switchgear_04" localSheetId="3">#REF!</definedName>
    <definedName name="Parm_Elect_Switchgear_04" localSheetId="5">#REF!</definedName>
    <definedName name="Parm_Elect_Switchgear_04">#REF!</definedName>
    <definedName name="Parm_Elect_Switchgear_05" localSheetId="2">#REF!</definedName>
    <definedName name="Parm_Elect_Switchgear_05" localSheetId="1">#REF!</definedName>
    <definedName name="Parm_Elect_Switchgear_05" localSheetId="0">#REF!</definedName>
    <definedName name="Parm_Elect_Switchgear_05" localSheetId="4">#REF!</definedName>
    <definedName name="Parm_Elect_Switchgear_05" localSheetId="3">#REF!</definedName>
    <definedName name="Parm_Elect_Switchgear_05" localSheetId="5">#REF!</definedName>
    <definedName name="Parm_Elect_Switchgear_05">#REF!</definedName>
    <definedName name="Parm_Elect_Switchgear_06" localSheetId="2">#REF!</definedName>
    <definedName name="Parm_Elect_Switchgear_06" localSheetId="1">#REF!</definedName>
    <definedName name="Parm_Elect_Switchgear_06" localSheetId="0">#REF!</definedName>
    <definedName name="Parm_Elect_Switchgear_06" localSheetId="4">#REF!</definedName>
    <definedName name="Parm_Elect_Switchgear_06" localSheetId="3">#REF!</definedName>
    <definedName name="Parm_Elect_Switchgear_06" localSheetId="5">#REF!</definedName>
    <definedName name="Parm_Elect_Switchgear_06">#REF!</definedName>
    <definedName name="Parm_Elect_Switchgear_07" localSheetId="2">#REF!</definedName>
    <definedName name="Parm_Elect_Switchgear_07" localSheetId="1">#REF!</definedName>
    <definedName name="Parm_Elect_Switchgear_07" localSheetId="0">#REF!</definedName>
    <definedName name="Parm_Elect_Switchgear_07" localSheetId="4">#REF!</definedName>
    <definedName name="Parm_Elect_Switchgear_07" localSheetId="3">#REF!</definedName>
    <definedName name="Parm_Elect_Switchgear_07" localSheetId="5">#REF!</definedName>
    <definedName name="Parm_Elect_Switchgear_07">#REF!</definedName>
    <definedName name="Parm_Elect_Switchgear_08" localSheetId="2">#REF!</definedName>
    <definedName name="Parm_Elect_Switchgear_08" localSheetId="1">#REF!</definedName>
    <definedName name="Parm_Elect_Switchgear_08" localSheetId="0">#REF!</definedName>
    <definedName name="Parm_Elect_Switchgear_08" localSheetId="4">#REF!</definedName>
    <definedName name="Parm_Elect_Switchgear_08" localSheetId="3">#REF!</definedName>
    <definedName name="Parm_Elect_Switchgear_08" localSheetId="5">#REF!</definedName>
    <definedName name="Parm_Elect_Switchgear_08">#REF!</definedName>
    <definedName name="Parm_Elect_Switchgear_09" localSheetId="2">#REF!</definedName>
    <definedName name="Parm_Elect_Switchgear_09" localSheetId="1">#REF!</definedName>
    <definedName name="Parm_Elect_Switchgear_09" localSheetId="0">#REF!</definedName>
    <definedName name="Parm_Elect_Switchgear_09" localSheetId="4">#REF!</definedName>
    <definedName name="Parm_Elect_Switchgear_09" localSheetId="3">#REF!</definedName>
    <definedName name="Parm_Elect_Switchgear_09" localSheetId="5">#REF!</definedName>
    <definedName name="Parm_Elect_Switchgear_09">#REF!</definedName>
    <definedName name="Parm_Elect_Switchgear_10" localSheetId="2">#REF!</definedName>
    <definedName name="Parm_Elect_Switchgear_10" localSheetId="1">#REF!</definedName>
    <definedName name="Parm_Elect_Switchgear_10" localSheetId="0">#REF!</definedName>
    <definedName name="Parm_Elect_Switchgear_10" localSheetId="4">#REF!</definedName>
    <definedName name="Parm_Elect_Switchgear_10" localSheetId="3">#REF!</definedName>
    <definedName name="Parm_Elect_Switchgear_10" localSheetId="5">#REF!</definedName>
    <definedName name="Parm_Elect_Switchgear_10">#REF!</definedName>
    <definedName name="Parm_Elect_Switchgear_11" localSheetId="2">#REF!</definedName>
    <definedName name="Parm_Elect_Switchgear_11" localSheetId="1">#REF!</definedName>
    <definedName name="Parm_Elect_Switchgear_11" localSheetId="0">#REF!</definedName>
    <definedName name="Parm_Elect_Switchgear_11" localSheetId="4">#REF!</definedName>
    <definedName name="Parm_Elect_Switchgear_11" localSheetId="3">#REF!</definedName>
    <definedName name="Parm_Elect_Switchgear_11" localSheetId="5">#REF!</definedName>
    <definedName name="Parm_Elect_Switchgear_11">#REF!</definedName>
    <definedName name="Parm_Elect_Switchgear_12" localSheetId="2">#REF!</definedName>
    <definedName name="Parm_Elect_Switchgear_12" localSheetId="1">#REF!</definedName>
    <definedName name="Parm_Elect_Switchgear_12" localSheetId="0">#REF!</definedName>
    <definedName name="Parm_Elect_Switchgear_12" localSheetId="4">#REF!</definedName>
    <definedName name="Parm_Elect_Switchgear_12" localSheetId="3">#REF!</definedName>
    <definedName name="Parm_Elect_Switchgear_12" localSheetId="5">#REF!</definedName>
    <definedName name="Parm_Elect_Switchgear_12">#REF!</definedName>
    <definedName name="Parm_Elect_Switchgear_13" localSheetId="2">#REF!</definedName>
    <definedName name="Parm_Elect_Switchgear_13" localSheetId="1">#REF!</definedName>
    <definedName name="Parm_Elect_Switchgear_13" localSheetId="0">#REF!</definedName>
    <definedName name="Parm_Elect_Switchgear_13" localSheetId="4">#REF!</definedName>
    <definedName name="Parm_Elect_Switchgear_13" localSheetId="3">#REF!</definedName>
    <definedName name="Parm_Elect_Switchgear_13" localSheetId="5">#REF!</definedName>
    <definedName name="Parm_Elect_Switchgear_13">#REF!</definedName>
    <definedName name="Parm_Elect_Switchgear_14" localSheetId="2">#REF!</definedName>
    <definedName name="Parm_Elect_Switchgear_14" localSheetId="1">#REF!</definedName>
    <definedName name="Parm_Elect_Switchgear_14" localSheetId="0">#REF!</definedName>
    <definedName name="Parm_Elect_Switchgear_14" localSheetId="4">#REF!</definedName>
    <definedName name="Parm_Elect_Switchgear_14" localSheetId="3">#REF!</definedName>
    <definedName name="Parm_Elect_Switchgear_14" localSheetId="5">#REF!</definedName>
    <definedName name="Parm_Elect_Switchgear_14">#REF!</definedName>
    <definedName name="Parm_Elect_Switchgear_15" localSheetId="2">#REF!</definedName>
    <definedName name="Parm_Elect_Switchgear_15" localSheetId="1">#REF!</definedName>
    <definedName name="Parm_Elect_Switchgear_15" localSheetId="0">#REF!</definedName>
    <definedName name="Parm_Elect_Switchgear_15" localSheetId="4">#REF!</definedName>
    <definedName name="Parm_Elect_Switchgear_15" localSheetId="3">#REF!</definedName>
    <definedName name="Parm_Elect_Switchgear_15" localSheetId="5">#REF!</definedName>
    <definedName name="Parm_Elect_Switchgear_15">#REF!</definedName>
    <definedName name="Parm_Elect_Switchgear_16" localSheetId="2">#REF!</definedName>
    <definedName name="Parm_Elect_Switchgear_16" localSheetId="1">#REF!</definedName>
    <definedName name="Parm_Elect_Switchgear_16" localSheetId="0">#REF!</definedName>
    <definedName name="Parm_Elect_Switchgear_16" localSheetId="4">#REF!</definedName>
    <definedName name="Parm_Elect_Switchgear_16" localSheetId="3">#REF!</definedName>
    <definedName name="Parm_Elect_Switchgear_16" localSheetId="5">#REF!</definedName>
    <definedName name="Parm_Elect_Switchgear_16">#REF!</definedName>
    <definedName name="Parm_Elect_Switchgear_17" localSheetId="2">#REF!</definedName>
    <definedName name="Parm_Elect_Switchgear_17" localSheetId="1">#REF!</definedName>
    <definedName name="Parm_Elect_Switchgear_17" localSheetId="0">#REF!</definedName>
    <definedName name="Parm_Elect_Switchgear_17" localSheetId="4">#REF!</definedName>
    <definedName name="Parm_Elect_Switchgear_17" localSheetId="3">#REF!</definedName>
    <definedName name="Parm_Elect_Switchgear_17" localSheetId="5">#REF!</definedName>
    <definedName name="Parm_Elect_Switchgear_17">#REF!</definedName>
    <definedName name="Parm_Elect_Switchgear_18" localSheetId="2">#REF!</definedName>
    <definedName name="Parm_Elect_Switchgear_18" localSheetId="1">#REF!</definedName>
    <definedName name="Parm_Elect_Switchgear_18" localSheetId="0">#REF!</definedName>
    <definedName name="Parm_Elect_Switchgear_18" localSheetId="4">#REF!</definedName>
    <definedName name="Parm_Elect_Switchgear_18" localSheetId="3">#REF!</definedName>
    <definedName name="Parm_Elect_Switchgear_18" localSheetId="5">#REF!</definedName>
    <definedName name="Parm_Elect_Switchgear_18">#REF!</definedName>
    <definedName name="Parm_Elect_Switchgear_19" localSheetId="2">#REF!</definedName>
    <definedName name="Parm_Elect_Switchgear_19" localSheetId="1">#REF!</definedName>
    <definedName name="Parm_Elect_Switchgear_19" localSheetId="0">#REF!</definedName>
    <definedName name="Parm_Elect_Switchgear_19" localSheetId="4">#REF!</definedName>
    <definedName name="Parm_Elect_Switchgear_19" localSheetId="3">#REF!</definedName>
    <definedName name="Parm_Elect_Switchgear_19" localSheetId="5">#REF!</definedName>
    <definedName name="Parm_Elect_Switchgear_19">#REF!</definedName>
    <definedName name="Parm_Elect_Switchgear_20" localSheetId="2">#REF!</definedName>
    <definedName name="Parm_Elect_Switchgear_20" localSheetId="1">#REF!</definedName>
    <definedName name="Parm_Elect_Switchgear_20" localSheetId="0">#REF!</definedName>
    <definedName name="Parm_Elect_Switchgear_20" localSheetId="4">#REF!</definedName>
    <definedName name="Parm_Elect_Switchgear_20" localSheetId="3">#REF!</definedName>
    <definedName name="Parm_Elect_Switchgear_20" localSheetId="5">#REF!</definedName>
    <definedName name="Parm_Elect_Switchgear_20">#REF!</definedName>
    <definedName name="Parm_Elect_Switchgear_21" localSheetId="2">#REF!</definedName>
    <definedName name="Parm_Elect_Switchgear_21" localSheetId="1">#REF!</definedName>
    <definedName name="Parm_Elect_Switchgear_21" localSheetId="0">#REF!</definedName>
    <definedName name="Parm_Elect_Switchgear_21" localSheetId="4">#REF!</definedName>
    <definedName name="Parm_Elect_Switchgear_21" localSheetId="3">#REF!</definedName>
    <definedName name="Parm_Elect_Switchgear_21" localSheetId="5">#REF!</definedName>
    <definedName name="Parm_Elect_Switchgear_21">#REF!</definedName>
    <definedName name="Parm_Elect_Switchyd_01" localSheetId="2">#REF!</definedName>
    <definedName name="Parm_Elect_Switchyd_01" localSheetId="1">#REF!</definedName>
    <definedName name="Parm_Elect_Switchyd_01" localSheetId="0">#REF!</definedName>
    <definedName name="Parm_Elect_Switchyd_01" localSheetId="4">#REF!</definedName>
    <definedName name="Parm_Elect_Switchyd_01" localSheetId="3">#REF!</definedName>
    <definedName name="Parm_Elect_Switchyd_01" localSheetId="5">#REF!</definedName>
    <definedName name="Parm_Elect_Switchyd_01">#REF!</definedName>
    <definedName name="Parm_Elect_Switchyd_02" localSheetId="2">#REF!</definedName>
    <definedName name="Parm_Elect_Switchyd_02" localSheetId="1">#REF!</definedName>
    <definedName name="Parm_Elect_Switchyd_02" localSheetId="0">#REF!</definedName>
    <definedName name="Parm_Elect_Switchyd_02" localSheetId="4">#REF!</definedName>
    <definedName name="Parm_Elect_Switchyd_02" localSheetId="3">#REF!</definedName>
    <definedName name="Parm_Elect_Switchyd_02" localSheetId="5">#REF!</definedName>
    <definedName name="Parm_Elect_Switchyd_02">#REF!</definedName>
    <definedName name="Parm_Elect_Switchyd_03" localSheetId="2">#REF!</definedName>
    <definedName name="Parm_Elect_Switchyd_03" localSheetId="1">#REF!</definedName>
    <definedName name="Parm_Elect_Switchyd_03" localSheetId="0">#REF!</definedName>
    <definedName name="Parm_Elect_Switchyd_03" localSheetId="4">#REF!</definedName>
    <definedName name="Parm_Elect_Switchyd_03" localSheetId="3">#REF!</definedName>
    <definedName name="Parm_Elect_Switchyd_03" localSheetId="5">#REF!</definedName>
    <definedName name="Parm_Elect_Switchyd_03">#REF!</definedName>
    <definedName name="Parm_Elect_Switchyd_04" localSheetId="2">#REF!</definedName>
    <definedName name="Parm_Elect_Switchyd_04" localSheetId="1">#REF!</definedName>
    <definedName name="Parm_Elect_Switchyd_04" localSheetId="0">#REF!</definedName>
    <definedName name="Parm_Elect_Switchyd_04" localSheetId="4">#REF!</definedName>
    <definedName name="Parm_Elect_Switchyd_04" localSheetId="3">#REF!</definedName>
    <definedName name="Parm_Elect_Switchyd_04" localSheetId="5">#REF!</definedName>
    <definedName name="Parm_Elect_Switchyd_04">#REF!</definedName>
    <definedName name="Parm_Elect_Switchyd_05" localSheetId="2">#REF!</definedName>
    <definedName name="Parm_Elect_Switchyd_05" localSheetId="1">#REF!</definedName>
    <definedName name="Parm_Elect_Switchyd_05" localSheetId="0">#REF!</definedName>
    <definedName name="Parm_Elect_Switchyd_05" localSheetId="4">#REF!</definedName>
    <definedName name="Parm_Elect_Switchyd_05" localSheetId="3">#REF!</definedName>
    <definedName name="Parm_Elect_Switchyd_05" localSheetId="5">#REF!</definedName>
    <definedName name="Parm_Elect_Switchyd_05">#REF!</definedName>
    <definedName name="Parm_Elect_Switchyd_06" localSheetId="2">#REF!</definedName>
    <definedName name="Parm_Elect_Switchyd_06" localSheetId="1">#REF!</definedName>
    <definedName name="Parm_Elect_Switchyd_06" localSheetId="0">#REF!</definedName>
    <definedName name="Parm_Elect_Switchyd_06" localSheetId="4">#REF!</definedName>
    <definedName name="Parm_Elect_Switchyd_06" localSheetId="3">#REF!</definedName>
    <definedName name="Parm_Elect_Switchyd_06" localSheetId="5">#REF!</definedName>
    <definedName name="Parm_Elect_Switchyd_06">#REF!</definedName>
    <definedName name="Parm_Elect_Switchyd_07" localSheetId="2">#REF!</definedName>
    <definedName name="Parm_Elect_Switchyd_07" localSheetId="1">#REF!</definedName>
    <definedName name="Parm_Elect_Switchyd_07" localSheetId="0">#REF!</definedName>
    <definedName name="Parm_Elect_Switchyd_07" localSheetId="4">#REF!</definedName>
    <definedName name="Parm_Elect_Switchyd_07" localSheetId="3">#REF!</definedName>
    <definedName name="Parm_Elect_Switchyd_07" localSheetId="5">#REF!</definedName>
    <definedName name="Parm_Elect_Switchyd_07">#REF!</definedName>
    <definedName name="Parm_Elect_Switchyd_08" localSheetId="2">#REF!</definedName>
    <definedName name="Parm_Elect_Switchyd_08" localSheetId="1">#REF!</definedName>
    <definedName name="Parm_Elect_Switchyd_08" localSheetId="0">#REF!</definedName>
    <definedName name="Parm_Elect_Switchyd_08" localSheetId="4">#REF!</definedName>
    <definedName name="Parm_Elect_Switchyd_08" localSheetId="3">#REF!</definedName>
    <definedName name="Parm_Elect_Switchyd_08" localSheetId="5">#REF!</definedName>
    <definedName name="Parm_Elect_Switchyd_08">#REF!</definedName>
    <definedName name="Parm_Elect_Switchyd_09" localSheetId="2">#REF!</definedName>
    <definedName name="Parm_Elect_Switchyd_09" localSheetId="1">#REF!</definedName>
    <definedName name="Parm_Elect_Switchyd_09" localSheetId="0">#REF!</definedName>
    <definedName name="Parm_Elect_Switchyd_09" localSheetId="4">#REF!</definedName>
    <definedName name="Parm_Elect_Switchyd_09" localSheetId="3">#REF!</definedName>
    <definedName name="Parm_Elect_Switchyd_09" localSheetId="5">#REF!</definedName>
    <definedName name="Parm_Elect_Switchyd_09">#REF!</definedName>
    <definedName name="Parm_Elect_Switchyd_10" localSheetId="2">#REF!</definedName>
    <definedName name="Parm_Elect_Switchyd_10" localSheetId="1">#REF!</definedName>
    <definedName name="Parm_Elect_Switchyd_10" localSheetId="0">#REF!</definedName>
    <definedName name="Parm_Elect_Switchyd_10" localSheetId="4">#REF!</definedName>
    <definedName name="Parm_Elect_Switchyd_10" localSheetId="3">#REF!</definedName>
    <definedName name="Parm_Elect_Switchyd_10" localSheetId="5">#REF!</definedName>
    <definedName name="Parm_Elect_Switchyd_10">#REF!</definedName>
    <definedName name="Parm_Elect_Switchyd_11" localSheetId="2">#REF!</definedName>
    <definedName name="Parm_Elect_Switchyd_11" localSheetId="1">#REF!</definedName>
    <definedName name="Parm_Elect_Switchyd_11" localSheetId="0">#REF!</definedName>
    <definedName name="Parm_Elect_Switchyd_11" localSheetId="4">#REF!</definedName>
    <definedName name="Parm_Elect_Switchyd_11" localSheetId="3">#REF!</definedName>
    <definedName name="Parm_Elect_Switchyd_11" localSheetId="5">#REF!</definedName>
    <definedName name="Parm_Elect_Switchyd_11">#REF!</definedName>
    <definedName name="Parm_Elect_Switchyd_12" localSheetId="2">#REF!</definedName>
    <definedName name="Parm_Elect_Switchyd_12" localSheetId="1">#REF!</definedName>
    <definedName name="Parm_Elect_Switchyd_12" localSheetId="0">#REF!</definedName>
    <definedName name="Parm_Elect_Switchyd_12" localSheetId="4">#REF!</definedName>
    <definedName name="Parm_Elect_Switchyd_12" localSheetId="3">#REF!</definedName>
    <definedName name="Parm_Elect_Switchyd_12" localSheetId="5">#REF!</definedName>
    <definedName name="Parm_Elect_Switchyd_12">#REF!</definedName>
    <definedName name="Parm_Elect_Switchyd_13" localSheetId="2">#REF!</definedName>
    <definedName name="Parm_Elect_Switchyd_13" localSheetId="1">#REF!</definedName>
    <definedName name="Parm_Elect_Switchyd_13" localSheetId="0">#REF!</definedName>
    <definedName name="Parm_Elect_Switchyd_13" localSheetId="4">#REF!</definedName>
    <definedName name="Parm_Elect_Switchyd_13" localSheetId="3">#REF!</definedName>
    <definedName name="Parm_Elect_Switchyd_13" localSheetId="5">#REF!</definedName>
    <definedName name="Parm_Elect_Switchyd_13">#REF!</definedName>
    <definedName name="Parm_Elect_Switchyd_14" localSheetId="2">#REF!</definedName>
    <definedName name="Parm_Elect_Switchyd_14" localSheetId="1">#REF!</definedName>
    <definedName name="Parm_Elect_Switchyd_14" localSheetId="0">#REF!</definedName>
    <definedName name="Parm_Elect_Switchyd_14" localSheetId="4">#REF!</definedName>
    <definedName name="Parm_Elect_Switchyd_14" localSheetId="3">#REF!</definedName>
    <definedName name="Parm_Elect_Switchyd_14" localSheetId="5">#REF!</definedName>
    <definedName name="Parm_Elect_Switchyd_14">#REF!</definedName>
    <definedName name="Parm_Elect_Switchyd_15" localSheetId="2">#REF!</definedName>
    <definedName name="Parm_Elect_Switchyd_15" localSheetId="1">#REF!</definedName>
    <definedName name="Parm_Elect_Switchyd_15" localSheetId="0">#REF!</definedName>
    <definedName name="Parm_Elect_Switchyd_15" localSheetId="4">#REF!</definedName>
    <definedName name="Parm_Elect_Switchyd_15" localSheetId="3">#REF!</definedName>
    <definedName name="Parm_Elect_Switchyd_15" localSheetId="5">#REF!</definedName>
    <definedName name="Parm_Elect_Switchyd_15">#REF!</definedName>
    <definedName name="Parm_Elect_Switchyd_16" localSheetId="2">#REF!</definedName>
    <definedName name="Parm_Elect_Switchyd_16" localSheetId="1">#REF!</definedName>
    <definedName name="Parm_Elect_Switchyd_16" localSheetId="0">#REF!</definedName>
    <definedName name="Parm_Elect_Switchyd_16" localSheetId="4">#REF!</definedName>
    <definedName name="Parm_Elect_Switchyd_16" localSheetId="3">#REF!</definedName>
    <definedName name="Parm_Elect_Switchyd_16" localSheetId="5">#REF!</definedName>
    <definedName name="Parm_Elect_Switchyd_16">#REF!</definedName>
    <definedName name="Parm_Elect_Switchyd_17" localSheetId="2">#REF!</definedName>
    <definedName name="Parm_Elect_Switchyd_17" localSheetId="1">#REF!</definedName>
    <definedName name="Parm_Elect_Switchyd_17" localSheetId="0">#REF!</definedName>
    <definedName name="Parm_Elect_Switchyd_17" localSheetId="4">#REF!</definedName>
    <definedName name="Parm_Elect_Switchyd_17" localSheetId="3">#REF!</definedName>
    <definedName name="Parm_Elect_Switchyd_17" localSheetId="5">#REF!</definedName>
    <definedName name="Parm_Elect_Switchyd_17">#REF!</definedName>
    <definedName name="Parm_Elect_Switchyd_18" localSheetId="2">#REF!</definedName>
    <definedName name="Parm_Elect_Switchyd_18" localSheetId="1">#REF!</definedName>
    <definedName name="Parm_Elect_Switchyd_18" localSheetId="0">#REF!</definedName>
    <definedName name="Parm_Elect_Switchyd_18" localSheetId="4">#REF!</definedName>
    <definedName name="Parm_Elect_Switchyd_18" localSheetId="3">#REF!</definedName>
    <definedName name="Parm_Elect_Switchyd_18" localSheetId="5">#REF!</definedName>
    <definedName name="Parm_Elect_Switchyd_18">#REF!</definedName>
    <definedName name="Parm_Elect_Switchyd_19" localSheetId="2">#REF!</definedName>
    <definedName name="Parm_Elect_Switchyd_19" localSheetId="1">#REF!</definedName>
    <definedName name="Parm_Elect_Switchyd_19" localSheetId="0">#REF!</definedName>
    <definedName name="Parm_Elect_Switchyd_19" localSheetId="4">#REF!</definedName>
    <definedName name="Parm_Elect_Switchyd_19" localSheetId="3">#REF!</definedName>
    <definedName name="Parm_Elect_Switchyd_19" localSheetId="5">#REF!</definedName>
    <definedName name="Parm_Elect_Switchyd_19">#REF!</definedName>
    <definedName name="Parm_Elect_Switchyd_20" localSheetId="2">#REF!</definedName>
    <definedName name="Parm_Elect_Switchyd_20" localSheetId="1">#REF!</definedName>
    <definedName name="Parm_Elect_Switchyd_20" localSheetId="0">#REF!</definedName>
    <definedName name="Parm_Elect_Switchyd_20" localSheetId="4">#REF!</definedName>
    <definedName name="Parm_Elect_Switchyd_20" localSheetId="3">#REF!</definedName>
    <definedName name="Parm_Elect_Switchyd_20" localSheetId="5">#REF!</definedName>
    <definedName name="Parm_Elect_Switchyd_20">#REF!</definedName>
    <definedName name="Parm_Elect_Switchyd_21" localSheetId="2">#REF!</definedName>
    <definedName name="Parm_Elect_Switchyd_21" localSheetId="1">#REF!</definedName>
    <definedName name="Parm_Elect_Switchyd_21" localSheetId="0">#REF!</definedName>
    <definedName name="Parm_Elect_Switchyd_21" localSheetId="4">#REF!</definedName>
    <definedName name="Parm_Elect_Switchyd_21" localSheetId="3">#REF!</definedName>
    <definedName name="Parm_Elect_Switchyd_21" localSheetId="5">#REF!</definedName>
    <definedName name="Parm_Elect_Switchyd_21">#REF!</definedName>
    <definedName name="Parm_Elect_Transfmr_01" localSheetId="2">#REF!</definedName>
    <definedName name="Parm_Elect_Transfmr_01" localSheetId="1">#REF!</definedName>
    <definedName name="Parm_Elect_Transfmr_01" localSheetId="0">#REF!</definedName>
    <definedName name="Parm_Elect_Transfmr_01" localSheetId="4">#REF!</definedName>
    <definedName name="Parm_Elect_Transfmr_01" localSheetId="3">#REF!</definedName>
    <definedName name="Parm_Elect_Transfmr_01" localSheetId="5">#REF!</definedName>
    <definedName name="Parm_Elect_Transfmr_01">#REF!</definedName>
    <definedName name="Parm_Elect_Transfmr_02" localSheetId="2">#REF!</definedName>
    <definedName name="Parm_Elect_Transfmr_02" localSheetId="1">#REF!</definedName>
    <definedName name="Parm_Elect_Transfmr_02" localSheetId="0">#REF!</definedName>
    <definedName name="Parm_Elect_Transfmr_02" localSheetId="4">#REF!</definedName>
    <definedName name="Parm_Elect_Transfmr_02" localSheetId="3">#REF!</definedName>
    <definedName name="Parm_Elect_Transfmr_02" localSheetId="5">#REF!</definedName>
    <definedName name="Parm_Elect_Transfmr_02">#REF!</definedName>
    <definedName name="Parm_Elect_Transfmr_03" localSheetId="2">#REF!</definedName>
    <definedName name="Parm_Elect_Transfmr_03" localSheetId="1">#REF!</definedName>
    <definedName name="Parm_Elect_Transfmr_03" localSheetId="0">#REF!</definedName>
    <definedName name="Parm_Elect_Transfmr_03" localSheetId="4">#REF!</definedName>
    <definedName name="Parm_Elect_Transfmr_03" localSheetId="3">#REF!</definedName>
    <definedName name="Parm_Elect_Transfmr_03" localSheetId="5">#REF!</definedName>
    <definedName name="Parm_Elect_Transfmr_03">#REF!</definedName>
    <definedName name="Parm_Elect_Transfmr_04" localSheetId="2">#REF!</definedName>
    <definedName name="Parm_Elect_Transfmr_04" localSheetId="1">#REF!</definedName>
    <definedName name="Parm_Elect_Transfmr_04" localSheetId="0">#REF!</definedName>
    <definedName name="Parm_Elect_Transfmr_04" localSheetId="4">#REF!</definedName>
    <definedName name="Parm_Elect_Transfmr_04" localSheetId="3">#REF!</definedName>
    <definedName name="Parm_Elect_Transfmr_04" localSheetId="5">#REF!</definedName>
    <definedName name="Parm_Elect_Transfmr_04">#REF!</definedName>
    <definedName name="Parm_Elect_Transfmr_05" localSheetId="2">#REF!</definedName>
    <definedName name="Parm_Elect_Transfmr_05" localSheetId="1">#REF!</definedName>
    <definedName name="Parm_Elect_Transfmr_05" localSheetId="0">#REF!</definedName>
    <definedName name="Parm_Elect_Transfmr_05" localSheetId="4">#REF!</definedName>
    <definedName name="Parm_Elect_Transfmr_05" localSheetId="3">#REF!</definedName>
    <definedName name="Parm_Elect_Transfmr_05" localSheetId="5">#REF!</definedName>
    <definedName name="Parm_Elect_Transfmr_05">#REF!</definedName>
    <definedName name="Parm_Elect_Transfmr_06" localSheetId="2">#REF!</definedName>
    <definedName name="Parm_Elect_Transfmr_06" localSheetId="1">#REF!</definedName>
    <definedName name="Parm_Elect_Transfmr_06" localSheetId="0">#REF!</definedName>
    <definedName name="Parm_Elect_Transfmr_06" localSheetId="4">#REF!</definedName>
    <definedName name="Parm_Elect_Transfmr_06" localSheetId="3">#REF!</definedName>
    <definedName name="Parm_Elect_Transfmr_06" localSheetId="5">#REF!</definedName>
    <definedName name="Parm_Elect_Transfmr_06">#REF!</definedName>
    <definedName name="Parm_Elect_Transfmr_07" localSheetId="2">#REF!</definedName>
    <definedName name="Parm_Elect_Transfmr_07" localSheetId="1">#REF!</definedName>
    <definedName name="Parm_Elect_Transfmr_07" localSheetId="0">#REF!</definedName>
    <definedName name="Parm_Elect_Transfmr_07" localSheetId="4">#REF!</definedName>
    <definedName name="Parm_Elect_Transfmr_07" localSheetId="3">#REF!</definedName>
    <definedName name="Parm_Elect_Transfmr_07" localSheetId="5">#REF!</definedName>
    <definedName name="Parm_Elect_Transfmr_07">#REF!</definedName>
    <definedName name="Parm_Elect_Transfmr_08" localSheetId="2">#REF!</definedName>
    <definedName name="Parm_Elect_Transfmr_08" localSheetId="1">#REF!</definedName>
    <definedName name="Parm_Elect_Transfmr_08" localSheetId="0">#REF!</definedName>
    <definedName name="Parm_Elect_Transfmr_08" localSheetId="4">#REF!</definedName>
    <definedName name="Parm_Elect_Transfmr_08" localSheetId="3">#REF!</definedName>
    <definedName name="Parm_Elect_Transfmr_08" localSheetId="5">#REF!</definedName>
    <definedName name="Parm_Elect_Transfmr_08">#REF!</definedName>
    <definedName name="Parm_Elect_Transfmr_09" localSheetId="2">#REF!</definedName>
    <definedName name="Parm_Elect_Transfmr_09" localSheetId="1">#REF!</definedName>
    <definedName name="Parm_Elect_Transfmr_09" localSheetId="0">#REF!</definedName>
    <definedName name="Parm_Elect_Transfmr_09" localSheetId="4">#REF!</definedName>
    <definedName name="Parm_Elect_Transfmr_09" localSheetId="3">#REF!</definedName>
    <definedName name="Parm_Elect_Transfmr_09" localSheetId="5">#REF!</definedName>
    <definedName name="Parm_Elect_Transfmr_09">#REF!</definedName>
    <definedName name="Parm_Elect_Transfmr_10" localSheetId="2">#REF!</definedName>
    <definedName name="Parm_Elect_Transfmr_10" localSheetId="1">#REF!</definedName>
    <definedName name="Parm_Elect_Transfmr_10" localSheetId="0">#REF!</definedName>
    <definedName name="Parm_Elect_Transfmr_10" localSheetId="4">#REF!</definedName>
    <definedName name="Parm_Elect_Transfmr_10" localSheetId="3">#REF!</definedName>
    <definedName name="Parm_Elect_Transfmr_10" localSheetId="5">#REF!</definedName>
    <definedName name="Parm_Elect_Transfmr_10">#REF!</definedName>
    <definedName name="Parm_Elect_Transfmr_11" localSheetId="2">#REF!</definedName>
    <definedName name="Parm_Elect_Transfmr_11" localSheetId="1">#REF!</definedName>
    <definedName name="Parm_Elect_Transfmr_11" localSheetId="0">#REF!</definedName>
    <definedName name="Parm_Elect_Transfmr_11" localSheetId="4">#REF!</definedName>
    <definedName name="Parm_Elect_Transfmr_11" localSheetId="3">#REF!</definedName>
    <definedName name="Parm_Elect_Transfmr_11" localSheetId="5">#REF!</definedName>
    <definedName name="Parm_Elect_Transfmr_11">#REF!</definedName>
    <definedName name="Parm_Elect_Transfmr_12" localSheetId="2">#REF!</definedName>
    <definedName name="Parm_Elect_Transfmr_12" localSheetId="1">#REF!</definedName>
    <definedName name="Parm_Elect_Transfmr_12" localSheetId="0">#REF!</definedName>
    <definedName name="Parm_Elect_Transfmr_12" localSheetId="4">#REF!</definedName>
    <definedName name="Parm_Elect_Transfmr_12" localSheetId="3">#REF!</definedName>
    <definedName name="Parm_Elect_Transfmr_12" localSheetId="5">#REF!</definedName>
    <definedName name="Parm_Elect_Transfmr_12">#REF!</definedName>
    <definedName name="Parm_Elect_Transfmr_13" localSheetId="2">#REF!</definedName>
    <definedName name="Parm_Elect_Transfmr_13" localSheetId="1">#REF!</definedName>
    <definedName name="Parm_Elect_Transfmr_13" localSheetId="0">#REF!</definedName>
    <definedName name="Parm_Elect_Transfmr_13" localSheetId="4">#REF!</definedName>
    <definedName name="Parm_Elect_Transfmr_13" localSheetId="3">#REF!</definedName>
    <definedName name="Parm_Elect_Transfmr_13" localSheetId="5">#REF!</definedName>
    <definedName name="Parm_Elect_Transfmr_13">#REF!</definedName>
    <definedName name="Parm_Elect_Transfmr_14" localSheetId="2">#REF!</definedName>
    <definedName name="Parm_Elect_Transfmr_14" localSheetId="1">#REF!</definedName>
    <definedName name="Parm_Elect_Transfmr_14" localSheetId="0">#REF!</definedName>
    <definedName name="Parm_Elect_Transfmr_14" localSheetId="4">#REF!</definedName>
    <definedName name="Parm_Elect_Transfmr_14" localSheetId="3">#REF!</definedName>
    <definedName name="Parm_Elect_Transfmr_14" localSheetId="5">#REF!</definedName>
    <definedName name="Parm_Elect_Transfmr_14">#REF!</definedName>
    <definedName name="Parm_Elect_Transfmr_15" localSheetId="2">#REF!</definedName>
    <definedName name="Parm_Elect_Transfmr_15" localSheetId="1">#REF!</definedName>
    <definedName name="Parm_Elect_Transfmr_15" localSheetId="0">#REF!</definedName>
    <definedName name="Parm_Elect_Transfmr_15" localSheetId="4">#REF!</definedName>
    <definedName name="Parm_Elect_Transfmr_15" localSheetId="3">#REF!</definedName>
    <definedName name="Parm_Elect_Transfmr_15" localSheetId="5">#REF!</definedName>
    <definedName name="Parm_Elect_Transfmr_15">#REF!</definedName>
    <definedName name="Parm_Elect_Transfmr_16" localSheetId="2">#REF!</definedName>
    <definedName name="Parm_Elect_Transfmr_16" localSheetId="1">#REF!</definedName>
    <definedName name="Parm_Elect_Transfmr_16" localSheetId="0">#REF!</definedName>
    <definedName name="Parm_Elect_Transfmr_16" localSheetId="4">#REF!</definedName>
    <definedName name="Parm_Elect_Transfmr_16" localSheetId="3">#REF!</definedName>
    <definedName name="Parm_Elect_Transfmr_16" localSheetId="5">#REF!</definedName>
    <definedName name="Parm_Elect_Transfmr_16">#REF!</definedName>
    <definedName name="Parm_Elect_Transfmr_17" localSheetId="2">#REF!</definedName>
    <definedName name="Parm_Elect_Transfmr_17" localSheetId="1">#REF!</definedName>
    <definedName name="Parm_Elect_Transfmr_17" localSheetId="0">#REF!</definedName>
    <definedName name="Parm_Elect_Transfmr_17" localSheetId="4">#REF!</definedName>
    <definedName name="Parm_Elect_Transfmr_17" localSheetId="3">#REF!</definedName>
    <definedName name="Parm_Elect_Transfmr_17" localSheetId="5">#REF!</definedName>
    <definedName name="Parm_Elect_Transfmr_17">#REF!</definedName>
    <definedName name="Parm_Elect_Transfmr_18" localSheetId="2">#REF!</definedName>
    <definedName name="Parm_Elect_Transfmr_18" localSheetId="1">#REF!</definedName>
    <definedName name="Parm_Elect_Transfmr_18" localSheetId="0">#REF!</definedName>
    <definedName name="Parm_Elect_Transfmr_18" localSheetId="4">#REF!</definedName>
    <definedName name="Parm_Elect_Transfmr_18" localSheetId="3">#REF!</definedName>
    <definedName name="Parm_Elect_Transfmr_18" localSheetId="5">#REF!</definedName>
    <definedName name="Parm_Elect_Transfmr_18">#REF!</definedName>
    <definedName name="Parm_Elect_Transfmr_19" localSheetId="2">#REF!</definedName>
    <definedName name="Parm_Elect_Transfmr_19" localSheetId="1">#REF!</definedName>
    <definedName name="Parm_Elect_Transfmr_19" localSheetId="0">#REF!</definedName>
    <definedName name="Parm_Elect_Transfmr_19" localSheetId="4">#REF!</definedName>
    <definedName name="Parm_Elect_Transfmr_19" localSheetId="3">#REF!</definedName>
    <definedName name="Parm_Elect_Transfmr_19" localSheetId="5">#REF!</definedName>
    <definedName name="Parm_Elect_Transfmr_19">#REF!</definedName>
    <definedName name="Parm_Elect_Transfmr_20" localSheetId="2">#REF!</definedName>
    <definedName name="Parm_Elect_Transfmr_20" localSheetId="1">#REF!</definedName>
    <definedName name="Parm_Elect_Transfmr_20" localSheetId="0">#REF!</definedName>
    <definedName name="Parm_Elect_Transfmr_20" localSheetId="4">#REF!</definedName>
    <definedName name="Parm_Elect_Transfmr_20" localSheetId="3">#REF!</definedName>
    <definedName name="Parm_Elect_Transfmr_20" localSheetId="5">#REF!</definedName>
    <definedName name="Parm_Elect_Transfmr_20">#REF!</definedName>
    <definedName name="Parm_Elect_Transfmr_21" localSheetId="2">#REF!</definedName>
    <definedName name="Parm_Elect_Transfmr_21" localSheetId="1">#REF!</definedName>
    <definedName name="Parm_Elect_Transfmr_21" localSheetId="0">#REF!</definedName>
    <definedName name="Parm_Elect_Transfmr_21" localSheetId="4">#REF!</definedName>
    <definedName name="Parm_Elect_Transfmr_21" localSheetId="3">#REF!</definedName>
    <definedName name="Parm_Elect_Transfmr_21" localSheetId="5">#REF!</definedName>
    <definedName name="Parm_Elect_Transfmr_21">#REF!</definedName>
    <definedName name="Parm_Elect_Transfmr_22" localSheetId="2">#REF!</definedName>
    <definedName name="Parm_Elect_Transfmr_22" localSheetId="1">#REF!</definedName>
    <definedName name="Parm_Elect_Transfmr_22" localSheetId="0">#REF!</definedName>
    <definedName name="Parm_Elect_Transfmr_22" localSheetId="4">#REF!</definedName>
    <definedName name="Parm_Elect_Transfmr_22" localSheetId="3">#REF!</definedName>
    <definedName name="Parm_Elect_Transfmr_22" localSheetId="5">#REF!</definedName>
    <definedName name="Parm_Elect_Transfmr_22">#REF!</definedName>
    <definedName name="Parm_Elect_Transfmr_23" localSheetId="2">#REF!</definedName>
    <definedName name="Parm_Elect_Transfmr_23" localSheetId="1">#REF!</definedName>
    <definedName name="Parm_Elect_Transfmr_23" localSheetId="0">#REF!</definedName>
    <definedName name="Parm_Elect_Transfmr_23" localSheetId="4">#REF!</definedName>
    <definedName name="Parm_Elect_Transfmr_23" localSheetId="3">#REF!</definedName>
    <definedName name="Parm_Elect_Transfmr_23" localSheetId="5">#REF!</definedName>
    <definedName name="Parm_Elect_Transfmr_23">#REF!</definedName>
    <definedName name="Parm_Elect_Transfmr_24" localSheetId="2">#REF!</definedName>
    <definedName name="Parm_Elect_Transfmr_24" localSheetId="1">#REF!</definedName>
    <definedName name="Parm_Elect_Transfmr_24" localSheetId="0">#REF!</definedName>
    <definedName name="Parm_Elect_Transfmr_24" localSheetId="4">#REF!</definedName>
    <definedName name="Parm_Elect_Transfmr_24" localSheetId="3">#REF!</definedName>
    <definedName name="Parm_Elect_Transfmr_24" localSheetId="5">#REF!</definedName>
    <definedName name="Parm_Elect_Transfmr_24">#REF!</definedName>
    <definedName name="Parm_Elect_Transfmr_25" localSheetId="2">#REF!</definedName>
    <definedName name="Parm_Elect_Transfmr_25" localSheetId="1">#REF!</definedName>
    <definedName name="Parm_Elect_Transfmr_25" localSheetId="0">#REF!</definedName>
    <definedName name="Parm_Elect_Transfmr_25" localSheetId="4">#REF!</definedName>
    <definedName name="Parm_Elect_Transfmr_25" localSheetId="3">#REF!</definedName>
    <definedName name="Parm_Elect_Transfmr_25" localSheetId="5">#REF!</definedName>
    <definedName name="Parm_Elect_Transfmr_25">#REF!</definedName>
    <definedName name="Parm_Elect_Transfmr_26" localSheetId="2">#REF!</definedName>
    <definedName name="Parm_Elect_Transfmr_26" localSheetId="1">#REF!</definedName>
    <definedName name="Parm_Elect_Transfmr_26" localSheetId="0">#REF!</definedName>
    <definedName name="Parm_Elect_Transfmr_26" localSheetId="4">#REF!</definedName>
    <definedName name="Parm_Elect_Transfmr_26" localSheetId="3">#REF!</definedName>
    <definedName name="Parm_Elect_Transfmr_26" localSheetId="5">#REF!</definedName>
    <definedName name="Parm_Elect_Transfmr_26">#REF!</definedName>
    <definedName name="Parm_Elect_Transfmr_27" localSheetId="2">#REF!</definedName>
    <definedName name="Parm_Elect_Transfmr_27" localSheetId="1">#REF!</definedName>
    <definedName name="Parm_Elect_Transfmr_27" localSheetId="0">#REF!</definedName>
    <definedName name="Parm_Elect_Transfmr_27" localSheetId="4">#REF!</definedName>
    <definedName name="Parm_Elect_Transfmr_27" localSheetId="3">#REF!</definedName>
    <definedName name="Parm_Elect_Transfmr_27" localSheetId="5">#REF!</definedName>
    <definedName name="Parm_Elect_Transfmr_27">#REF!</definedName>
    <definedName name="Parm_Elect_Transfmr_28" localSheetId="2">#REF!</definedName>
    <definedName name="Parm_Elect_Transfmr_28" localSheetId="1">#REF!</definedName>
    <definedName name="Parm_Elect_Transfmr_28" localSheetId="0">#REF!</definedName>
    <definedName name="Parm_Elect_Transfmr_28" localSheetId="4">#REF!</definedName>
    <definedName name="Parm_Elect_Transfmr_28" localSheetId="3">#REF!</definedName>
    <definedName name="Parm_Elect_Transfmr_28" localSheetId="5">#REF!</definedName>
    <definedName name="Parm_Elect_Transfmr_28">#REF!</definedName>
    <definedName name="Parm_Elect_Transfmr_29" localSheetId="2">#REF!</definedName>
    <definedName name="Parm_Elect_Transfmr_29" localSheetId="1">#REF!</definedName>
    <definedName name="Parm_Elect_Transfmr_29" localSheetId="0">#REF!</definedName>
    <definedName name="Parm_Elect_Transfmr_29" localSheetId="4">#REF!</definedName>
    <definedName name="Parm_Elect_Transfmr_29" localSheetId="3">#REF!</definedName>
    <definedName name="Parm_Elect_Transfmr_29" localSheetId="5">#REF!</definedName>
    <definedName name="Parm_Elect_Transfmr_29">#REF!</definedName>
    <definedName name="Parm_Elect_Transfmr_30" localSheetId="2">#REF!</definedName>
    <definedName name="Parm_Elect_Transfmr_30" localSheetId="1">#REF!</definedName>
    <definedName name="Parm_Elect_Transfmr_30" localSheetId="0">#REF!</definedName>
    <definedName name="Parm_Elect_Transfmr_30" localSheetId="4">#REF!</definedName>
    <definedName name="Parm_Elect_Transfmr_30" localSheetId="3">#REF!</definedName>
    <definedName name="Parm_Elect_Transfmr_30" localSheetId="5">#REF!</definedName>
    <definedName name="Parm_Elect_Transfmr_30">#REF!</definedName>
    <definedName name="Parm_Elect_Transfmr_31" localSheetId="2">#REF!</definedName>
    <definedName name="Parm_Elect_Transfmr_31" localSheetId="1">#REF!</definedName>
    <definedName name="Parm_Elect_Transfmr_31" localSheetId="0">#REF!</definedName>
    <definedName name="Parm_Elect_Transfmr_31" localSheetId="4">#REF!</definedName>
    <definedName name="Parm_Elect_Transfmr_31" localSheetId="3">#REF!</definedName>
    <definedName name="Parm_Elect_Transfmr_31" localSheetId="5">#REF!</definedName>
    <definedName name="Parm_Elect_Transfmr_31">#REF!</definedName>
    <definedName name="Parm_Elect_Transfmr_32" localSheetId="2">#REF!</definedName>
    <definedName name="Parm_Elect_Transfmr_32" localSheetId="1">#REF!</definedName>
    <definedName name="Parm_Elect_Transfmr_32" localSheetId="0">#REF!</definedName>
    <definedName name="Parm_Elect_Transfmr_32" localSheetId="4">#REF!</definedName>
    <definedName name="Parm_Elect_Transfmr_32" localSheetId="3">#REF!</definedName>
    <definedName name="Parm_Elect_Transfmr_32" localSheetId="5">#REF!</definedName>
    <definedName name="Parm_Elect_Transfmr_32">#REF!</definedName>
    <definedName name="Parm_Elect_Transfmr_33" localSheetId="2">#REF!</definedName>
    <definedName name="Parm_Elect_Transfmr_33" localSheetId="1">#REF!</definedName>
    <definedName name="Parm_Elect_Transfmr_33" localSheetId="0">#REF!</definedName>
    <definedName name="Parm_Elect_Transfmr_33" localSheetId="4">#REF!</definedName>
    <definedName name="Parm_Elect_Transfmr_33" localSheetId="3">#REF!</definedName>
    <definedName name="Parm_Elect_Transfmr_33" localSheetId="5">#REF!</definedName>
    <definedName name="Parm_Elect_Transfmr_33">#REF!</definedName>
    <definedName name="Parm_Elect_Transfmr_34" localSheetId="2">#REF!</definedName>
    <definedName name="Parm_Elect_Transfmr_34" localSheetId="1">#REF!</definedName>
    <definedName name="Parm_Elect_Transfmr_34" localSheetId="0">#REF!</definedName>
    <definedName name="Parm_Elect_Transfmr_34" localSheetId="4">#REF!</definedName>
    <definedName name="Parm_Elect_Transfmr_34" localSheetId="3">#REF!</definedName>
    <definedName name="Parm_Elect_Transfmr_34" localSheetId="5">#REF!</definedName>
    <definedName name="Parm_Elect_Transfmr_34">#REF!</definedName>
    <definedName name="Parm_Elect_Transfmr_35" localSheetId="2">#REF!</definedName>
    <definedName name="Parm_Elect_Transfmr_35" localSheetId="1">#REF!</definedName>
    <definedName name="Parm_Elect_Transfmr_35" localSheetId="0">#REF!</definedName>
    <definedName name="Parm_Elect_Transfmr_35" localSheetId="4">#REF!</definedName>
    <definedName name="Parm_Elect_Transfmr_35" localSheetId="3">#REF!</definedName>
    <definedName name="Parm_Elect_Transfmr_35" localSheetId="5">#REF!</definedName>
    <definedName name="Parm_Elect_Transfmr_35">#REF!</definedName>
    <definedName name="Parm_Elect_Transfmr_36" localSheetId="2">#REF!</definedName>
    <definedName name="Parm_Elect_Transfmr_36" localSheetId="1">#REF!</definedName>
    <definedName name="Parm_Elect_Transfmr_36" localSheetId="0">#REF!</definedName>
    <definedName name="Parm_Elect_Transfmr_36" localSheetId="4">#REF!</definedName>
    <definedName name="Parm_Elect_Transfmr_36" localSheetId="3">#REF!</definedName>
    <definedName name="Parm_Elect_Transfmr_36" localSheetId="5">#REF!</definedName>
    <definedName name="Parm_Elect_Transfmr_36">#REF!</definedName>
    <definedName name="Parm_Elect_Transfmr_37" localSheetId="2">#REF!</definedName>
    <definedName name="Parm_Elect_Transfmr_37" localSheetId="1">#REF!</definedName>
    <definedName name="Parm_Elect_Transfmr_37" localSheetId="0">#REF!</definedName>
    <definedName name="Parm_Elect_Transfmr_37" localSheetId="4">#REF!</definedName>
    <definedName name="Parm_Elect_Transfmr_37" localSheetId="3">#REF!</definedName>
    <definedName name="Parm_Elect_Transfmr_37" localSheetId="5">#REF!</definedName>
    <definedName name="Parm_Elect_Transfmr_37">#REF!</definedName>
    <definedName name="Parm_Elect_Transfmr_38" localSheetId="2">#REF!</definedName>
    <definedName name="Parm_Elect_Transfmr_38" localSheetId="1">#REF!</definedName>
    <definedName name="Parm_Elect_Transfmr_38" localSheetId="0">#REF!</definedName>
    <definedName name="Parm_Elect_Transfmr_38" localSheetId="4">#REF!</definedName>
    <definedName name="Parm_Elect_Transfmr_38" localSheetId="3">#REF!</definedName>
    <definedName name="Parm_Elect_Transfmr_38" localSheetId="5">#REF!</definedName>
    <definedName name="Parm_Elect_Transfmr_38">#REF!</definedName>
    <definedName name="Parm_Elect_Transfmr_39" localSheetId="2">#REF!</definedName>
    <definedName name="Parm_Elect_Transfmr_39" localSheetId="1">#REF!</definedName>
    <definedName name="Parm_Elect_Transfmr_39" localSheetId="0">#REF!</definedName>
    <definedName name="Parm_Elect_Transfmr_39" localSheetId="4">#REF!</definedName>
    <definedName name="Parm_Elect_Transfmr_39" localSheetId="3">#REF!</definedName>
    <definedName name="Parm_Elect_Transfmr_39" localSheetId="5">#REF!</definedName>
    <definedName name="Parm_Elect_Transfmr_39">#REF!</definedName>
    <definedName name="Parm_Elect_Transfmr_40" localSheetId="2">#REF!</definedName>
    <definedName name="Parm_Elect_Transfmr_40" localSheetId="1">#REF!</definedName>
    <definedName name="Parm_Elect_Transfmr_40" localSheetId="0">#REF!</definedName>
    <definedName name="Parm_Elect_Transfmr_40" localSheetId="4">#REF!</definedName>
    <definedName name="Parm_Elect_Transfmr_40" localSheetId="3">#REF!</definedName>
    <definedName name="Parm_Elect_Transfmr_40" localSheetId="5">#REF!</definedName>
    <definedName name="Parm_Elect_Transfmr_40">#REF!</definedName>
    <definedName name="Parm_Elect_Transfmr_41" localSheetId="2">#REF!</definedName>
    <definedName name="Parm_Elect_Transfmr_41" localSheetId="1">#REF!</definedName>
    <definedName name="Parm_Elect_Transfmr_41" localSheetId="0">#REF!</definedName>
    <definedName name="Parm_Elect_Transfmr_41" localSheetId="4">#REF!</definedName>
    <definedName name="Parm_Elect_Transfmr_41" localSheetId="3">#REF!</definedName>
    <definedName name="Parm_Elect_Transfmr_41" localSheetId="5">#REF!</definedName>
    <definedName name="Parm_Elect_Transfmr_41">#REF!</definedName>
    <definedName name="Parm_Elect_Transfmr_42" localSheetId="2">#REF!</definedName>
    <definedName name="Parm_Elect_Transfmr_42" localSheetId="1">#REF!</definedName>
    <definedName name="Parm_Elect_Transfmr_42" localSheetId="0">#REF!</definedName>
    <definedName name="Parm_Elect_Transfmr_42" localSheetId="4">#REF!</definedName>
    <definedName name="Parm_Elect_Transfmr_42" localSheetId="3">#REF!</definedName>
    <definedName name="Parm_Elect_Transfmr_42" localSheetId="5">#REF!</definedName>
    <definedName name="Parm_Elect_Transfmr_42">#REF!</definedName>
    <definedName name="Parm_Elect_Transfmr_43" localSheetId="2">#REF!</definedName>
    <definedName name="Parm_Elect_Transfmr_43" localSheetId="1">#REF!</definedName>
    <definedName name="Parm_Elect_Transfmr_43" localSheetId="0">#REF!</definedName>
    <definedName name="Parm_Elect_Transfmr_43" localSheetId="4">#REF!</definedName>
    <definedName name="Parm_Elect_Transfmr_43" localSheetId="3">#REF!</definedName>
    <definedName name="Parm_Elect_Transfmr_43" localSheetId="5">#REF!</definedName>
    <definedName name="Parm_Elect_Transfmr_43">#REF!</definedName>
    <definedName name="Parm_Elect_Transfmr_44" localSheetId="2">#REF!</definedName>
    <definedName name="Parm_Elect_Transfmr_44" localSheetId="1">#REF!</definedName>
    <definedName name="Parm_Elect_Transfmr_44" localSheetId="0">#REF!</definedName>
    <definedName name="Parm_Elect_Transfmr_44" localSheetId="4">#REF!</definedName>
    <definedName name="Parm_Elect_Transfmr_44" localSheetId="3">#REF!</definedName>
    <definedName name="Parm_Elect_Transfmr_44" localSheetId="5">#REF!</definedName>
    <definedName name="Parm_Elect_Transfmr_44">#REF!</definedName>
    <definedName name="Parm_Elect_Transfmr_45" localSheetId="2">#REF!</definedName>
    <definedName name="Parm_Elect_Transfmr_45" localSheetId="1">#REF!</definedName>
    <definedName name="Parm_Elect_Transfmr_45" localSheetId="0">#REF!</definedName>
    <definedName name="Parm_Elect_Transfmr_45" localSheetId="4">#REF!</definedName>
    <definedName name="Parm_Elect_Transfmr_45" localSheetId="3">#REF!</definedName>
    <definedName name="Parm_Elect_Transfmr_45" localSheetId="5">#REF!</definedName>
    <definedName name="Parm_Elect_Transfmr_45">#REF!</definedName>
    <definedName name="Parm_Elect_Transfmr_46" localSheetId="2">#REF!</definedName>
    <definedName name="Parm_Elect_Transfmr_46" localSheetId="1">#REF!</definedName>
    <definedName name="Parm_Elect_Transfmr_46" localSheetId="0">#REF!</definedName>
    <definedName name="Parm_Elect_Transfmr_46" localSheetId="4">#REF!</definedName>
    <definedName name="Parm_Elect_Transfmr_46" localSheetId="3">#REF!</definedName>
    <definedName name="Parm_Elect_Transfmr_46" localSheetId="5">#REF!</definedName>
    <definedName name="Parm_Elect_Transfmr_46">#REF!</definedName>
    <definedName name="Parm_Elect_Transfmr_47" localSheetId="2">#REF!</definedName>
    <definedName name="Parm_Elect_Transfmr_47" localSheetId="1">#REF!</definedName>
    <definedName name="Parm_Elect_Transfmr_47" localSheetId="0">#REF!</definedName>
    <definedName name="Parm_Elect_Transfmr_47" localSheetId="4">#REF!</definedName>
    <definedName name="Parm_Elect_Transfmr_47" localSheetId="3">#REF!</definedName>
    <definedName name="Parm_Elect_Transfmr_47" localSheetId="5">#REF!</definedName>
    <definedName name="Parm_Elect_Transfmr_47">#REF!</definedName>
    <definedName name="Parm_Elect_Transfmr_48" localSheetId="2">#REF!</definedName>
    <definedName name="Parm_Elect_Transfmr_48" localSheetId="1">#REF!</definedName>
    <definedName name="Parm_Elect_Transfmr_48" localSheetId="0">#REF!</definedName>
    <definedName name="Parm_Elect_Transfmr_48" localSheetId="4">#REF!</definedName>
    <definedName name="Parm_Elect_Transfmr_48" localSheetId="3">#REF!</definedName>
    <definedName name="Parm_Elect_Transfmr_48" localSheetId="5">#REF!</definedName>
    <definedName name="Parm_Elect_Transfmr_48">#REF!</definedName>
    <definedName name="Parm_Elect_Transfmr_49" localSheetId="2">#REF!</definedName>
    <definedName name="Parm_Elect_Transfmr_49" localSheetId="1">#REF!</definedName>
    <definedName name="Parm_Elect_Transfmr_49" localSheetId="0">#REF!</definedName>
    <definedName name="Parm_Elect_Transfmr_49" localSheetId="4">#REF!</definedName>
    <definedName name="Parm_Elect_Transfmr_49" localSheetId="3">#REF!</definedName>
    <definedName name="Parm_Elect_Transfmr_49" localSheetId="5">#REF!</definedName>
    <definedName name="Parm_Elect_Transfmr_49">#REF!</definedName>
    <definedName name="Parm_Elect_Transfmr_50" localSheetId="2">#REF!</definedName>
    <definedName name="Parm_Elect_Transfmr_50" localSheetId="1">#REF!</definedName>
    <definedName name="Parm_Elect_Transfmr_50" localSheetId="0">#REF!</definedName>
    <definedName name="Parm_Elect_Transfmr_50" localSheetId="4">#REF!</definedName>
    <definedName name="Parm_Elect_Transfmr_50" localSheetId="3">#REF!</definedName>
    <definedName name="Parm_Elect_Transfmr_50" localSheetId="5">#REF!</definedName>
    <definedName name="Parm_Elect_Transfmr_50">#REF!</definedName>
    <definedName name="Parm_Elect_Transfmr_51" localSheetId="2">#REF!</definedName>
    <definedName name="Parm_Elect_Transfmr_51" localSheetId="1">#REF!</definedName>
    <definedName name="Parm_Elect_Transfmr_51" localSheetId="0">#REF!</definedName>
    <definedName name="Parm_Elect_Transfmr_51" localSheetId="4">#REF!</definedName>
    <definedName name="Parm_Elect_Transfmr_51" localSheetId="3">#REF!</definedName>
    <definedName name="Parm_Elect_Transfmr_51" localSheetId="5">#REF!</definedName>
    <definedName name="Parm_Elect_Transfmr_51">#REF!</definedName>
    <definedName name="Parm_Elect_Transfmr_52" localSheetId="2">#REF!</definedName>
    <definedName name="Parm_Elect_Transfmr_52" localSheetId="1">#REF!</definedName>
    <definedName name="Parm_Elect_Transfmr_52" localSheetId="0">#REF!</definedName>
    <definedName name="Parm_Elect_Transfmr_52" localSheetId="4">#REF!</definedName>
    <definedName name="Parm_Elect_Transfmr_52" localSheetId="3">#REF!</definedName>
    <definedName name="Parm_Elect_Transfmr_52" localSheetId="5">#REF!</definedName>
    <definedName name="Parm_Elect_Transfmr_52">#REF!</definedName>
    <definedName name="Parm_Elect_Transfmr_53" localSheetId="2">#REF!</definedName>
    <definedName name="Parm_Elect_Transfmr_53" localSheetId="1">#REF!</definedName>
    <definedName name="Parm_Elect_Transfmr_53" localSheetId="0">#REF!</definedName>
    <definedName name="Parm_Elect_Transfmr_53" localSheetId="4">#REF!</definedName>
    <definedName name="Parm_Elect_Transfmr_53" localSheetId="3">#REF!</definedName>
    <definedName name="Parm_Elect_Transfmr_53" localSheetId="5">#REF!</definedName>
    <definedName name="Parm_Elect_Transfmr_53">#REF!</definedName>
    <definedName name="Parm_Elect_Transfmr_54" localSheetId="2">#REF!</definedName>
    <definedName name="Parm_Elect_Transfmr_54" localSheetId="1">#REF!</definedName>
    <definedName name="Parm_Elect_Transfmr_54" localSheetId="0">#REF!</definedName>
    <definedName name="Parm_Elect_Transfmr_54" localSheetId="4">#REF!</definedName>
    <definedName name="Parm_Elect_Transfmr_54" localSheetId="3">#REF!</definedName>
    <definedName name="Parm_Elect_Transfmr_54" localSheetId="5">#REF!</definedName>
    <definedName name="Parm_Elect_Transfmr_54">#REF!</definedName>
    <definedName name="Parm_Elect_Transfmr_55" localSheetId="2">#REF!</definedName>
    <definedName name="Parm_Elect_Transfmr_55" localSheetId="1">#REF!</definedName>
    <definedName name="Parm_Elect_Transfmr_55" localSheetId="0">#REF!</definedName>
    <definedName name="Parm_Elect_Transfmr_55" localSheetId="4">#REF!</definedName>
    <definedName name="Parm_Elect_Transfmr_55" localSheetId="3">#REF!</definedName>
    <definedName name="Parm_Elect_Transfmr_55" localSheetId="5">#REF!</definedName>
    <definedName name="Parm_Elect_Transfmr_55">#REF!</definedName>
    <definedName name="Parm_Elect_Transfmr_56" localSheetId="2">#REF!</definedName>
    <definedName name="Parm_Elect_Transfmr_56" localSheetId="1">#REF!</definedName>
    <definedName name="Parm_Elect_Transfmr_56" localSheetId="0">#REF!</definedName>
    <definedName name="Parm_Elect_Transfmr_56" localSheetId="4">#REF!</definedName>
    <definedName name="Parm_Elect_Transfmr_56" localSheetId="3">#REF!</definedName>
    <definedName name="Parm_Elect_Transfmr_56" localSheetId="5">#REF!</definedName>
    <definedName name="Parm_Elect_Transfmr_56">#REF!</definedName>
    <definedName name="Parm_Elect_Transfmr_57" localSheetId="2">#REF!</definedName>
    <definedName name="Parm_Elect_Transfmr_57" localSheetId="1">#REF!</definedName>
    <definedName name="Parm_Elect_Transfmr_57" localSheetId="0">#REF!</definedName>
    <definedName name="Parm_Elect_Transfmr_57" localSheetId="4">#REF!</definedName>
    <definedName name="Parm_Elect_Transfmr_57" localSheetId="3">#REF!</definedName>
    <definedName name="Parm_Elect_Transfmr_57" localSheetId="5">#REF!</definedName>
    <definedName name="Parm_Elect_Transfmr_57">#REF!</definedName>
    <definedName name="Parm_Elect_Transfmr_58" localSheetId="2">#REF!</definedName>
    <definedName name="Parm_Elect_Transfmr_58" localSheetId="1">#REF!</definedName>
    <definedName name="Parm_Elect_Transfmr_58" localSheetId="0">#REF!</definedName>
    <definedName name="Parm_Elect_Transfmr_58" localSheetId="4">#REF!</definedName>
    <definedName name="Parm_Elect_Transfmr_58" localSheetId="3">#REF!</definedName>
    <definedName name="Parm_Elect_Transfmr_58" localSheetId="5">#REF!</definedName>
    <definedName name="Parm_Elect_Transfmr_58">#REF!</definedName>
    <definedName name="Parm_Elect_Transfmr_59" localSheetId="2">#REF!</definedName>
    <definedName name="Parm_Elect_Transfmr_59" localSheetId="1">#REF!</definedName>
    <definedName name="Parm_Elect_Transfmr_59" localSheetId="0">#REF!</definedName>
    <definedName name="Parm_Elect_Transfmr_59" localSheetId="4">#REF!</definedName>
    <definedName name="Parm_Elect_Transfmr_59" localSheetId="3">#REF!</definedName>
    <definedName name="Parm_Elect_Transfmr_59" localSheetId="5">#REF!</definedName>
    <definedName name="Parm_Elect_Transfmr_59">#REF!</definedName>
    <definedName name="Parm_Elect_Transfmr_60" localSheetId="2">#REF!</definedName>
    <definedName name="Parm_Elect_Transfmr_60" localSheetId="1">#REF!</definedName>
    <definedName name="Parm_Elect_Transfmr_60" localSheetId="0">#REF!</definedName>
    <definedName name="Parm_Elect_Transfmr_60" localSheetId="4">#REF!</definedName>
    <definedName name="Parm_Elect_Transfmr_60" localSheetId="3">#REF!</definedName>
    <definedName name="Parm_Elect_Transfmr_60" localSheetId="5">#REF!</definedName>
    <definedName name="Parm_Elect_Transfmr_60">#REF!</definedName>
    <definedName name="Parm_Elect_Transfmr_61" localSheetId="2">#REF!</definedName>
    <definedName name="Parm_Elect_Transfmr_61" localSheetId="1">#REF!</definedName>
    <definedName name="Parm_Elect_Transfmr_61" localSheetId="0">#REF!</definedName>
    <definedName name="Parm_Elect_Transfmr_61" localSheetId="4">#REF!</definedName>
    <definedName name="Parm_Elect_Transfmr_61" localSheetId="3">#REF!</definedName>
    <definedName name="Parm_Elect_Transfmr_61" localSheetId="5">#REF!</definedName>
    <definedName name="Parm_Elect_Transfmr_61">#REF!</definedName>
    <definedName name="Parm_Elect_Transfmr_62" localSheetId="2">#REF!</definedName>
    <definedName name="Parm_Elect_Transfmr_62" localSheetId="1">#REF!</definedName>
    <definedName name="Parm_Elect_Transfmr_62" localSheetId="0">#REF!</definedName>
    <definedName name="Parm_Elect_Transfmr_62" localSheetId="4">#REF!</definedName>
    <definedName name="Parm_Elect_Transfmr_62" localSheetId="3">#REF!</definedName>
    <definedName name="Parm_Elect_Transfmr_62" localSheetId="5">#REF!</definedName>
    <definedName name="Parm_Elect_Transfmr_62">#REF!</definedName>
    <definedName name="Parm_Elect_Transfmr_63" localSheetId="2">#REF!</definedName>
    <definedName name="Parm_Elect_Transfmr_63" localSheetId="1">#REF!</definedName>
    <definedName name="Parm_Elect_Transfmr_63" localSheetId="0">#REF!</definedName>
    <definedName name="Parm_Elect_Transfmr_63" localSheetId="4">#REF!</definedName>
    <definedName name="Parm_Elect_Transfmr_63" localSheetId="3">#REF!</definedName>
    <definedName name="Parm_Elect_Transfmr_63" localSheetId="5">#REF!</definedName>
    <definedName name="Parm_Elect_Transfmr_63">#REF!</definedName>
    <definedName name="Parm_Elect_Transfmr_64" localSheetId="2">#REF!</definedName>
    <definedName name="Parm_Elect_Transfmr_64" localSheetId="1">#REF!</definedName>
    <definedName name="Parm_Elect_Transfmr_64" localSheetId="0">#REF!</definedName>
    <definedName name="Parm_Elect_Transfmr_64" localSheetId="4">#REF!</definedName>
    <definedName name="Parm_Elect_Transfmr_64" localSheetId="3">#REF!</definedName>
    <definedName name="Parm_Elect_Transfmr_64" localSheetId="5">#REF!</definedName>
    <definedName name="Parm_Elect_Transfmr_64">#REF!</definedName>
    <definedName name="Parm_Elect_Transfmr_65" localSheetId="2">#REF!</definedName>
    <definedName name="Parm_Elect_Transfmr_65" localSheetId="1">#REF!</definedName>
    <definedName name="Parm_Elect_Transfmr_65" localSheetId="0">#REF!</definedName>
    <definedName name="Parm_Elect_Transfmr_65" localSheetId="4">#REF!</definedName>
    <definedName name="Parm_Elect_Transfmr_65" localSheetId="3">#REF!</definedName>
    <definedName name="Parm_Elect_Transfmr_65" localSheetId="5">#REF!</definedName>
    <definedName name="Parm_Elect_Transfmr_65">#REF!</definedName>
    <definedName name="Parm_Elect_Transfmr_66" localSheetId="2">#REF!</definedName>
    <definedName name="Parm_Elect_Transfmr_66" localSheetId="1">#REF!</definedName>
    <definedName name="Parm_Elect_Transfmr_66" localSheetId="0">#REF!</definedName>
    <definedName name="Parm_Elect_Transfmr_66" localSheetId="4">#REF!</definedName>
    <definedName name="Parm_Elect_Transfmr_66" localSheetId="3">#REF!</definedName>
    <definedName name="Parm_Elect_Transfmr_66" localSheetId="5">#REF!</definedName>
    <definedName name="Parm_Elect_Transfmr_66">#REF!</definedName>
    <definedName name="Parm_Elect_Transfmr_67" localSheetId="2">#REF!</definedName>
    <definedName name="Parm_Elect_Transfmr_67" localSheetId="1">#REF!</definedName>
    <definedName name="Parm_Elect_Transfmr_67" localSheetId="0">#REF!</definedName>
    <definedName name="Parm_Elect_Transfmr_67" localSheetId="4">#REF!</definedName>
    <definedName name="Parm_Elect_Transfmr_67" localSheetId="3">#REF!</definedName>
    <definedName name="Parm_Elect_Transfmr_67" localSheetId="5">#REF!</definedName>
    <definedName name="Parm_Elect_Transfmr_67">#REF!</definedName>
    <definedName name="Parm_Elect_Transm_01" localSheetId="2">#REF!</definedName>
    <definedName name="Parm_Elect_Transm_01" localSheetId="1">#REF!</definedName>
    <definedName name="Parm_Elect_Transm_01" localSheetId="0">#REF!</definedName>
    <definedName name="Parm_Elect_Transm_01" localSheetId="4">#REF!</definedName>
    <definedName name="Parm_Elect_Transm_01" localSheetId="3">#REF!</definedName>
    <definedName name="Parm_Elect_Transm_01" localSheetId="5">#REF!</definedName>
    <definedName name="Parm_Elect_Transm_01">#REF!</definedName>
    <definedName name="Parm_Elect_Transm_02" localSheetId="2">#REF!</definedName>
    <definedName name="Parm_Elect_Transm_02" localSheetId="1">#REF!</definedName>
    <definedName name="Parm_Elect_Transm_02" localSheetId="0">#REF!</definedName>
    <definedName name="Parm_Elect_Transm_02" localSheetId="4">#REF!</definedName>
    <definedName name="Parm_Elect_Transm_02" localSheetId="3">#REF!</definedName>
    <definedName name="Parm_Elect_Transm_02" localSheetId="5">#REF!</definedName>
    <definedName name="Parm_Elect_Transm_02">#REF!</definedName>
    <definedName name="Parm_Elect_Transm_03" localSheetId="2">#REF!</definedName>
    <definedName name="Parm_Elect_Transm_03" localSheetId="1">#REF!</definedName>
    <definedName name="Parm_Elect_Transm_03" localSheetId="0">#REF!</definedName>
    <definedName name="Parm_Elect_Transm_03" localSheetId="4">#REF!</definedName>
    <definedName name="Parm_Elect_Transm_03" localSheetId="3">#REF!</definedName>
    <definedName name="Parm_Elect_Transm_03" localSheetId="5">#REF!</definedName>
    <definedName name="Parm_Elect_Transm_03">#REF!</definedName>
    <definedName name="Parm_Elect_Transm_04" localSheetId="2">#REF!</definedName>
    <definedName name="Parm_Elect_Transm_04" localSheetId="1">#REF!</definedName>
    <definedName name="Parm_Elect_Transm_04" localSheetId="0">#REF!</definedName>
    <definedName name="Parm_Elect_Transm_04" localSheetId="4">#REF!</definedName>
    <definedName name="Parm_Elect_Transm_04" localSheetId="3">#REF!</definedName>
    <definedName name="Parm_Elect_Transm_04" localSheetId="5">#REF!</definedName>
    <definedName name="Parm_Elect_Transm_04">#REF!</definedName>
    <definedName name="Parm_Elect_Transm_05" localSheetId="2">#REF!</definedName>
    <definedName name="Parm_Elect_Transm_05" localSheetId="1">#REF!</definedName>
    <definedName name="Parm_Elect_Transm_05" localSheetId="0">#REF!</definedName>
    <definedName name="Parm_Elect_Transm_05" localSheetId="4">#REF!</definedName>
    <definedName name="Parm_Elect_Transm_05" localSheetId="3">#REF!</definedName>
    <definedName name="Parm_Elect_Transm_05" localSheetId="5">#REF!</definedName>
    <definedName name="Parm_Elect_Transm_05">#REF!</definedName>
    <definedName name="Parm_Elect_Transm_06" localSheetId="2">#REF!</definedName>
    <definedName name="Parm_Elect_Transm_06" localSheetId="1">#REF!</definedName>
    <definedName name="Parm_Elect_Transm_06" localSheetId="0">#REF!</definedName>
    <definedName name="Parm_Elect_Transm_06" localSheetId="4">#REF!</definedName>
    <definedName name="Parm_Elect_Transm_06" localSheetId="3">#REF!</definedName>
    <definedName name="Parm_Elect_Transm_06" localSheetId="5">#REF!</definedName>
    <definedName name="Parm_Elect_Transm_06">#REF!</definedName>
    <definedName name="Parm_Elect_Transm_07" localSheetId="2">#REF!</definedName>
    <definedName name="Parm_Elect_Transm_07" localSheetId="1">#REF!</definedName>
    <definedName name="Parm_Elect_Transm_07" localSheetId="0">#REF!</definedName>
    <definedName name="Parm_Elect_Transm_07" localSheetId="4">#REF!</definedName>
    <definedName name="Parm_Elect_Transm_07" localSheetId="3">#REF!</definedName>
    <definedName name="Parm_Elect_Transm_07" localSheetId="5">#REF!</definedName>
    <definedName name="Parm_Elect_Transm_07">#REF!</definedName>
    <definedName name="Parm_Elect_Transm_08" localSheetId="2">#REF!</definedName>
    <definedName name="Parm_Elect_Transm_08" localSheetId="1">#REF!</definedName>
    <definedName name="Parm_Elect_Transm_08" localSheetId="0">#REF!</definedName>
    <definedName name="Parm_Elect_Transm_08" localSheetId="4">#REF!</definedName>
    <definedName name="Parm_Elect_Transm_08" localSheetId="3">#REF!</definedName>
    <definedName name="Parm_Elect_Transm_08" localSheetId="5">#REF!</definedName>
    <definedName name="Parm_Elect_Transm_08">#REF!</definedName>
    <definedName name="Parm_General_01" localSheetId="2">#REF!</definedName>
    <definedName name="Parm_General_01" localSheetId="1">#REF!</definedName>
    <definedName name="Parm_General_01" localSheetId="0">#REF!</definedName>
    <definedName name="Parm_General_01" localSheetId="4">#REF!</definedName>
    <definedName name="Parm_General_01" localSheetId="3">#REF!</definedName>
    <definedName name="Parm_General_01" localSheetId="5">#REF!</definedName>
    <definedName name="Parm_General_01">#REF!</definedName>
    <definedName name="Parm_General_02" localSheetId="2">#REF!</definedName>
    <definedName name="Parm_General_02" localSheetId="1">#REF!</definedName>
    <definedName name="Parm_General_02" localSheetId="0">#REF!</definedName>
    <definedName name="Parm_General_02" localSheetId="4">#REF!</definedName>
    <definedName name="Parm_General_02" localSheetId="3">#REF!</definedName>
    <definedName name="Parm_General_02" localSheetId="5">#REF!</definedName>
    <definedName name="Parm_General_02">#REF!</definedName>
    <definedName name="Parm_General_03" localSheetId="2">#REF!</definedName>
    <definedName name="Parm_General_03" localSheetId="1">#REF!</definedName>
    <definedName name="Parm_General_03" localSheetId="0">#REF!</definedName>
    <definedName name="Parm_General_03" localSheetId="4">#REF!</definedName>
    <definedName name="Parm_General_03" localSheetId="3">#REF!</definedName>
    <definedName name="Parm_General_03" localSheetId="5">#REF!</definedName>
    <definedName name="Parm_General_03">#REF!</definedName>
    <definedName name="Parm_General_04" localSheetId="2">#REF!</definedName>
    <definedName name="Parm_General_04" localSheetId="1">#REF!</definedName>
    <definedName name="Parm_General_04" localSheetId="0">#REF!</definedName>
    <definedName name="Parm_General_04" localSheetId="4">#REF!</definedName>
    <definedName name="Parm_General_04" localSheetId="3">#REF!</definedName>
    <definedName name="Parm_General_04" localSheetId="5">#REF!</definedName>
    <definedName name="Parm_General_04">#REF!</definedName>
    <definedName name="Parm_General_05" localSheetId="2">#REF!</definedName>
    <definedName name="Parm_General_05" localSheetId="1">#REF!</definedName>
    <definedName name="Parm_General_05" localSheetId="0">#REF!</definedName>
    <definedName name="Parm_General_05" localSheetId="4">#REF!</definedName>
    <definedName name="Parm_General_05" localSheetId="3">#REF!</definedName>
    <definedName name="Parm_General_05" localSheetId="5">#REF!</definedName>
    <definedName name="Parm_General_05">#REF!</definedName>
    <definedName name="Parm_General_06" localSheetId="2">#REF!</definedName>
    <definedName name="Parm_General_06" localSheetId="1">#REF!</definedName>
    <definedName name="Parm_General_06" localSheetId="0">#REF!</definedName>
    <definedName name="Parm_General_06" localSheetId="4">#REF!</definedName>
    <definedName name="Parm_General_06" localSheetId="3">#REF!</definedName>
    <definedName name="Parm_General_06" localSheetId="5">#REF!</definedName>
    <definedName name="Parm_General_06">#REF!</definedName>
    <definedName name="Parm_General_07" localSheetId="2">#REF!</definedName>
    <definedName name="Parm_General_07" localSheetId="1">#REF!</definedName>
    <definedName name="Parm_General_07" localSheetId="0">#REF!</definedName>
    <definedName name="Parm_General_07" localSheetId="4">#REF!</definedName>
    <definedName name="Parm_General_07" localSheetId="3">#REF!</definedName>
    <definedName name="Parm_General_07" localSheetId="5">#REF!</definedName>
    <definedName name="Parm_General_07">#REF!</definedName>
    <definedName name="Parm_General_08" localSheetId="2">#REF!</definedName>
    <definedName name="Parm_General_08" localSheetId="1">#REF!</definedName>
    <definedName name="Parm_General_08" localSheetId="0">#REF!</definedName>
    <definedName name="Parm_General_08" localSheetId="4">#REF!</definedName>
    <definedName name="Parm_General_08" localSheetId="3">#REF!</definedName>
    <definedName name="Parm_General_08" localSheetId="5">#REF!</definedName>
    <definedName name="Parm_General_08">#REF!</definedName>
    <definedName name="Parm_General_09" localSheetId="2">#REF!</definedName>
    <definedName name="Parm_General_09" localSheetId="1">#REF!</definedName>
    <definedName name="Parm_General_09" localSheetId="0">#REF!</definedName>
    <definedName name="Parm_General_09" localSheetId="4">#REF!</definedName>
    <definedName name="Parm_General_09" localSheetId="3">#REF!</definedName>
    <definedName name="Parm_General_09" localSheetId="5">#REF!</definedName>
    <definedName name="Parm_General_09">#REF!</definedName>
    <definedName name="Parm_Guar_Envirmt_01" localSheetId="2">#REF!</definedName>
    <definedName name="Parm_Guar_Envirmt_01" localSheetId="1">#REF!</definedName>
    <definedName name="Parm_Guar_Envirmt_01" localSheetId="0">#REF!</definedName>
    <definedName name="Parm_Guar_Envirmt_01" localSheetId="4">#REF!</definedName>
    <definedName name="Parm_Guar_Envirmt_01" localSheetId="3">#REF!</definedName>
    <definedName name="Parm_Guar_Envirmt_01" localSheetId="5">#REF!</definedName>
    <definedName name="Parm_Guar_Envirmt_01">#REF!</definedName>
    <definedName name="Parm_Guar_Envirmt_02" localSheetId="2">#REF!</definedName>
    <definedName name="Parm_Guar_Envirmt_02" localSheetId="1">#REF!</definedName>
    <definedName name="Parm_Guar_Envirmt_02" localSheetId="0">#REF!</definedName>
    <definedName name="Parm_Guar_Envirmt_02" localSheetId="4">#REF!</definedName>
    <definedName name="Parm_Guar_Envirmt_02" localSheetId="3">#REF!</definedName>
    <definedName name="Parm_Guar_Envirmt_02" localSheetId="5">#REF!</definedName>
    <definedName name="Parm_Guar_Envirmt_02">#REF!</definedName>
    <definedName name="Parm_Guar_Envirmt_03" localSheetId="2">#REF!</definedName>
    <definedName name="Parm_Guar_Envirmt_03" localSheetId="1">#REF!</definedName>
    <definedName name="Parm_Guar_Envirmt_03" localSheetId="0">#REF!</definedName>
    <definedName name="Parm_Guar_Envirmt_03" localSheetId="4">#REF!</definedName>
    <definedName name="Parm_Guar_Envirmt_03" localSheetId="3">#REF!</definedName>
    <definedName name="Parm_Guar_Envirmt_03" localSheetId="5">#REF!</definedName>
    <definedName name="Parm_Guar_Envirmt_03">#REF!</definedName>
    <definedName name="Parm_Guar_Envirmt_04" localSheetId="2">#REF!</definedName>
    <definedName name="Parm_Guar_Envirmt_04" localSheetId="1">#REF!</definedName>
    <definedName name="Parm_Guar_Envirmt_04" localSheetId="0">#REF!</definedName>
    <definedName name="Parm_Guar_Envirmt_04" localSheetId="4">#REF!</definedName>
    <definedName name="Parm_Guar_Envirmt_04" localSheetId="3">#REF!</definedName>
    <definedName name="Parm_Guar_Envirmt_04" localSheetId="5">#REF!</definedName>
    <definedName name="Parm_Guar_Envirmt_04">#REF!</definedName>
    <definedName name="Parm_Guar_Envirmt_05" localSheetId="2">#REF!</definedName>
    <definedName name="Parm_Guar_Envirmt_05" localSheetId="1">#REF!</definedName>
    <definedName name="Parm_Guar_Envirmt_05" localSheetId="0">#REF!</definedName>
    <definedName name="Parm_Guar_Envirmt_05" localSheetId="4">#REF!</definedName>
    <definedName name="Parm_Guar_Envirmt_05" localSheetId="3">#REF!</definedName>
    <definedName name="Parm_Guar_Envirmt_05" localSheetId="5">#REF!</definedName>
    <definedName name="Parm_Guar_Envirmt_05">#REF!</definedName>
    <definedName name="Parm_Guar_Envirmt_06" localSheetId="2">#REF!</definedName>
    <definedName name="Parm_Guar_Envirmt_06" localSheetId="1">#REF!</definedName>
    <definedName name="Parm_Guar_Envirmt_06" localSheetId="0">#REF!</definedName>
    <definedName name="Parm_Guar_Envirmt_06" localSheetId="4">#REF!</definedName>
    <definedName name="Parm_Guar_Envirmt_06" localSheetId="3">#REF!</definedName>
    <definedName name="Parm_Guar_Envirmt_06" localSheetId="5">#REF!</definedName>
    <definedName name="Parm_Guar_Envirmt_06">#REF!</definedName>
    <definedName name="Parm_Guar_Envirmt_07" localSheetId="2">#REF!</definedName>
    <definedName name="Parm_Guar_Envirmt_07" localSheetId="1">#REF!</definedName>
    <definedName name="Parm_Guar_Envirmt_07" localSheetId="0">#REF!</definedName>
    <definedName name="Parm_Guar_Envirmt_07" localSheetId="4">#REF!</definedName>
    <definedName name="Parm_Guar_Envirmt_07" localSheetId="3">#REF!</definedName>
    <definedName name="Parm_Guar_Envirmt_07" localSheetId="5">#REF!</definedName>
    <definedName name="Parm_Guar_Envirmt_07">#REF!</definedName>
    <definedName name="Parm_Guar_Envirmt_08" localSheetId="2">#REF!</definedName>
    <definedName name="Parm_Guar_Envirmt_08" localSheetId="1">#REF!</definedName>
    <definedName name="Parm_Guar_Envirmt_08" localSheetId="0">#REF!</definedName>
    <definedName name="Parm_Guar_Envirmt_08" localSheetId="4">#REF!</definedName>
    <definedName name="Parm_Guar_Envirmt_08" localSheetId="3">#REF!</definedName>
    <definedName name="Parm_Guar_Envirmt_08" localSheetId="5">#REF!</definedName>
    <definedName name="Parm_Guar_Envirmt_08">#REF!</definedName>
    <definedName name="Parm_Guar_Envirmt_09" localSheetId="2">#REF!</definedName>
    <definedName name="Parm_Guar_Envirmt_09" localSheetId="1">#REF!</definedName>
    <definedName name="Parm_Guar_Envirmt_09" localSheetId="0">#REF!</definedName>
    <definedName name="Parm_Guar_Envirmt_09" localSheetId="4">#REF!</definedName>
    <definedName name="Parm_Guar_Envirmt_09" localSheetId="3">#REF!</definedName>
    <definedName name="Parm_Guar_Envirmt_09" localSheetId="5">#REF!</definedName>
    <definedName name="Parm_Guar_Envirmt_09">#REF!</definedName>
    <definedName name="Parm_Guar_Envirmt_10" localSheetId="2">#REF!</definedName>
    <definedName name="Parm_Guar_Envirmt_10" localSheetId="1">#REF!</definedName>
    <definedName name="Parm_Guar_Envirmt_10" localSheetId="0">#REF!</definedName>
    <definedName name="Parm_Guar_Envirmt_10" localSheetId="4">#REF!</definedName>
    <definedName name="Parm_Guar_Envirmt_10" localSheetId="3">#REF!</definedName>
    <definedName name="Parm_Guar_Envirmt_10" localSheetId="5">#REF!</definedName>
    <definedName name="Parm_Guar_Envirmt_10">#REF!</definedName>
    <definedName name="Parm_Guar_Envirmt_11" localSheetId="2">#REF!</definedName>
    <definedName name="Parm_Guar_Envirmt_11" localSheetId="1">#REF!</definedName>
    <definedName name="Parm_Guar_Envirmt_11" localSheetId="0">#REF!</definedName>
    <definedName name="Parm_Guar_Envirmt_11" localSheetId="4">#REF!</definedName>
    <definedName name="Parm_Guar_Envirmt_11" localSheetId="3">#REF!</definedName>
    <definedName name="Parm_Guar_Envirmt_11" localSheetId="5">#REF!</definedName>
    <definedName name="Parm_Guar_Envirmt_11">#REF!</definedName>
    <definedName name="Parm_Guar_Envirmt_12" localSheetId="2">#REF!</definedName>
    <definedName name="Parm_Guar_Envirmt_12" localSheetId="1">#REF!</definedName>
    <definedName name="Parm_Guar_Envirmt_12" localSheetId="0">#REF!</definedName>
    <definedName name="Parm_Guar_Envirmt_12" localSheetId="4">#REF!</definedName>
    <definedName name="Parm_Guar_Envirmt_12" localSheetId="3">#REF!</definedName>
    <definedName name="Parm_Guar_Envirmt_12" localSheetId="5">#REF!</definedName>
    <definedName name="Parm_Guar_Envirmt_12">#REF!</definedName>
    <definedName name="Parm_Guar_Perf_01" localSheetId="2">#REF!</definedName>
    <definedName name="Parm_Guar_Perf_01" localSheetId="1">#REF!</definedName>
    <definedName name="Parm_Guar_Perf_01" localSheetId="0">#REF!</definedName>
    <definedName name="Parm_Guar_Perf_01" localSheetId="4">#REF!</definedName>
    <definedName name="Parm_Guar_Perf_01" localSheetId="3">#REF!</definedName>
    <definedName name="Parm_Guar_Perf_01" localSheetId="5">#REF!</definedName>
    <definedName name="Parm_Guar_Perf_01">#REF!</definedName>
    <definedName name="Parm_Guar_Perf_02" localSheetId="2">#REF!</definedName>
    <definedName name="Parm_Guar_Perf_02" localSheetId="1">#REF!</definedName>
    <definedName name="Parm_Guar_Perf_02" localSheetId="0">#REF!</definedName>
    <definedName name="Parm_Guar_Perf_02" localSheetId="4">#REF!</definedName>
    <definedName name="Parm_Guar_Perf_02" localSheetId="3">#REF!</definedName>
    <definedName name="Parm_Guar_Perf_02" localSheetId="5">#REF!</definedName>
    <definedName name="Parm_Guar_Perf_02">#REF!</definedName>
    <definedName name="Parm_Guar_Perf_03" localSheetId="2">#REF!</definedName>
    <definedName name="Parm_Guar_Perf_03" localSheetId="1">#REF!</definedName>
    <definedName name="Parm_Guar_Perf_03" localSheetId="0">#REF!</definedName>
    <definedName name="Parm_Guar_Perf_03" localSheetId="4">#REF!</definedName>
    <definedName name="Parm_Guar_Perf_03" localSheetId="3">#REF!</definedName>
    <definedName name="Parm_Guar_Perf_03" localSheetId="5">#REF!</definedName>
    <definedName name="Parm_Guar_Perf_03">#REF!</definedName>
    <definedName name="Parm_Guar_Perf_04" localSheetId="2">#REF!</definedName>
    <definedName name="Parm_Guar_Perf_04" localSheetId="1">#REF!</definedName>
    <definedName name="Parm_Guar_Perf_04" localSheetId="0">#REF!</definedName>
    <definedName name="Parm_Guar_Perf_04" localSheetId="4">#REF!</definedName>
    <definedName name="Parm_Guar_Perf_04" localSheetId="3">#REF!</definedName>
    <definedName name="Parm_Guar_Perf_04" localSheetId="5">#REF!</definedName>
    <definedName name="Parm_Guar_Perf_04">#REF!</definedName>
    <definedName name="Parm_Guar_Perf_05" localSheetId="2">#REF!</definedName>
    <definedName name="Parm_Guar_Perf_05" localSheetId="1">#REF!</definedName>
    <definedName name="Parm_Guar_Perf_05" localSheetId="0">#REF!</definedName>
    <definedName name="Parm_Guar_Perf_05" localSheetId="4">#REF!</definedName>
    <definedName name="Parm_Guar_Perf_05" localSheetId="3">#REF!</definedName>
    <definedName name="Parm_Guar_Perf_05" localSheetId="5">#REF!</definedName>
    <definedName name="Parm_Guar_Perf_05">#REF!</definedName>
    <definedName name="Parm_Guar_Perf_06" localSheetId="2">#REF!</definedName>
    <definedName name="Parm_Guar_Perf_06" localSheetId="1">#REF!</definedName>
    <definedName name="Parm_Guar_Perf_06" localSheetId="0">#REF!</definedName>
    <definedName name="Parm_Guar_Perf_06" localSheetId="4">#REF!</definedName>
    <definedName name="Parm_Guar_Perf_06" localSheetId="3">#REF!</definedName>
    <definedName name="Parm_Guar_Perf_06" localSheetId="5">#REF!</definedName>
    <definedName name="Parm_Guar_Perf_06">#REF!</definedName>
    <definedName name="Parm_Guar_Perf_07" localSheetId="2">#REF!</definedName>
    <definedName name="Parm_Guar_Perf_07" localSheetId="1">#REF!</definedName>
    <definedName name="Parm_Guar_Perf_07" localSheetId="0">#REF!</definedName>
    <definedName name="Parm_Guar_Perf_07" localSheetId="4">#REF!</definedName>
    <definedName name="Parm_Guar_Perf_07" localSheetId="3">#REF!</definedName>
    <definedName name="Parm_Guar_Perf_07" localSheetId="5">#REF!</definedName>
    <definedName name="Parm_Guar_Perf_07">#REF!</definedName>
    <definedName name="Parm_Guar_Perf_08" localSheetId="2">#REF!</definedName>
    <definedName name="Parm_Guar_Perf_08" localSheetId="1">#REF!</definedName>
    <definedName name="Parm_Guar_Perf_08" localSheetId="0">#REF!</definedName>
    <definedName name="Parm_Guar_Perf_08" localSheetId="4">#REF!</definedName>
    <definedName name="Parm_Guar_Perf_08" localSheetId="3">#REF!</definedName>
    <definedName name="Parm_Guar_Perf_08" localSheetId="5">#REF!</definedName>
    <definedName name="Parm_Guar_Perf_08">#REF!</definedName>
    <definedName name="Parm_Guar_Perf_09" localSheetId="2">#REF!</definedName>
    <definedName name="Parm_Guar_Perf_09" localSheetId="1">#REF!</definedName>
    <definedName name="Parm_Guar_Perf_09" localSheetId="0">#REF!</definedName>
    <definedName name="Parm_Guar_Perf_09" localSheetId="4">#REF!</definedName>
    <definedName name="Parm_Guar_Perf_09" localSheetId="3">#REF!</definedName>
    <definedName name="Parm_Guar_Perf_09" localSheetId="5">#REF!</definedName>
    <definedName name="Parm_Guar_Perf_09">#REF!</definedName>
    <definedName name="Parm_Guar_Perf_10" localSheetId="2">#REF!</definedName>
    <definedName name="Parm_Guar_Perf_10" localSheetId="1">#REF!</definedName>
    <definedName name="Parm_Guar_Perf_10" localSheetId="0">#REF!</definedName>
    <definedName name="Parm_Guar_Perf_10" localSheetId="4">#REF!</definedName>
    <definedName name="Parm_Guar_Perf_10" localSheetId="3">#REF!</definedName>
    <definedName name="Parm_Guar_Perf_10" localSheetId="5">#REF!</definedName>
    <definedName name="Parm_Guar_Perf_10">#REF!</definedName>
    <definedName name="Parm_Guar_Perf_11" localSheetId="2">#REF!</definedName>
    <definedName name="Parm_Guar_Perf_11" localSheetId="1">#REF!</definedName>
    <definedName name="Parm_Guar_Perf_11" localSheetId="0">#REF!</definedName>
    <definedName name="Parm_Guar_Perf_11" localSheetId="4">#REF!</definedName>
    <definedName name="Parm_Guar_Perf_11" localSheetId="3">#REF!</definedName>
    <definedName name="Parm_Guar_Perf_11" localSheetId="5">#REF!</definedName>
    <definedName name="Parm_Guar_Perf_11">#REF!</definedName>
    <definedName name="Parm_Guar_Perf_Marg_01" localSheetId="2">#REF!</definedName>
    <definedName name="Parm_Guar_Perf_Marg_01" localSheetId="1">#REF!</definedName>
    <definedName name="Parm_Guar_Perf_Marg_01" localSheetId="0">#REF!</definedName>
    <definedName name="Parm_Guar_Perf_Marg_01" localSheetId="4">#REF!</definedName>
    <definedName name="Parm_Guar_Perf_Marg_01" localSheetId="3">#REF!</definedName>
    <definedName name="Parm_Guar_Perf_Marg_01" localSheetId="5">#REF!</definedName>
    <definedName name="Parm_Guar_Perf_Marg_01">#REF!</definedName>
    <definedName name="Parm_Guar_Perf_Marg_02" localSheetId="2">#REF!</definedName>
    <definedName name="Parm_Guar_Perf_Marg_02" localSheetId="1">#REF!</definedName>
    <definedName name="Parm_Guar_Perf_Marg_02" localSheetId="0">#REF!</definedName>
    <definedName name="Parm_Guar_Perf_Marg_02" localSheetId="4">#REF!</definedName>
    <definedName name="Parm_Guar_Perf_Marg_02" localSheetId="3">#REF!</definedName>
    <definedName name="Parm_Guar_Perf_Marg_02" localSheetId="5">#REF!</definedName>
    <definedName name="Parm_Guar_Perf_Marg_02">#REF!</definedName>
    <definedName name="Parm_Guar_Perf_Marg_03" localSheetId="2">#REF!</definedName>
    <definedName name="Parm_Guar_Perf_Marg_03" localSheetId="1">#REF!</definedName>
    <definedName name="Parm_Guar_Perf_Marg_03" localSheetId="0">#REF!</definedName>
    <definedName name="Parm_Guar_Perf_Marg_03" localSheetId="4">#REF!</definedName>
    <definedName name="Parm_Guar_Perf_Marg_03" localSheetId="3">#REF!</definedName>
    <definedName name="Parm_Guar_Perf_Marg_03" localSheetId="5">#REF!</definedName>
    <definedName name="Parm_Guar_Perf_Marg_03">#REF!</definedName>
    <definedName name="Parm_Guar_Perf_Marg_04" localSheetId="2">#REF!</definedName>
    <definedName name="Parm_Guar_Perf_Marg_04" localSheetId="1">#REF!</definedName>
    <definedName name="Parm_Guar_Perf_Marg_04" localSheetId="0">#REF!</definedName>
    <definedName name="Parm_Guar_Perf_Marg_04" localSheetId="4">#REF!</definedName>
    <definedName name="Parm_Guar_Perf_Marg_04" localSheetId="3">#REF!</definedName>
    <definedName name="Parm_Guar_Perf_Marg_04" localSheetId="5">#REF!</definedName>
    <definedName name="Parm_Guar_Perf_Marg_04">#REF!</definedName>
    <definedName name="Parm_Guar_Perf_Marg_05" localSheetId="2">#REF!</definedName>
    <definedName name="Parm_Guar_Perf_Marg_05" localSheetId="1">#REF!</definedName>
    <definedName name="Parm_Guar_Perf_Marg_05" localSheetId="0">#REF!</definedName>
    <definedName name="Parm_Guar_Perf_Marg_05" localSheetId="4">#REF!</definedName>
    <definedName name="Parm_Guar_Perf_Marg_05" localSheetId="3">#REF!</definedName>
    <definedName name="Parm_Guar_Perf_Marg_05" localSheetId="5">#REF!</definedName>
    <definedName name="Parm_Guar_Perf_Marg_05">#REF!</definedName>
    <definedName name="Parm_Guar_Perf_Marg_06" localSheetId="2">#REF!</definedName>
    <definedName name="Parm_Guar_Perf_Marg_06" localSheetId="1">#REF!</definedName>
    <definedName name="Parm_Guar_Perf_Marg_06" localSheetId="0">#REF!</definedName>
    <definedName name="Parm_Guar_Perf_Marg_06" localSheetId="4">#REF!</definedName>
    <definedName name="Parm_Guar_Perf_Marg_06" localSheetId="3">#REF!</definedName>
    <definedName name="Parm_Guar_Perf_Marg_06" localSheetId="5">#REF!</definedName>
    <definedName name="Parm_Guar_Perf_Marg_06">#REF!</definedName>
    <definedName name="Parm_Guar_Perf_Marg_07" localSheetId="2">#REF!</definedName>
    <definedName name="Parm_Guar_Perf_Marg_07" localSheetId="1">#REF!</definedName>
    <definedName name="Parm_Guar_Perf_Marg_07" localSheetId="0">#REF!</definedName>
    <definedName name="Parm_Guar_Perf_Marg_07" localSheetId="4">#REF!</definedName>
    <definedName name="Parm_Guar_Perf_Marg_07" localSheetId="3">#REF!</definedName>
    <definedName name="Parm_Guar_Perf_Marg_07" localSheetId="5">#REF!</definedName>
    <definedName name="Parm_Guar_Perf_Marg_07">#REF!</definedName>
    <definedName name="Parm_Guar_Perf_Marg_08" localSheetId="2">#REF!</definedName>
    <definedName name="Parm_Guar_Perf_Marg_08" localSheetId="1">#REF!</definedName>
    <definedName name="Parm_Guar_Perf_Marg_08" localSheetId="0">#REF!</definedName>
    <definedName name="Parm_Guar_Perf_Marg_08" localSheetId="4">#REF!</definedName>
    <definedName name="Parm_Guar_Perf_Marg_08" localSheetId="3">#REF!</definedName>
    <definedName name="Parm_Guar_Perf_Marg_08" localSheetId="5">#REF!</definedName>
    <definedName name="Parm_Guar_Perf_Marg_08">#REF!</definedName>
    <definedName name="Parm_Guar_Perf_Marg_09" localSheetId="2">#REF!</definedName>
    <definedName name="Parm_Guar_Perf_Marg_09" localSheetId="1">#REF!</definedName>
    <definedName name="Parm_Guar_Perf_Marg_09" localSheetId="0">#REF!</definedName>
    <definedName name="Parm_Guar_Perf_Marg_09" localSheetId="4">#REF!</definedName>
    <definedName name="Parm_Guar_Perf_Marg_09" localSheetId="3">#REF!</definedName>
    <definedName name="Parm_Guar_Perf_Marg_09" localSheetId="5">#REF!</definedName>
    <definedName name="Parm_Guar_Perf_Marg_09">#REF!</definedName>
    <definedName name="Parm_Guar_Perf_Marg_10" localSheetId="2">#REF!</definedName>
    <definedName name="Parm_Guar_Perf_Marg_10" localSheetId="1">#REF!</definedName>
    <definedName name="Parm_Guar_Perf_Marg_10" localSheetId="0">#REF!</definedName>
    <definedName name="Parm_Guar_Perf_Marg_10" localSheetId="4">#REF!</definedName>
    <definedName name="Parm_Guar_Perf_Marg_10" localSheetId="3">#REF!</definedName>
    <definedName name="Parm_Guar_Perf_Marg_10" localSheetId="5">#REF!</definedName>
    <definedName name="Parm_Guar_Perf_Marg_10">#REF!</definedName>
    <definedName name="Parm_Guar_Perf_Marg_11" localSheetId="2">#REF!</definedName>
    <definedName name="Parm_Guar_Perf_Marg_11" localSheetId="1">#REF!</definedName>
    <definedName name="Parm_Guar_Perf_Marg_11" localSheetId="0">#REF!</definedName>
    <definedName name="Parm_Guar_Perf_Marg_11" localSheetId="4">#REF!</definedName>
    <definedName name="Parm_Guar_Perf_Marg_11" localSheetId="3">#REF!</definedName>
    <definedName name="Parm_Guar_Perf_Marg_11" localSheetId="5">#REF!</definedName>
    <definedName name="Parm_Guar_Perf_Marg_11">#REF!</definedName>
    <definedName name="Parm_Mech_Boiler_01" localSheetId="2">#REF!</definedName>
    <definedName name="Parm_Mech_Boiler_01" localSheetId="1">#REF!</definedName>
    <definedName name="Parm_Mech_Boiler_01" localSheetId="0">#REF!</definedName>
    <definedName name="Parm_Mech_Boiler_01" localSheetId="4">#REF!</definedName>
    <definedName name="Parm_Mech_Boiler_01" localSheetId="3">#REF!</definedName>
    <definedName name="Parm_Mech_Boiler_01" localSheetId="5">#REF!</definedName>
    <definedName name="Parm_Mech_Boiler_01">#REF!</definedName>
    <definedName name="Parm_Mech_Boiler_02" localSheetId="2">#REF!</definedName>
    <definedName name="Parm_Mech_Boiler_02" localSheetId="1">#REF!</definedName>
    <definedName name="Parm_Mech_Boiler_02" localSheetId="0">#REF!</definedName>
    <definedName name="Parm_Mech_Boiler_02" localSheetId="4">#REF!</definedName>
    <definedName name="Parm_Mech_Boiler_02" localSheetId="3">#REF!</definedName>
    <definedName name="Parm_Mech_Boiler_02" localSheetId="5">#REF!</definedName>
    <definedName name="Parm_Mech_Boiler_02">#REF!</definedName>
    <definedName name="Parm_Mech_Boiler_03" localSheetId="2">#REF!</definedName>
    <definedName name="Parm_Mech_Boiler_03" localSheetId="1">#REF!</definedName>
    <definedName name="Parm_Mech_Boiler_03" localSheetId="0">#REF!</definedName>
    <definedName name="Parm_Mech_Boiler_03" localSheetId="4">#REF!</definedName>
    <definedName name="Parm_Mech_Boiler_03" localSheetId="3">#REF!</definedName>
    <definedName name="Parm_Mech_Boiler_03" localSheetId="5">#REF!</definedName>
    <definedName name="Parm_Mech_Boiler_03">#REF!</definedName>
    <definedName name="Parm_Mech_Boiler_04" localSheetId="2">#REF!</definedName>
    <definedName name="Parm_Mech_Boiler_04" localSheetId="1">#REF!</definedName>
    <definedName name="Parm_Mech_Boiler_04" localSheetId="0">#REF!</definedName>
    <definedName name="Parm_Mech_Boiler_04" localSheetId="4">#REF!</definedName>
    <definedName name="Parm_Mech_Boiler_04" localSheetId="3">#REF!</definedName>
    <definedName name="Parm_Mech_Boiler_04" localSheetId="5">#REF!</definedName>
    <definedName name="Parm_Mech_Boiler_04">#REF!</definedName>
    <definedName name="Parm_Mech_Boiler_05" localSheetId="2">#REF!</definedName>
    <definedName name="Parm_Mech_Boiler_05" localSheetId="1">#REF!</definedName>
    <definedName name="Parm_Mech_Boiler_05" localSheetId="0">#REF!</definedName>
    <definedName name="Parm_Mech_Boiler_05" localSheetId="4">#REF!</definedName>
    <definedName name="Parm_Mech_Boiler_05" localSheetId="3">#REF!</definedName>
    <definedName name="Parm_Mech_Boiler_05" localSheetId="5">#REF!</definedName>
    <definedName name="Parm_Mech_Boiler_05">#REF!</definedName>
    <definedName name="Parm_Mech_Boiler_06" localSheetId="2">#REF!</definedName>
    <definedName name="Parm_Mech_Boiler_06" localSheetId="1">#REF!</definedName>
    <definedName name="Parm_Mech_Boiler_06" localSheetId="0">#REF!</definedName>
    <definedName name="Parm_Mech_Boiler_06" localSheetId="4">#REF!</definedName>
    <definedName name="Parm_Mech_Boiler_06" localSheetId="3">#REF!</definedName>
    <definedName name="Parm_Mech_Boiler_06" localSheetId="5">#REF!</definedName>
    <definedName name="Parm_Mech_Boiler_06">#REF!</definedName>
    <definedName name="Parm_Mech_Boiler_07" localSheetId="2">#REF!</definedName>
    <definedName name="Parm_Mech_Boiler_07" localSheetId="1">#REF!</definedName>
    <definedName name="Parm_Mech_Boiler_07" localSheetId="0">#REF!</definedName>
    <definedName name="Parm_Mech_Boiler_07" localSheetId="4">#REF!</definedName>
    <definedName name="Parm_Mech_Boiler_07" localSheetId="3">#REF!</definedName>
    <definedName name="Parm_Mech_Boiler_07" localSheetId="5">#REF!</definedName>
    <definedName name="Parm_Mech_Boiler_07">#REF!</definedName>
    <definedName name="Parm_Mech_Boiler_08" localSheetId="2">#REF!</definedName>
    <definedName name="Parm_Mech_Boiler_08" localSheetId="1">#REF!</definedName>
    <definedName name="Parm_Mech_Boiler_08" localSheetId="0">#REF!</definedName>
    <definedName name="Parm_Mech_Boiler_08" localSheetId="4">#REF!</definedName>
    <definedName name="Parm_Mech_Boiler_08" localSheetId="3">#REF!</definedName>
    <definedName name="Parm_Mech_Boiler_08" localSheetId="5">#REF!</definedName>
    <definedName name="Parm_Mech_Boiler_08">#REF!</definedName>
    <definedName name="Parm_Mech_Boiler_09" localSheetId="2">#REF!</definedName>
    <definedName name="Parm_Mech_Boiler_09" localSheetId="1">#REF!</definedName>
    <definedName name="Parm_Mech_Boiler_09" localSheetId="0">#REF!</definedName>
    <definedName name="Parm_Mech_Boiler_09" localSheetId="4">#REF!</definedName>
    <definedName name="Parm_Mech_Boiler_09" localSheetId="3">#REF!</definedName>
    <definedName name="Parm_Mech_Boiler_09" localSheetId="5">#REF!</definedName>
    <definedName name="Parm_Mech_Boiler_09">#REF!</definedName>
    <definedName name="Parm_Mech_Boiler_10" localSheetId="2">#REF!</definedName>
    <definedName name="Parm_Mech_Boiler_10" localSheetId="1">#REF!</definedName>
    <definedName name="Parm_Mech_Boiler_10" localSheetId="0">#REF!</definedName>
    <definedName name="Parm_Mech_Boiler_10" localSheetId="4">#REF!</definedName>
    <definedName name="Parm_Mech_Boiler_10" localSheetId="3">#REF!</definedName>
    <definedName name="Parm_Mech_Boiler_10" localSheetId="5">#REF!</definedName>
    <definedName name="Parm_Mech_Boiler_10">#REF!</definedName>
    <definedName name="Parm_Mech_Boiler_11" localSheetId="2">#REF!</definedName>
    <definedName name="Parm_Mech_Boiler_11" localSheetId="1">#REF!</definedName>
    <definedName name="Parm_Mech_Boiler_11" localSheetId="0">#REF!</definedName>
    <definedName name="Parm_Mech_Boiler_11" localSheetId="4">#REF!</definedName>
    <definedName name="Parm_Mech_Boiler_11" localSheetId="3">#REF!</definedName>
    <definedName name="Parm_Mech_Boiler_11" localSheetId="5">#REF!</definedName>
    <definedName name="Parm_Mech_Boiler_11">#REF!</definedName>
    <definedName name="Parm_Mech_Boiler_12" localSheetId="2">#REF!</definedName>
    <definedName name="Parm_Mech_Boiler_12" localSheetId="1">#REF!</definedName>
    <definedName name="Parm_Mech_Boiler_12" localSheetId="0">#REF!</definedName>
    <definedName name="Parm_Mech_Boiler_12" localSheetId="4">#REF!</definedName>
    <definedName name="Parm_Mech_Boiler_12" localSheetId="3">#REF!</definedName>
    <definedName name="Parm_Mech_Boiler_12" localSheetId="5">#REF!</definedName>
    <definedName name="Parm_Mech_Boiler_12">#REF!</definedName>
    <definedName name="Parm_Mech_Boiler_13" localSheetId="2">#REF!</definedName>
    <definedName name="Parm_Mech_Boiler_13" localSheetId="1">#REF!</definedName>
    <definedName name="Parm_Mech_Boiler_13" localSheetId="0">#REF!</definedName>
    <definedName name="Parm_Mech_Boiler_13" localSheetId="4">#REF!</definedName>
    <definedName name="Parm_Mech_Boiler_13" localSheetId="3">#REF!</definedName>
    <definedName name="Parm_Mech_Boiler_13" localSheetId="5">#REF!</definedName>
    <definedName name="Parm_Mech_Boiler_13">#REF!</definedName>
    <definedName name="Parm_Mech_Boiler_14" localSheetId="2">#REF!</definedName>
    <definedName name="Parm_Mech_Boiler_14" localSheetId="1">#REF!</definedName>
    <definedName name="Parm_Mech_Boiler_14" localSheetId="0">#REF!</definedName>
    <definedName name="Parm_Mech_Boiler_14" localSheetId="4">#REF!</definedName>
    <definedName name="Parm_Mech_Boiler_14" localSheetId="3">#REF!</definedName>
    <definedName name="Parm_Mech_Boiler_14" localSheetId="5">#REF!</definedName>
    <definedName name="Parm_Mech_Boiler_14">#REF!</definedName>
    <definedName name="Parm_Mech_Boiler_15" localSheetId="2">#REF!</definedName>
    <definedName name="Parm_Mech_Boiler_15" localSheetId="1">#REF!</definedName>
    <definedName name="Parm_Mech_Boiler_15" localSheetId="0">#REF!</definedName>
    <definedName name="Parm_Mech_Boiler_15" localSheetId="4">#REF!</definedName>
    <definedName name="Parm_Mech_Boiler_15" localSheetId="3">#REF!</definedName>
    <definedName name="Parm_Mech_Boiler_15" localSheetId="5">#REF!</definedName>
    <definedName name="Parm_Mech_Boiler_15">#REF!</definedName>
    <definedName name="Parm_Mech_Boiler_16" localSheetId="2">#REF!</definedName>
    <definedName name="Parm_Mech_Boiler_16" localSheetId="1">#REF!</definedName>
    <definedName name="Parm_Mech_Boiler_16" localSheetId="0">#REF!</definedName>
    <definedName name="Parm_Mech_Boiler_16" localSheetId="4">#REF!</definedName>
    <definedName name="Parm_Mech_Boiler_16" localSheetId="3">#REF!</definedName>
    <definedName name="Parm_Mech_Boiler_16" localSheetId="5">#REF!</definedName>
    <definedName name="Parm_Mech_Boiler_16">#REF!</definedName>
    <definedName name="Parm_Mech_Boiler_17" localSheetId="2">#REF!</definedName>
    <definedName name="Parm_Mech_Boiler_17" localSheetId="1">#REF!</definedName>
    <definedName name="Parm_Mech_Boiler_17" localSheetId="0">#REF!</definedName>
    <definedName name="Parm_Mech_Boiler_17" localSheetId="4">#REF!</definedName>
    <definedName name="Parm_Mech_Boiler_17" localSheetId="3">#REF!</definedName>
    <definedName name="Parm_Mech_Boiler_17" localSheetId="5">#REF!</definedName>
    <definedName name="Parm_Mech_Boiler_17">#REF!</definedName>
    <definedName name="Parm_Mech_Boiler_18" localSheetId="2">#REF!</definedName>
    <definedName name="Parm_Mech_Boiler_18" localSheetId="1">#REF!</definedName>
    <definedName name="Parm_Mech_Boiler_18" localSheetId="0">#REF!</definedName>
    <definedName name="Parm_Mech_Boiler_18" localSheetId="4">#REF!</definedName>
    <definedName name="Parm_Mech_Boiler_18" localSheetId="3">#REF!</definedName>
    <definedName name="Parm_Mech_Boiler_18" localSheetId="5">#REF!</definedName>
    <definedName name="Parm_Mech_Boiler_18">#REF!</definedName>
    <definedName name="Parm_Mech_Boiler_19" localSheetId="2">#REF!</definedName>
    <definedName name="Parm_Mech_Boiler_19" localSheetId="1">#REF!</definedName>
    <definedName name="Parm_Mech_Boiler_19" localSheetId="0">#REF!</definedName>
    <definedName name="Parm_Mech_Boiler_19" localSheetId="4">#REF!</definedName>
    <definedName name="Parm_Mech_Boiler_19" localSheetId="3">#REF!</definedName>
    <definedName name="Parm_Mech_Boiler_19" localSheetId="5">#REF!</definedName>
    <definedName name="Parm_Mech_Boiler_19">#REF!</definedName>
    <definedName name="Parm_Mech_Boiler_20" localSheetId="2">#REF!</definedName>
    <definedName name="Parm_Mech_Boiler_20" localSheetId="1">#REF!</definedName>
    <definedName name="Parm_Mech_Boiler_20" localSheetId="0">#REF!</definedName>
    <definedName name="Parm_Mech_Boiler_20" localSheetId="4">#REF!</definedName>
    <definedName name="Parm_Mech_Boiler_20" localSheetId="3">#REF!</definedName>
    <definedName name="Parm_Mech_Boiler_20" localSheetId="5">#REF!</definedName>
    <definedName name="Parm_Mech_Boiler_20">#REF!</definedName>
    <definedName name="Parm_Mech_Boiler_21" localSheetId="2">#REF!</definedName>
    <definedName name="Parm_Mech_Boiler_21" localSheetId="1">#REF!</definedName>
    <definedName name="Parm_Mech_Boiler_21" localSheetId="0">#REF!</definedName>
    <definedName name="Parm_Mech_Boiler_21" localSheetId="4">#REF!</definedName>
    <definedName name="Parm_Mech_Boiler_21" localSheetId="3">#REF!</definedName>
    <definedName name="Parm_Mech_Boiler_21" localSheetId="5">#REF!</definedName>
    <definedName name="Parm_Mech_Boiler_21">#REF!</definedName>
    <definedName name="Parm_Mech_Boiler_22" localSheetId="2">#REF!</definedName>
    <definedName name="Parm_Mech_Boiler_22" localSheetId="1">#REF!</definedName>
    <definedName name="Parm_Mech_Boiler_22" localSheetId="0">#REF!</definedName>
    <definedName name="Parm_Mech_Boiler_22" localSheetId="4">#REF!</definedName>
    <definedName name="Parm_Mech_Boiler_22" localSheetId="3">#REF!</definedName>
    <definedName name="Parm_Mech_Boiler_22" localSheetId="5">#REF!</definedName>
    <definedName name="Parm_Mech_Boiler_22">#REF!</definedName>
    <definedName name="Parm_Mech_Boiler_23" localSheetId="2">#REF!</definedName>
    <definedName name="Parm_Mech_Boiler_23" localSheetId="1">#REF!</definedName>
    <definedName name="Parm_Mech_Boiler_23" localSheetId="0">#REF!</definedName>
    <definedName name="Parm_Mech_Boiler_23" localSheetId="4">#REF!</definedName>
    <definedName name="Parm_Mech_Boiler_23" localSheetId="3">#REF!</definedName>
    <definedName name="Parm_Mech_Boiler_23" localSheetId="5">#REF!</definedName>
    <definedName name="Parm_Mech_Boiler_23">#REF!</definedName>
    <definedName name="Parm_Mech_Boiler_24" localSheetId="2">#REF!</definedName>
    <definedName name="Parm_Mech_Boiler_24" localSheetId="1">#REF!</definedName>
    <definedName name="Parm_Mech_Boiler_24" localSheetId="0">#REF!</definedName>
    <definedName name="Parm_Mech_Boiler_24" localSheetId="4">#REF!</definedName>
    <definedName name="Parm_Mech_Boiler_24" localSheetId="3">#REF!</definedName>
    <definedName name="Parm_Mech_Boiler_24" localSheetId="5">#REF!</definedName>
    <definedName name="Parm_Mech_Boiler_24">#REF!</definedName>
    <definedName name="Parm_Mech_BOP_01" localSheetId="2">#REF!</definedName>
    <definedName name="Parm_Mech_BOP_01" localSheetId="1">#REF!</definedName>
    <definedName name="Parm_Mech_BOP_01" localSheetId="0">#REF!</definedName>
    <definedName name="Parm_Mech_BOP_01" localSheetId="4">#REF!</definedName>
    <definedName name="Parm_Mech_BOP_01" localSheetId="3">#REF!</definedName>
    <definedName name="Parm_Mech_BOP_01" localSheetId="5">#REF!</definedName>
    <definedName name="Parm_Mech_BOP_01">#REF!</definedName>
    <definedName name="Parm_Mech_BOP_02" localSheetId="2">#REF!</definedName>
    <definedName name="Parm_Mech_BOP_02" localSheetId="1">#REF!</definedName>
    <definedName name="Parm_Mech_BOP_02" localSheetId="0">#REF!</definedName>
    <definedName name="Parm_Mech_BOP_02" localSheetId="4">#REF!</definedName>
    <definedName name="Parm_Mech_BOP_02" localSheetId="3">#REF!</definedName>
    <definedName name="Parm_Mech_BOP_02" localSheetId="5">#REF!</definedName>
    <definedName name="Parm_Mech_BOP_02">#REF!</definedName>
    <definedName name="Parm_Mech_BOP_03" localSheetId="2">#REF!</definedName>
    <definedName name="Parm_Mech_BOP_03" localSheetId="1">#REF!</definedName>
    <definedName name="Parm_Mech_BOP_03" localSheetId="0">#REF!</definedName>
    <definedName name="Parm_Mech_BOP_03" localSheetId="4">#REF!</definedName>
    <definedName name="Parm_Mech_BOP_03" localSheetId="3">#REF!</definedName>
    <definedName name="Parm_Mech_BOP_03" localSheetId="5">#REF!</definedName>
    <definedName name="Parm_Mech_BOP_03">#REF!</definedName>
    <definedName name="Parm_Mech_BOP_04" localSheetId="2">#REF!</definedName>
    <definedName name="Parm_Mech_BOP_04" localSheetId="1">#REF!</definedName>
    <definedName name="Parm_Mech_BOP_04" localSheetId="0">#REF!</definedName>
    <definedName name="Parm_Mech_BOP_04" localSheetId="4">#REF!</definedName>
    <definedName name="Parm_Mech_BOP_04" localSheetId="3">#REF!</definedName>
    <definedName name="Parm_Mech_BOP_04" localSheetId="5">#REF!</definedName>
    <definedName name="Parm_Mech_BOP_04">#REF!</definedName>
    <definedName name="Parm_Mech_BOP_05" localSheetId="2">#REF!</definedName>
    <definedName name="Parm_Mech_BOP_05" localSheetId="1">#REF!</definedName>
    <definedName name="Parm_Mech_BOP_05" localSheetId="0">#REF!</definedName>
    <definedName name="Parm_Mech_BOP_05" localSheetId="4">#REF!</definedName>
    <definedName name="Parm_Mech_BOP_05" localSheetId="3">#REF!</definedName>
    <definedName name="Parm_Mech_BOP_05" localSheetId="5">#REF!</definedName>
    <definedName name="Parm_Mech_BOP_05">#REF!</definedName>
    <definedName name="Parm_Mech_BOP_06" localSheetId="2">#REF!</definedName>
    <definedName name="Parm_Mech_BOP_06" localSheetId="1">#REF!</definedName>
    <definedName name="Parm_Mech_BOP_06" localSheetId="0">#REF!</definedName>
    <definedName name="Parm_Mech_BOP_06" localSheetId="4">#REF!</definedName>
    <definedName name="Parm_Mech_BOP_06" localSheetId="3">#REF!</definedName>
    <definedName name="Parm_Mech_BOP_06" localSheetId="5">#REF!</definedName>
    <definedName name="Parm_Mech_BOP_06">#REF!</definedName>
    <definedName name="Parm_Mech_BOP_07" localSheetId="2">#REF!</definedName>
    <definedName name="Parm_Mech_BOP_07" localSheetId="1">#REF!</definedName>
    <definedName name="Parm_Mech_BOP_07" localSheetId="0">#REF!</definedName>
    <definedName name="Parm_Mech_BOP_07" localSheetId="4">#REF!</definedName>
    <definedName name="Parm_Mech_BOP_07" localSheetId="3">#REF!</definedName>
    <definedName name="Parm_Mech_BOP_07" localSheetId="5">#REF!</definedName>
    <definedName name="Parm_Mech_BOP_07">#REF!</definedName>
    <definedName name="Parm_Mech_BOP_08" localSheetId="2">#REF!</definedName>
    <definedName name="Parm_Mech_BOP_08" localSheetId="1">#REF!</definedName>
    <definedName name="Parm_Mech_BOP_08" localSheetId="0">#REF!</definedName>
    <definedName name="Parm_Mech_BOP_08" localSheetId="4">#REF!</definedName>
    <definedName name="Parm_Mech_BOP_08" localSheetId="3">#REF!</definedName>
    <definedName name="Parm_Mech_BOP_08" localSheetId="5">#REF!</definedName>
    <definedName name="Parm_Mech_BOP_08">#REF!</definedName>
    <definedName name="Parm_Mech_BOP_09" localSheetId="2">#REF!</definedName>
    <definedName name="Parm_Mech_BOP_09" localSheetId="1">#REF!</definedName>
    <definedName name="Parm_Mech_BOP_09" localSheetId="0">#REF!</definedName>
    <definedName name="Parm_Mech_BOP_09" localSheetId="4">#REF!</definedName>
    <definedName name="Parm_Mech_BOP_09" localSheetId="3">#REF!</definedName>
    <definedName name="Parm_Mech_BOP_09" localSheetId="5">#REF!</definedName>
    <definedName name="Parm_Mech_BOP_09">#REF!</definedName>
    <definedName name="Parm_Mech_BOP_10" localSheetId="2">#REF!</definedName>
    <definedName name="Parm_Mech_BOP_10" localSheetId="1">#REF!</definedName>
    <definedName name="Parm_Mech_BOP_10" localSheetId="0">#REF!</definedName>
    <definedName name="Parm_Mech_BOP_10" localSheetId="4">#REF!</definedName>
    <definedName name="Parm_Mech_BOP_10" localSheetId="3">#REF!</definedName>
    <definedName name="Parm_Mech_BOP_10" localSheetId="5">#REF!</definedName>
    <definedName name="Parm_Mech_BOP_10">#REF!</definedName>
    <definedName name="Parm_Mech_BOP_11" localSheetId="2">#REF!</definedName>
    <definedName name="Parm_Mech_BOP_11" localSheetId="1">#REF!</definedName>
    <definedName name="Parm_Mech_BOP_11" localSheetId="0">#REF!</definedName>
    <definedName name="Parm_Mech_BOP_11" localSheetId="4">#REF!</definedName>
    <definedName name="Parm_Mech_BOP_11" localSheetId="3">#REF!</definedName>
    <definedName name="Parm_Mech_BOP_11" localSheetId="5">#REF!</definedName>
    <definedName name="Parm_Mech_BOP_11">#REF!</definedName>
    <definedName name="Parm_Mech_BOP_12" localSheetId="2">#REF!</definedName>
    <definedName name="Parm_Mech_BOP_12" localSheetId="1">#REF!</definedName>
    <definedName name="Parm_Mech_BOP_12" localSheetId="0">#REF!</definedName>
    <definedName name="Parm_Mech_BOP_12" localSheetId="4">#REF!</definedName>
    <definedName name="Parm_Mech_BOP_12" localSheetId="3">#REF!</definedName>
    <definedName name="Parm_Mech_BOP_12" localSheetId="5">#REF!</definedName>
    <definedName name="Parm_Mech_BOP_12">#REF!</definedName>
    <definedName name="Parm_Mech_BOP_13" localSheetId="2">#REF!</definedName>
    <definedName name="Parm_Mech_BOP_13" localSheetId="1">#REF!</definedName>
    <definedName name="Parm_Mech_BOP_13" localSheetId="0">#REF!</definedName>
    <definedName name="Parm_Mech_BOP_13" localSheetId="4">#REF!</definedName>
    <definedName name="Parm_Mech_BOP_13" localSheetId="3">#REF!</definedName>
    <definedName name="Parm_Mech_BOP_13" localSheetId="5">#REF!</definedName>
    <definedName name="Parm_Mech_BOP_13">#REF!</definedName>
    <definedName name="Parm_Mech_BOP_14" localSheetId="2">#REF!</definedName>
    <definedName name="Parm_Mech_BOP_14" localSheetId="1">#REF!</definedName>
    <definedName name="Parm_Mech_BOP_14" localSheetId="0">#REF!</definedName>
    <definedName name="Parm_Mech_BOP_14" localSheetId="4">#REF!</definedName>
    <definedName name="Parm_Mech_BOP_14" localSheetId="3">#REF!</definedName>
    <definedName name="Parm_Mech_BOP_14" localSheetId="5">#REF!</definedName>
    <definedName name="Parm_Mech_BOP_14">#REF!</definedName>
    <definedName name="Parm_Mech_BOP_15" localSheetId="2">#REF!</definedName>
    <definedName name="Parm_Mech_BOP_15" localSheetId="1">#REF!</definedName>
    <definedName name="Parm_Mech_BOP_15" localSheetId="0">#REF!</definedName>
    <definedName name="Parm_Mech_BOP_15" localSheetId="4">#REF!</definedName>
    <definedName name="Parm_Mech_BOP_15" localSheetId="3">#REF!</definedName>
    <definedName name="Parm_Mech_BOP_15" localSheetId="5">#REF!</definedName>
    <definedName name="Parm_Mech_BOP_15">#REF!</definedName>
    <definedName name="Parm_Mech_BOP_16" localSheetId="2">#REF!</definedName>
    <definedName name="Parm_Mech_BOP_16" localSheetId="1">#REF!</definedName>
    <definedName name="Parm_Mech_BOP_16" localSheetId="0">#REF!</definedName>
    <definedName name="Parm_Mech_BOP_16" localSheetId="4">#REF!</definedName>
    <definedName name="Parm_Mech_BOP_16" localSheetId="3">#REF!</definedName>
    <definedName name="Parm_Mech_BOP_16" localSheetId="5">#REF!</definedName>
    <definedName name="Parm_Mech_BOP_16">#REF!</definedName>
    <definedName name="Parm_Mech_BOP_17" localSheetId="2">#REF!</definedName>
    <definedName name="Parm_Mech_BOP_17" localSheetId="1">#REF!</definedName>
    <definedName name="Parm_Mech_BOP_17" localSheetId="0">#REF!</definedName>
    <definedName name="Parm_Mech_BOP_17" localSheetId="4">#REF!</definedName>
    <definedName name="Parm_Mech_BOP_17" localSheetId="3">#REF!</definedName>
    <definedName name="Parm_Mech_BOP_17" localSheetId="5">#REF!</definedName>
    <definedName name="Parm_Mech_BOP_17">#REF!</definedName>
    <definedName name="Parm_Mech_BOP_18" localSheetId="2">#REF!</definedName>
    <definedName name="Parm_Mech_BOP_18" localSheetId="1">#REF!</definedName>
    <definedName name="Parm_Mech_BOP_18" localSheetId="0">#REF!</definedName>
    <definedName name="Parm_Mech_BOP_18" localSheetId="4">#REF!</definedName>
    <definedName name="Parm_Mech_BOP_18" localSheetId="3">#REF!</definedName>
    <definedName name="Parm_Mech_BOP_18" localSheetId="5">#REF!</definedName>
    <definedName name="Parm_Mech_BOP_18">#REF!</definedName>
    <definedName name="Parm_Mech_BOP_19" localSheetId="2">#REF!</definedName>
    <definedName name="Parm_Mech_BOP_19" localSheetId="1">#REF!</definedName>
    <definedName name="Parm_Mech_BOP_19" localSheetId="0">#REF!</definedName>
    <definedName name="Parm_Mech_BOP_19" localSheetId="4">#REF!</definedName>
    <definedName name="Parm_Mech_BOP_19" localSheetId="3">#REF!</definedName>
    <definedName name="Parm_Mech_BOP_19" localSheetId="5">#REF!</definedName>
    <definedName name="Parm_Mech_BOP_19">#REF!</definedName>
    <definedName name="Parm_Mech_BOP_20" localSheetId="2">#REF!</definedName>
    <definedName name="Parm_Mech_BOP_20" localSheetId="1">#REF!</definedName>
    <definedName name="Parm_Mech_BOP_20" localSheetId="0">#REF!</definedName>
    <definedName name="Parm_Mech_BOP_20" localSheetId="4">#REF!</definedName>
    <definedName name="Parm_Mech_BOP_20" localSheetId="3">#REF!</definedName>
    <definedName name="Parm_Mech_BOP_20" localSheetId="5">#REF!</definedName>
    <definedName name="Parm_Mech_BOP_20">#REF!</definedName>
    <definedName name="Parm_Mech_BOP_21" localSheetId="2">#REF!</definedName>
    <definedName name="Parm_Mech_BOP_21" localSheetId="1">#REF!</definedName>
    <definedName name="Parm_Mech_BOP_21" localSheetId="0">#REF!</definedName>
    <definedName name="Parm_Mech_BOP_21" localSheetId="4">#REF!</definedName>
    <definedName name="Parm_Mech_BOP_21" localSheetId="3">#REF!</definedName>
    <definedName name="Parm_Mech_BOP_21" localSheetId="5">#REF!</definedName>
    <definedName name="Parm_Mech_BOP_21">#REF!</definedName>
    <definedName name="Parm_Mech_BOP_22" localSheetId="2">#REF!</definedName>
    <definedName name="Parm_Mech_BOP_22" localSheetId="1">#REF!</definedName>
    <definedName name="Parm_Mech_BOP_22" localSheetId="0">#REF!</definedName>
    <definedName name="Parm_Mech_BOP_22" localSheetId="4">#REF!</definedName>
    <definedName name="Parm_Mech_BOP_22" localSheetId="3">#REF!</definedName>
    <definedName name="Parm_Mech_BOP_22" localSheetId="5">#REF!</definedName>
    <definedName name="Parm_Mech_BOP_22">#REF!</definedName>
    <definedName name="Parm_Mech_BOP_23" localSheetId="2">#REF!</definedName>
    <definedName name="Parm_Mech_BOP_23" localSheetId="1">#REF!</definedName>
    <definedName name="Parm_Mech_BOP_23" localSheetId="0">#REF!</definedName>
    <definedName name="Parm_Mech_BOP_23" localSheetId="4">#REF!</definedName>
    <definedName name="Parm_Mech_BOP_23" localSheetId="3">#REF!</definedName>
    <definedName name="Parm_Mech_BOP_23" localSheetId="5">#REF!</definedName>
    <definedName name="Parm_Mech_BOP_23">#REF!</definedName>
    <definedName name="Parm_Mech_BOP_24" localSheetId="2">#REF!</definedName>
    <definedName name="Parm_Mech_BOP_24" localSheetId="1">#REF!</definedName>
    <definedName name="Parm_Mech_BOP_24" localSheetId="0">#REF!</definedName>
    <definedName name="Parm_Mech_BOP_24" localSheetId="4">#REF!</definedName>
    <definedName name="Parm_Mech_BOP_24" localSheetId="3">#REF!</definedName>
    <definedName name="Parm_Mech_BOP_24" localSheetId="5">#REF!</definedName>
    <definedName name="Parm_Mech_BOP_24">#REF!</definedName>
    <definedName name="Parm_Mech_BOP_25" localSheetId="2">#REF!</definedName>
    <definedName name="Parm_Mech_BOP_25" localSheetId="1">#REF!</definedName>
    <definedName name="Parm_Mech_BOP_25" localSheetId="0">#REF!</definedName>
    <definedName name="Parm_Mech_BOP_25" localSheetId="4">#REF!</definedName>
    <definedName name="Parm_Mech_BOP_25" localSheetId="3">#REF!</definedName>
    <definedName name="Parm_Mech_BOP_25" localSheetId="5">#REF!</definedName>
    <definedName name="Parm_Mech_BOP_25">#REF!</definedName>
    <definedName name="Parm_Mech_BOP_26" localSheetId="2">#REF!</definedName>
    <definedName name="Parm_Mech_BOP_26" localSheetId="1">#REF!</definedName>
    <definedName name="Parm_Mech_BOP_26" localSheetId="0">#REF!</definedName>
    <definedName name="Parm_Mech_BOP_26" localSheetId="4">#REF!</definedName>
    <definedName name="Parm_Mech_BOP_26" localSheetId="3">#REF!</definedName>
    <definedName name="Parm_Mech_BOP_26" localSheetId="5">#REF!</definedName>
    <definedName name="Parm_Mech_BOP_26">#REF!</definedName>
    <definedName name="Parm_Mech_BOP_27" localSheetId="2">#REF!</definedName>
    <definedName name="Parm_Mech_BOP_27" localSheetId="1">#REF!</definedName>
    <definedName name="Parm_Mech_BOP_27" localSheetId="0">#REF!</definedName>
    <definedName name="Parm_Mech_BOP_27" localSheetId="4">#REF!</definedName>
    <definedName name="Parm_Mech_BOP_27" localSheetId="3">#REF!</definedName>
    <definedName name="Parm_Mech_BOP_27" localSheetId="5">#REF!</definedName>
    <definedName name="Parm_Mech_BOP_27">#REF!</definedName>
    <definedName name="Parm_Mech_BOP_28" localSheetId="2">#REF!</definedName>
    <definedName name="Parm_Mech_BOP_28" localSheetId="1">#REF!</definedName>
    <definedName name="Parm_Mech_BOP_28" localSheetId="0">#REF!</definedName>
    <definedName name="Parm_Mech_BOP_28" localSheetId="4">#REF!</definedName>
    <definedName name="Parm_Mech_BOP_28" localSheetId="3">#REF!</definedName>
    <definedName name="Parm_Mech_BOP_28" localSheetId="5">#REF!</definedName>
    <definedName name="Parm_Mech_BOP_28">#REF!</definedName>
    <definedName name="Parm_Mech_BOP_29" localSheetId="2">#REF!</definedName>
    <definedName name="Parm_Mech_BOP_29" localSheetId="1">#REF!</definedName>
    <definedName name="Parm_Mech_BOP_29" localSheetId="0">#REF!</definedName>
    <definedName name="Parm_Mech_BOP_29" localSheetId="4">#REF!</definedName>
    <definedName name="Parm_Mech_BOP_29" localSheetId="3">#REF!</definedName>
    <definedName name="Parm_Mech_BOP_29" localSheetId="5">#REF!</definedName>
    <definedName name="Parm_Mech_BOP_29">#REF!</definedName>
    <definedName name="Parm_Mech_BOP_30" localSheetId="2">#REF!</definedName>
    <definedName name="Parm_Mech_BOP_30" localSheetId="1">#REF!</definedName>
    <definedName name="Parm_Mech_BOP_30" localSheetId="0">#REF!</definedName>
    <definedName name="Parm_Mech_BOP_30" localSheetId="4">#REF!</definedName>
    <definedName name="Parm_Mech_BOP_30" localSheetId="3">#REF!</definedName>
    <definedName name="Parm_Mech_BOP_30" localSheetId="5">#REF!</definedName>
    <definedName name="Parm_Mech_BOP_30">#REF!</definedName>
    <definedName name="Parm_Mech_BOP_31" localSheetId="2">#REF!</definedName>
    <definedName name="Parm_Mech_BOP_31" localSheetId="1">#REF!</definedName>
    <definedName name="Parm_Mech_BOP_31" localSheetId="0">#REF!</definedName>
    <definedName name="Parm_Mech_BOP_31" localSheetId="4">#REF!</definedName>
    <definedName name="Parm_Mech_BOP_31" localSheetId="3">#REF!</definedName>
    <definedName name="Parm_Mech_BOP_31" localSheetId="5">#REF!</definedName>
    <definedName name="Parm_Mech_BOP_31">#REF!</definedName>
    <definedName name="Parm_Mech_Emissions_01" localSheetId="2">#REF!</definedName>
    <definedName name="Parm_Mech_Emissions_01" localSheetId="1">#REF!</definedName>
    <definedName name="Parm_Mech_Emissions_01" localSheetId="0">#REF!</definedName>
    <definedName name="Parm_Mech_Emissions_01" localSheetId="4">#REF!</definedName>
    <definedName name="Parm_Mech_Emissions_01" localSheetId="3">#REF!</definedName>
    <definedName name="Parm_Mech_Emissions_01" localSheetId="5">#REF!</definedName>
    <definedName name="Parm_Mech_Emissions_01">#REF!</definedName>
    <definedName name="Parm_Mech_Emissions_02" localSheetId="2">#REF!</definedName>
    <definedName name="Parm_Mech_Emissions_02" localSheetId="1">#REF!</definedName>
    <definedName name="Parm_Mech_Emissions_02" localSheetId="0">#REF!</definedName>
    <definedName name="Parm_Mech_Emissions_02" localSheetId="4">#REF!</definedName>
    <definedName name="Parm_Mech_Emissions_02" localSheetId="3">#REF!</definedName>
    <definedName name="Parm_Mech_Emissions_02" localSheetId="5">#REF!</definedName>
    <definedName name="Parm_Mech_Emissions_02">#REF!</definedName>
    <definedName name="Parm_Mech_Emissions_03" localSheetId="2">#REF!</definedName>
    <definedName name="Parm_Mech_Emissions_03" localSheetId="1">#REF!</definedName>
    <definedName name="Parm_Mech_Emissions_03" localSheetId="0">#REF!</definedName>
    <definedName name="Parm_Mech_Emissions_03" localSheetId="4">#REF!</definedName>
    <definedName name="Parm_Mech_Emissions_03" localSheetId="3">#REF!</definedName>
    <definedName name="Parm_Mech_Emissions_03" localSheetId="5">#REF!</definedName>
    <definedName name="Parm_Mech_Emissions_03">#REF!</definedName>
    <definedName name="Parm_Mech_Emissions_04" localSheetId="2">#REF!</definedName>
    <definedName name="Parm_Mech_Emissions_04" localSheetId="1">#REF!</definedName>
    <definedName name="Parm_Mech_Emissions_04" localSheetId="0">#REF!</definedName>
    <definedName name="Parm_Mech_Emissions_04" localSheetId="4">#REF!</definedName>
    <definedName name="Parm_Mech_Emissions_04" localSheetId="3">#REF!</definedName>
    <definedName name="Parm_Mech_Emissions_04" localSheetId="5">#REF!</definedName>
    <definedName name="Parm_Mech_Emissions_04">#REF!</definedName>
    <definedName name="Parm_Mech_Emissions_05" localSheetId="2">#REF!</definedName>
    <definedName name="Parm_Mech_Emissions_05" localSheetId="1">#REF!</definedName>
    <definedName name="Parm_Mech_Emissions_05" localSheetId="0">#REF!</definedName>
    <definedName name="Parm_Mech_Emissions_05" localSheetId="4">#REF!</definedName>
    <definedName name="Parm_Mech_Emissions_05" localSheetId="3">#REF!</definedName>
    <definedName name="Parm_Mech_Emissions_05" localSheetId="5">#REF!</definedName>
    <definedName name="Parm_Mech_Emissions_05">#REF!</definedName>
    <definedName name="Parm_Mech_Emissions_06" localSheetId="2">#REF!</definedName>
    <definedName name="Parm_Mech_Emissions_06" localSheetId="1">#REF!</definedName>
    <definedName name="Parm_Mech_Emissions_06" localSheetId="0">#REF!</definedName>
    <definedName name="Parm_Mech_Emissions_06" localSheetId="4">#REF!</definedName>
    <definedName name="Parm_Mech_Emissions_06" localSheetId="3">#REF!</definedName>
    <definedName name="Parm_Mech_Emissions_06" localSheetId="5">#REF!</definedName>
    <definedName name="Parm_Mech_Emissions_06">#REF!</definedName>
    <definedName name="Parm_Mech_Emissions_07" localSheetId="2">#REF!</definedName>
    <definedName name="Parm_Mech_Emissions_07" localSheetId="1">#REF!</definedName>
    <definedName name="Parm_Mech_Emissions_07" localSheetId="0">#REF!</definedName>
    <definedName name="Parm_Mech_Emissions_07" localSheetId="4">#REF!</definedName>
    <definedName name="Parm_Mech_Emissions_07" localSheetId="3">#REF!</definedName>
    <definedName name="Parm_Mech_Emissions_07" localSheetId="5">#REF!</definedName>
    <definedName name="Parm_Mech_Emissions_07">#REF!</definedName>
    <definedName name="Parm_Mech_Emissions_08" localSheetId="2">#REF!</definedName>
    <definedName name="Parm_Mech_Emissions_08" localSheetId="1">#REF!</definedName>
    <definedName name="Parm_Mech_Emissions_08" localSheetId="0">#REF!</definedName>
    <definedName name="Parm_Mech_Emissions_08" localSheetId="4">#REF!</definedName>
    <definedName name="Parm_Mech_Emissions_08" localSheetId="3">#REF!</definedName>
    <definedName name="Parm_Mech_Emissions_08" localSheetId="5">#REF!</definedName>
    <definedName name="Parm_Mech_Emissions_08">#REF!</definedName>
    <definedName name="Parm_Mech_Emissions_09" localSheetId="2">#REF!</definedName>
    <definedName name="Parm_Mech_Emissions_09" localSheetId="1">#REF!</definedName>
    <definedName name="Parm_Mech_Emissions_09" localSheetId="0">#REF!</definedName>
    <definedName name="Parm_Mech_Emissions_09" localSheetId="4">#REF!</definedName>
    <definedName name="Parm_Mech_Emissions_09" localSheetId="3">#REF!</definedName>
    <definedName name="Parm_Mech_Emissions_09" localSheetId="5">#REF!</definedName>
    <definedName name="Parm_Mech_Emissions_09">#REF!</definedName>
    <definedName name="Parm_Mech_Emissions_10" localSheetId="2">#REF!</definedName>
    <definedName name="Parm_Mech_Emissions_10" localSheetId="1">#REF!</definedName>
    <definedName name="Parm_Mech_Emissions_10" localSheetId="0">#REF!</definedName>
    <definedName name="Parm_Mech_Emissions_10" localSheetId="4">#REF!</definedName>
    <definedName name="Parm_Mech_Emissions_10" localSheetId="3">#REF!</definedName>
    <definedName name="Parm_Mech_Emissions_10" localSheetId="5">#REF!</definedName>
    <definedName name="Parm_Mech_Emissions_10">#REF!</definedName>
    <definedName name="Parm_Mech_Emissions_11" localSheetId="2">#REF!</definedName>
    <definedName name="Parm_Mech_Emissions_11" localSheetId="1">#REF!</definedName>
    <definedName name="Parm_Mech_Emissions_11" localSheetId="0">#REF!</definedName>
    <definedName name="Parm_Mech_Emissions_11" localSheetId="4">#REF!</definedName>
    <definedName name="Parm_Mech_Emissions_11" localSheetId="3">#REF!</definedName>
    <definedName name="Parm_Mech_Emissions_11" localSheetId="5">#REF!</definedName>
    <definedName name="Parm_Mech_Emissions_11">#REF!</definedName>
    <definedName name="Parm_Mech_Emissions_12" localSheetId="2">#REF!</definedName>
    <definedName name="Parm_Mech_Emissions_12" localSheetId="1">#REF!</definedName>
    <definedName name="Parm_Mech_Emissions_12" localSheetId="0">#REF!</definedName>
    <definedName name="Parm_Mech_Emissions_12" localSheetId="4">#REF!</definedName>
    <definedName name="Parm_Mech_Emissions_12" localSheetId="3">#REF!</definedName>
    <definedName name="Parm_Mech_Emissions_12" localSheetId="5">#REF!</definedName>
    <definedName name="Parm_Mech_Emissions_12">#REF!</definedName>
    <definedName name="Parm_Mech_Emissions_13" localSheetId="2">#REF!</definedName>
    <definedName name="Parm_Mech_Emissions_13" localSheetId="1">#REF!</definedName>
    <definedName name="Parm_Mech_Emissions_13" localSheetId="0">#REF!</definedName>
    <definedName name="Parm_Mech_Emissions_13" localSheetId="4">#REF!</definedName>
    <definedName name="Parm_Mech_Emissions_13" localSheetId="3">#REF!</definedName>
    <definedName name="Parm_Mech_Emissions_13" localSheetId="5">#REF!</definedName>
    <definedName name="Parm_Mech_Emissions_13">#REF!</definedName>
    <definedName name="Parm_Mech_Emissions_14" localSheetId="2">#REF!</definedName>
    <definedName name="Parm_Mech_Emissions_14" localSheetId="1">#REF!</definedName>
    <definedName name="Parm_Mech_Emissions_14" localSheetId="0">#REF!</definedName>
    <definedName name="Parm_Mech_Emissions_14" localSheetId="4">#REF!</definedName>
    <definedName name="Parm_Mech_Emissions_14" localSheetId="3">#REF!</definedName>
    <definedName name="Parm_Mech_Emissions_14" localSheetId="5">#REF!</definedName>
    <definedName name="Parm_Mech_Emissions_14">#REF!</definedName>
    <definedName name="Parm_Mech_Emissions_15" localSheetId="2">#REF!</definedName>
    <definedName name="Parm_Mech_Emissions_15" localSheetId="1">#REF!</definedName>
    <definedName name="Parm_Mech_Emissions_15" localSheetId="0">#REF!</definedName>
    <definedName name="Parm_Mech_Emissions_15" localSheetId="4">#REF!</definedName>
    <definedName name="Parm_Mech_Emissions_15" localSheetId="3">#REF!</definedName>
    <definedName name="Parm_Mech_Emissions_15" localSheetId="5">#REF!</definedName>
    <definedName name="Parm_Mech_Emissions_15">#REF!</definedName>
    <definedName name="Parm_Mech_Emissions_16" localSheetId="2">#REF!</definedName>
    <definedName name="Parm_Mech_Emissions_16" localSheetId="1">#REF!</definedName>
    <definedName name="Parm_Mech_Emissions_16" localSheetId="0">#REF!</definedName>
    <definedName name="Parm_Mech_Emissions_16" localSheetId="4">#REF!</definedName>
    <definedName name="Parm_Mech_Emissions_16" localSheetId="3">#REF!</definedName>
    <definedName name="Parm_Mech_Emissions_16" localSheetId="5">#REF!</definedName>
    <definedName name="Parm_Mech_Emissions_16">#REF!</definedName>
    <definedName name="Parm_Mech_Emissions_17" localSheetId="2">#REF!</definedName>
    <definedName name="Parm_Mech_Emissions_17" localSheetId="1">#REF!</definedName>
    <definedName name="Parm_Mech_Emissions_17" localSheetId="0">#REF!</definedName>
    <definedName name="Parm_Mech_Emissions_17" localSheetId="4">#REF!</definedName>
    <definedName name="Parm_Mech_Emissions_17" localSheetId="3">#REF!</definedName>
    <definedName name="Parm_Mech_Emissions_17" localSheetId="5">#REF!</definedName>
    <definedName name="Parm_Mech_Emissions_17">#REF!</definedName>
    <definedName name="Parm_Mech_Emissions_18" localSheetId="2">#REF!</definedName>
    <definedName name="Parm_Mech_Emissions_18" localSheetId="1">#REF!</definedName>
    <definedName name="Parm_Mech_Emissions_18" localSheetId="0">#REF!</definedName>
    <definedName name="Parm_Mech_Emissions_18" localSheetId="4">#REF!</definedName>
    <definedName name="Parm_Mech_Emissions_18" localSheetId="3">#REF!</definedName>
    <definedName name="Parm_Mech_Emissions_18" localSheetId="5">#REF!</definedName>
    <definedName name="Parm_Mech_Emissions_18">#REF!</definedName>
    <definedName name="Parm_Mech_Emissions_19" localSheetId="2">#REF!</definedName>
    <definedName name="Parm_Mech_Emissions_19" localSheetId="1">#REF!</definedName>
    <definedName name="Parm_Mech_Emissions_19" localSheetId="0">#REF!</definedName>
    <definedName name="Parm_Mech_Emissions_19" localSheetId="4">#REF!</definedName>
    <definedName name="Parm_Mech_Emissions_19" localSheetId="3">#REF!</definedName>
    <definedName name="Parm_Mech_Emissions_19" localSheetId="5">#REF!</definedName>
    <definedName name="Parm_Mech_Emissions_19">#REF!</definedName>
    <definedName name="Parm_Mech_Emissions_20" localSheetId="2">#REF!</definedName>
    <definedName name="Parm_Mech_Emissions_20" localSheetId="1">#REF!</definedName>
    <definedName name="Parm_Mech_Emissions_20" localSheetId="0">#REF!</definedName>
    <definedName name="Parm_Mech_Emissions_20" localSheetId="4">#REF!</definedName>
    <definedName name="Parm_Mech_Emissions_20" localSheetId="3">#REF!</definedName>
    <definedName name="Parm_Mech_Emissions_20" localSheetId="5">#REF!</definedName>
    <definedName name="Parm_Mech_Emissions_20">#REF!</definedName>
    <definedName name="Parm_Mech_Emissions_21" localSheetId="2">#REF!</definedName>
    <definedName name="Parm_Mech_Emissions_21" localSheetId="1">#REF!</definedName>
    <definedName name="Parm_Mech_Emissions_21" localSheetId="0">#REF!</definedName>
    <definedName name="Parm_Mech_Emissions_21" localSheetId="4">#REF!</definedName>
    <definedName name="Parm_Mech_Emissions_21" localSheetId="3">#REF!</definedName>
    <definedName name="Parm_Mech_Emissions_21" localSheetId="5">#REF!</definedName>
    <definedName name="Parm_Mech_Emissions_21">#REF!</definedName>
    <definedName name="Parm_Mech_Emissions_22" localSheetId="2">#REF!</definedName>
    <definedName name="Parm_Mech_Emissions_22" localSheetId="1">#REF!</definedName>
    <definedName name="Parm_Mech_Emissions_22" localSheetId="0">#REF!</definedName>
    <definedName name="Parm_Mech_Emissions_22" localSheetId="4">#REF!</definedName>
    <definedName name="Parm_Mech_Emissions_22" localSheetId="3">#REF!</definedName>
    <definedName name="Parm_Mech_Emissions_22" localSheetId="5">#REF!</definedName>
    <definedName name="Parm_Mech_Emissions_22">#REF!</definedName>
    <definedName name="Parm_Mech_Emissions_23" localSheetId="2">#REF!</definedName>
    <definedName name="Parm_Mech_Emissions_23" localSheetId="1">#REF!</definedName>
    <definedName name="Parm_Mech_Emissions_23" localSheetId="0">#REF!</definedName>
    <definedName name="Parm_Mech_Emissions_23" localSheetId="4">#REF!</definedName>
    <definedName name="Parm_Mech_Emissions_23" localSheetId="3">#REF!</definedName>
    <definedName name="Parm_Mech_Emissions_23" localSheetId="5">#REF!</definedName>
    <definedName name="Parm_Mech_Emissions_23">#REF!</definedName>
    <definedName name="Parm_Mech_Emissions_24" localSheetId="2">#REF!</definedName>
    <definedName name="Parm_Mech_Emissions_24" localSheetId="1">#REF!</definedName>
    <definedName name="Parm_Mech_Emissions_24" localSheetId="0">#REF!</definedName>
    <definedName name="Parm_Mech_Emissions_24" localSheetId="4">#REF!</definedName>
    <definedName name="Parm_Mech_Emissions_24" localSheetId="3">#REF!</definedName>
    <definedName name="Parm_Mech_Emissions_24" localSheetId="5">#REF!</definedName>
    <definedName name="Parm_Mech_Emissions_24">#REF!</definedName>
    <definedName name="Parm_Mech_Emissions_25" localSheetId="2">#REF!</definedName>
    <definedName name="Parm_Mech_Emissions_25" localSheetId="1">#REF!</definedName>
    <definedName name="Parm_Mech_Emissions_25" localSheetId="0">#REF!</definedName>
    <definedName name="Parm_Mech_Emissions_25" localSheetId="4">#REF!</definedName>
    <definedName name="Parm_Mech_Emissions_25" localSheetId="3">#REF!</definedName>
    <definedName name="Parm_Mech_Emissions_25" localSheetId="5">#REF!</definedName>
    <definedName name="Parm_Mech_Emissions_25">#REF!</definedName>
    <definedName name="Parm_Mech_Emissions_26" localSheetId="2">#REF!</definedName>
    <definedName name="Parm_Mech_Emissions_26" localSheetId="1">#REF!</definedName>
    <definedName name="Parm_Mech_Emissions_26" localSheetId="0">#REF!</definedName>
    <definedName name="Parm_Mech_Emissions_26" localSheetId="4">#REF!</definedName>
    <definedName name="Parm_Mech_Emissions_26" localSheetId="3">#REF!</definedName>
    <definedName name="Parm_Mech_Emissions_26" localSheetId="5">#REF!</definedName>
    <definedName name="Parm_Mech_Emissions_26">#REF!</definedName>
    <definedName name="Parm_Mech_Emissions_27" localSheetId="2">#REF!</definedName>
    <definedName name="Parm_Mech_Emissions_27" localSheetId="1">#REF!</definedName>
    <definedName name="Parm_Mech_Emissions_27" localSheetId="0">#REF!</definedName>
    <definedName name="Parm_Mech_Emissions_27" localSheetId="4">#REF!</definedName>
    <definedName name="Parm_Mech_Emissions_27" localSheetId="3">#REF!</definedName>
    <definedName name="Parm_Mech_Emissions_27" localSheetId="5">#REF!</definedName>
    <definedName name="Parm_Mech_Emissions_27">#REF!</definedName>
    <definedName name="Parm_Mech_Emissions_28" localSheetId="2">#REF!</definedName>
    <definedName name="Parm_Mech_Emissions_28" localSheetId="1">#REF!</definedName>
    <definedName name="Parm_Mech_Emissions_28" localSheetId="0">#REF!</definedName>
    <definedName name="Parm_Mech_Emissions_28" localSheetId="4">#REF!</definedName>
    <definedName name="Parm_Mech_Emissions_28" localSheetId="3">#REF!</definedName>
    <definedName name="Parm_Mech_Emissions_28" localSheetId="5">#REF!</definedName>
    <definedName name="Parm_Mech_Emissions_28">#REF!</definedName>
    <definedName name="Parm_Mech_Emissions_29" localSheetId="2">#REF!</definedName>
    <definedName name="Parm_Mech_Emissions_29" localSheetId="1">#REF!</definedName>
    <definedName name="Parm_Mech_Emissions_29" localSheetId="0">#REF!</definedName>
    <definedName name="Parm_Mech_Emissions_29" localSheetId="4">#REF!</definedName>
    <definedName name="Parm_Mech_Emissions_29" localSheetId="3">#REF!</definedName>
    <definedName name="Parm_Mech_Emissions_29" localSheetId="5">#REF!</definedName>
    <definedName name="Parm_Mech_Emissions_29">#REF!</definedName>
    <definedName name="Parm_Mech_Emissions_30" localSheetId="2">#REF!</definedName>
    <definedName name="Parm_Mech_Emissions_30" localSheetId="1">#REF!</definedName>
    <definedName name="Parm_Mech_Emissions_30" localSheetId="0">#REF!</definedName>
    <definedName name="Parm_Mech_Emissions_30" localSheetId="4">#REF!</definedName>
    <definedName name="Parm_Mech_Emissions_30" localSheetId="3">#REF!</definedName>
    <definedName name="Parm_Mech_Emissions_30" localSheetId="5">#REF!</definedName>
    <definedName name="Parm_Mech_Emissions_30">#REF!</definedName>
    <definedName name="Parm_Mech_Fuel_01" localSheetId="2">#REF!</definedName>
    <definedName name="Parm_Mech_Fuel_01" localSheetId="1">#REF!</definedName>
    <definedName name="Parm_Mech_Fuel_01" localSheetId="0">#REF!</definedName>
    <definedName name="Parm_Mech_Fuel_01" localSheetId="4">#REF!</definedName>
    <definedName name="Parm_Mech_Fuel_01" localSheetId="3">#REF!</definedName>
    <definedName name="Parm_Mech_Fuel_01" localSheetId="5">#REF!</definedName>
    <definedName name="Parm_Mech_Fuel_01">#REF!</definedName>
    <definedName name="Parm_Mech_Fuel_02" localSheetId="2">#REF!</definedName>
    <definedName name="Parm_Mech_Fuel_02" localSheetId="1">#REF!</definedName>
    <definedName name="Parm_Mech_Fuel_02" localSheetId="0">#REF!</definedName>
    <definedName name="Parm_Mech_Fuel_02" localSheetId="4">#REF!</definedName>
    <definedName name="Parm_Mech_Fuel_02" localSheetId="3">#REF!</definedName>
    <definedName name="Parm_Mech_Fuel_02" localSheetId="5">#REF!</definedName>
    <definedName name="Parm_Mech_Fuel_02">#REF!</definedName>
    <definedName name="Parm_Mech_Fuel_03" localSheetId="2">#REF!</definedName>
    <definedName name="Parm_Mech_Fuel_03" localSheetId="1">#REF!</definedName>
    <definedName name="Parm_Mech_Fuel_03" localSheetId="0">#REF!</definedName>
    <definedName name="Parm_Mech_Fuel_03" localSheetId="4">#REF!</definedName>
    <definedName name="Parm_Mech_Fuel_03" localSheetId="3">#REF!</definedName>
    <definedName name="Parm_Mech_Fuel_03" localSheetId="5">#REF!</definedName>
    <definedName name="Parm_Mech_Fuel_03">#REF!</definedName>
    <definedName name="Parm_Mech_Fuel_04" localSheetId="2">#REF!</definedName>
    <definedName name="Parm_Mech_Fuel_04" localSheetId="1">#REF!</definedName>
    <definedName name="Parm_Mech_Fuel_04" localSheetId="0">#REF!</definedName>
    <definedName name="Parm_Mech_Fuel_04" localSheetId="4">#REF!</definedName>
    <definedName name="Parm_Mech_Fuel_04" localSheetId="3">#REF!</definedName>
    <definedName name="Parm_Mech_Fuel_04" localSheetId="5">#REF!</definedName>
    <definedName name="Parm_Mech_Fuel_04">#REF!</definedName>
    <definedName name="Parm_Mech_Fuel_05" localSheetId="2">#REF!</definedName>
    <definedName name="Parm_Mech_Fuel_05" localSheetId="1">#REF!</definedName>
    <definedName name="Parm_Mech_Fuel_05" localSheetId="0">#REF!</definedName>
    <definedName name="Parm_Mech_Fuel_05" localSheetId="4">#REF!</definedName>
    <definedName name="Parm_Mech_Fuel_05" localSheetId="3">#REF!</definedName>
    <definedName name="Parm_Mech_Fuel_05" localSheetId="5">#REF!</definedName>
    <definedName name="Parm_Mech_Fuel_05">#REF!</definedName>
    <definedName name="Parm_Mech_Fuel_06" localSheetId="2">#REF!</definedName>
    <definedName name="Parm_Mech_Fuel_06" localSheetId="1">#REF!</definedName>
    <definedName name="Parm_Mech_Fuel_06" localSheetId="0">#REF!</definedName>
    <definedName name="Parm_Mech_Fuel_06" localSheetId="4">#REF!</definedName>
    <definedName name="Parm_Mech_Fuel_06" localSheetId="3">#REF!</definedName>
    <definedName name="Parm_Mech_Fuel_06" localSheetId="5">#REF!</definedName>
    <definedName name="Parm_Mech_Fuel_06">#REF!</definedName>
    <definedName name="Parm_Mech_Fuel_07" localSheetId="2">#REF!</definedName>
    <definedName name="Parm_Mech_Fuel_07" localSheetId="1">#REF!</definedName>
    <definedName name="Parm_Mech_Fuel_07" localSheetId="0">#REF!</definedName>
    <definedName name="Parm_Mech_Fuel_07" localSheetId="4">#REF!</definedName>
    <definedName name="Parm_Mech_Fuel_07" localSheetId="3">#REF!</definedName>
    <definedName name="Parm_Mech_Fuel_07" localSheetId="5">#REF!</definedName>
    <definedName name="Parm_Mech_Fuel_07">#REF!</definedName>
    <definedName name="Parm_Mech_Fuel_08" localSheetId="2">#REF!</definedName>
    <definedName name="Parm_Mech_Fuel_08" localSheetId="1">#REF!</definedName>
    <definedName name="Parm_Mech_Fuel_08" localSheetId="0">#REF!</definedName>
    <definedName name="Parm_Mech_Fuel_08" localSheetId="4">#REF!</definedName>
    <definedName name="Parm_Mech_Fuel_08" localSheetId="3">#REF!</definedName>
    <definedName name="Parm_Mech_Fuel_08" localSheetId="5">#REF!</definedName>
    <definedName name="Parm_Mech_Fuel_08">#REF!</definedName>
    <definedName name="Parm_Mech_Fuel_09" localSheetId="2">#REF!</definedName>
    <definedName name="Parm_Mech_Fuel_09" localSheetId="1">#REF!</definedName>
    <definedName name="Parm_Mech_Fuel_09" localSheetId="0">#REF!</definedName>
    <definedName name="Parm_Mech_Fuel_09" localSheetId="4">#REF!</definedName>
    <definedName name="Parm_Mech_Fuel_09" localSheetId="3">#REF!</definedName>
    <definedName name="Parm_Mech_Fuel_09" localSheetId="5">#REF!</definedName>
    <definedName name="Parm_Mech_Fuel_09">#REF!</definedName>
    <definedName name="Parm_Mech_Fuel_10" localSheetId="2">#REF!</definedName>
    <definedName name="Parm_Mech_Fuel_10" localSheetId="1">#REF!</definedName>
    <definedName name="Parm_Mech_Fuel_10" localSheetId="0">#REF!</definedName>
    <definedName name="Parm_Mech_Fuel_10" localSheetId="4">#REF!</definedName>
    <definedName name="Parm_Mech_Fuel_10" localSheetId="3">#REF!</definedName>
    <definedName name="Parm_Mech_Fuel_10" localSheetId="5">#REF!</definedName>
    <definedName name="Parm_Mech_Fuel_10">#REF!</definedName>
    <definedName name="Parm_Mech_Fuel_11" localSheetId="2">#REF!</definedName>
    <definedName name="Parm_Mech_Fuel_11" localSheetId="1">#REF!</definedName>
    <definedName name="Parm_Mech_Fuel_11" localSheetId="0">#REF!</definedName>
    <definedName name="Parm_Mech_Fuel_11" localSheetId="4">#REF!</definedName>
    <definedName name="Parm_Mech_Fuel_11" localSheetId="3">#REF!</definedName>
    <definedName name="Parm_Mech_Fuel_11" localSheetId="5">#REF!</definedName>
    <definedName name="Parm_Mech_Fuel_11">#REF!</definedName>
    <definedName name="Parm_Mech_Fuel_12" localSheetId="2">#REF!</definedName>
    <definedName name="Parm_Mech_Fuel_12" localSheetId="1">#REF!</definedName>
    <definedName name="Parm_Mech_Fuel_12" localSheetId="0">#REF!</definedName>
    <definedName name="Parm_Mech_Fuel_12" localSheetId="4">#REF!</definedName>
    <definedName name="Parm_Mech_Fuel_12" localSheetId="3">#REF!</definedName>
    <definedName name="Parm_Mech_Fuel_12" localSheetId="5">#REF!</definedName>
    <definedName name="Parm_Mech_Fuel_12">#REF!</definedName>
    <definedName name="Parm_Mech_Fuel_13" localSheetId="2">#REF!</definedName>
    <definedName name="Parm_Mech_Fuel_13" localSheetId="1">#REF!</definedName>
    <definedName name="Parm_Mech_Fuel_13" localSheetId="0">#REF!</definedName>
    <definedName name="Parm_Mech_Fuel_13" localSheetId="4">#REF!</definedName>
    <definedName name="Parm_Mech_Fuel_13" localSheetId="3">#REF!</definedName>
    <definedName name="Parm_Mech_Fuel_13" localSheetId="5">#REF!</definedName>
    <definedName name="Parm_Mech_Fuel_13">#REF!</definedName>
    <definedName name="Parm_Mech_Fuel_14" localSheetId="2">#REF!</definedName>
    <definedName name="Parm_Mech_Fuel_14" localSheetId="1">#REF!</definedName>
    <definedName name="Parm_Mech_Fuel_14" localSheetId="0">#REF!</definedName>
    <definedName name="Parm_Mech_Fuel_14" localSheetId="4">#REF!</definedName>
    <definedName name="Parm_Mech_Fuel_14" localSheetId="3">#REF!</definedName>
    <definedName name="Parm_Mech_Fuel_14" localSheetId="5">#REF!</definedName>
    <definedName name="Parm_Mech_Fuel_14">#REF!</definedName>
    <definedName name="Parm_Mech_Fuel_15" localSheetId="2">#REF!</definedName>
    <definedName name="Parm_Mech_Fuel_15" localSheetId="1">#REF!</definedName>
    <definedName name="Parm_Mech_Fuel_15" localSheetId="0">#REF!</definedName>
    <definedName name="Parm_Mech_Fuel_15" localSheetId="4">#REF!</definedName>
    <definedName name="Parm_Mech_Fuel_15" localSheetId="3">#REF!</definedName>
    <definedName name="Parm_Mech_Fuel_15" localSheetId="5">#REF!</definedName>
    <definedName name="Parm_Mech_Fuel_15">#REF!</definedName>
    <definedName name="Parm_Mech_Fuel_16" localSheetId="2">#REF!</definedName>
    <definedName name="Parm_Mech_Fuel_16" localSheetId="1">#REF!</definedName>
    <definedName name="Parm_Mech_Fuel_16" localSheetId="0">#REF!</definedName>
    <definedName name="Parm_Mech_Fuel_16" localSheetId="4">#REF!</definedName>
    <definedName name="Parm_Mech_Fuel_16" localSheetId="3">#REF!</definedName>
    <definedName name="Parm_Mech_Fuel_16" localSheetId="5">#REF!</definedName>
    <definedName name="Parm_Mech_Fuel_16">#REF!</definedName>
    <definedName name="Parm_Mech_Mtlhd_01" localSheetId="2">#REF!</definedName>
    <definedName name="Parm_Mech_Mtlhd_01" localSheetId="1">#REF!</definedName>
    <definedName name="Parm_Mech_Mtlhd_01" localSheetId="0">#REF!</definedName>
    <definedName name="Parm_Mech_Mtlhd_01" localSheetId="4">#REF!</definedName>
    <definedName name="Parm_Mech_Mtlhd_01" localSheetId="3">#REF!</definedName>
    <definedName name="Parm_Mech_Mtlhd_01" localSheetId="5">#REF!</definedName>
    <definedName name="Parm_Mech_Mtlhd_01">#REF!</definedName>
    <definedName name="Parm_Mech_Mtlhd_02" localSheetId="2">#REF!</definedName>
    <definedName name="Parm_Mech_Mtlhd_02" localSheetId="1">#REF!</definedName>
    <definedName name="Parm_Mech_Mtlhd_02" localSheetId="0">#REF!</definedName>
    <definedName name="Parm_Mech_Mtlhd_02" localSheetId="4">#REF!</definedName>
    <definedName name="Parm_Mech_Mtlhd_02" localSheetId="3">#REF!</definedName>
    <definedName name="Parm_Mech_Mtlhd_02" localSheetId="5">#REF!</definedName>
    <definedName name="Parm_Mech_Mtlhd_02">#REF!</definedName>
    <definedName name="Parm_Mech_Mtlhd_03" localSheetId="2">#REF!</definedName>
    <definedName name="Parm_Mech_Mtlhd_03" localSheetId="1">#REF!</definedName>
    <definedName name="Parm_Mech_Mtlhd_03" localSheetId="0">#REF!</definedName>
    <definedName name="Parm_Mech_Mtlhd_03" localSheetId="4">#REF!</definedName>
    <definedName name="Parm_Mech_Mtlhd_03" localSheetId="3">#REF!</definedName>
    <definedName name="Parm_Mech_Mtlhd_03" localSheetId="5">#REF!</definedName>
    <definedName name="Parm_Mech_Mtlhd_03">#REF!</definedName>
    <definedName name="Parm_Mech_Mtlhd_04" localSheetId="2">#REF!</definedName>
    <definedName name="Parm_Mech_Mtlhd_04" localSheetId="1">#REF!</definedName>
    <definedName name="Parm_Mech_Mtlhd_04" localSheetId="0">#REF!</definedName>
    <definedName name="Parm_Mech_Mtlhd_04" localSheetId="4">#REF!</definedName>
    <definedName name="Parm_Mech_Mtlhd_04" localSheetId="3">#REF!</definedName>
    <definedName name="Parm_Mech_Mtlhd_04" localSheetId="5">#REF!</definedName>
    <definedName name="Parm_Mech_Mtlhd_04">#REF!</definedName>
    <definedName name="Parm_Mech_Mtlhd_05" localSheetId="2">#REF!</definedName>
    <definedName name="Parm_Mech_Mtlhd_05" localSheetId="1">#REF!</definedName>
    <definedName name="Parm_Mech_Mtlhd_05" localSheetId="0">#REF!</definedName>
    <definedName name="Parm_Mech_Mtlhd_05" localSheetId="4">#REF!</definedName>
    <definedName name="Parm_Mech_Mtlhd_05" localSheetId="3">#REF!</definedName>
    <definedName name="Parm_Mech_Mtlhd_05" localSheetId="5">#REF!</definedName>
    <definedName name="Parm_Mech_Mtlhd_05">#REF!</definedName>
    <definedName name="Parm_Mech_Mtlhd_06" localSheetId="2">#REF!</definedName>
    <definedName name="Parm_Mech_Mtlhd_06" localSheetId="1">#REF!</definedName>
    <definedName name="Parm_Mech_Mtlhd_06" localSheetId="0">#REF!</definedName>
    <definedName name="Parm_Mech_Mtlhd_06" localSheetId="4">#REF!</definedName>
    <definedName name="Parm_Mech_Mtlhd_06" localSheetId="3">#REF!</definedName>
    <definedName name="Parm_Mech_Mtlhd_06" localSheetId="5">#REF!</definedName>
    <definedName name="Parm_Mech_Mtlhd_06">#REF!</definedName>
    <definedName name="Parm_Mech_Mtlhd_07" localSheetId="2">#REF!</definedName>
    <definedName name="Parm_Mech_Mtlhd_07" localSheetId="1">#REF!</definedName>
    <definedName name="Parm_Mech_Mtlhd_07" localSheetId="0">#REF!</definedName>
    <definedName name="Parm_Mech_Mtlhd_07" localSheetId="4">#REF!</definedName>
    <definedName name="Parm_Mech_Mtlhd_07" localSheetId="3">#REF!</definedName>
    <definedName name="Parm_Mech_Mtlhd_07" localSheetId="5">#REF!</definedName>
    <definedName name="Parm_Mech_Mtlhd_07">#REF!</definedName>
    <definedName name="Parm_Mech_Mtlhd_08" localSheetId="2">#REF!</definedName>
    <definedName name="Parm_Mech_Mtlhd_08" localSheetId="1">#REF!</definedName>
    <definedName name="Parm_Mech_Mtlhd_08" localSheetId="0">#REF!</definedName>
    <definedName name="Parm_Mech_Mtlhd_08" localSheetId="4">#REF!</definedName>
    <definedName name="Parm_Mech_Mtlhd_08" localSheetId="3">#REF!</definedName>
    <definedName name="Parm_Mech_Mtlhd_08" localSheetId="5">#REF!</definedName>
    <definedName name="Parm_Mech_Mtlhd_08">#REF!</definedName>
    <definedName name="Parm_Mech_Mtlhd_09" localSheetId="2">#REF!</definedName>
    <definedName name="Parm_Mech_Mtlhd_09" localSheetId="1">#REF!</definedName>
    <definedName name="Parm_Mech_Mtlhd_09" localSheetId="0">#REF!</definedName>
    <definedName name="Parm_Mech_Mtlhd_09" localSheetId="4">#REF!</definedName>
    <definedName name="Parm_Mech_Mtlhd_09" localSheetId="3">#REF!</definedName>
    <definedName name="Parm_Mech_Mtlhd_09" localSheetId="5">#REF!</definedName>
    <definedName name="Parm_Mech_Mtlhd_09">#REF!</definedName>
    <definedName name="Parm_Mech_Mtlhd_10" localSheetId="2">#REF!</definedName>
    <definedName name="Parm_Mech_Mtlhd_10" localSheetId="1">#REF!</definedName>
    <definedName name="Parm_Mech_Mtlhd_10" localSheetId="0">#REF!</definedName>
    <definedName name="Parm_Mech_Mtlhd_10" localSheetId="4">#REF!</definedName>
    <definedName name="Parm_Mech_Mtlhd_10" localSheetId="3">#REF!</definedName>
    <definedName name="Parm_Mech_Mtlhd_10" localSheetId="5">#REF!</definedName>
    <definedName name="Parm_Mech_Mtlhd_10">#REF!</definedName>
    <definedName name="Parm_Mech_Mtlhd_11" localSheetId="2">#REF!</definedName>
    <definedName name="Parm_Mech_Mtlhd_11" localSheetId="1">#REF!</definedName>
    <definedName name="Parm_Mech_Mtlhd_11" localSheetId="0">#REF!</definedName>
    <definedName name="Parm_Mech_Mtlhd_11" localSheetId="4">#REF!</definedName>
    <definedName name="Parm_Mech_Mtlhd_11" localSheetId="3">#REF!</definedName>
    <definedName name="Parm_Mech_Mtlhd_11" localSheetId="5">#REF!</definedName>
    <definedName name="Parm_Mech_Mtlhd_11">#REF!</definedName>
    <definedName name="Parm_Mech_Mtlhd_12" localSheetId="2">#REF!</definedName>
    <definedName name="Parm_Mech_Mtlhd_12" localSheetId="1">#REF!</definedName>
    <definedName name="Parm_Mech_Mtlhd_12" localSheetId="0">#REF!</definedName>
    <definedName name="Parm_Mech_Mtlhd_12" localSheetId="4">#REF!</definedName>
    <definedName name="Parm_Mech_Mtlhd_12" localSheetId="3">#REF!</definedName>
    <definedName name="Parm_Mech_Mtlhd_12" localSheetId="5">#REF!</definedName>
    <definedName name="Parm_Mech_Mtlhd_12">#REF!</definedName>
    <definedName name="Parm_Mech_Mtlhd_13" localSheetId="2">#REF!</definedName>
    <definedName name="Parm_Mech_Mtlhd_13" localSheetId="1">#REF!</definedName>
    <definedName name="Parm_Mech_Mtlhd_13" localSheetId="0">#REF!</definedName>
    <definedName name="Parm_Mech_Mtlhd_13" localSheetId="4">#REF!</definedName>
    <definedName name="Parm_Mech_Mtlhd_13" localSheetId="3">#REF!</definedName>
    <definedName name="Parm_Mech_Mtlhd_13" localSheetId="5">#REF!</definedName>
    <definedName name="Parm_Mech_Mtlhd_13">#REF!</definedName>
    <definedName name="Parm_Mech_Mtlhd_14" localSheetId="2">#REF!</definedName>
    <definedName name="Parm_Mech_Mtlhd_14" localSheetId="1">#REF!</definedName>
    <definedName name="Parm_Mech_Mtlhd_14" localSheetId="0">#REF!</definedName>
    <definedName name="Parm_Mech_Mtlhd_14" localSheetId="4">#REF!</definedName>
    <definedName name="Parm_Mech_Mtlhd_14" localSheetId="3">#REF!</definedName>
    <definedName name="Parm_Mech_Mtlhd_14" localSheetId="5">#REF!</definedName>
    <definedName name="Parm_Mech_Mtlhd_14">#REF!</definedName>
    <definedName name="Parm_Mech_Mtlhd_15" localSheetId="2">#REF!</definedName>
    <definedName name="Parm_Mech_Mtlhd_15" localSheetId="1">#REF!</definedName>
    <definedName name="Parm_Mech_Mtlhd_15" localSheetId="0">#REF!</definedName>
    <definedName name="Parm_Mech_Mtlhd_15" localSheetId="4">#REF!</definedName>
    <definedName name="Parm_Mech_Mtlhd_15" localSheetId="3">#REF!</definedName>
    <definedName name="Parm_Mech_Mtlhd_15" localSheetId="5">#REF!</definedName>
    <definedName name="Parm_Mech_Mtlhd_15">#REF!</definedName>
    <definedName name="Parm_Mech_Mtlhd_16" localSheetId="2">#REF!</definedName>
    <definedName name="Parm_Mech_Mtlhd_16" localSheetId="1">#REF!</definedName>
    <definedName name="Parm_Mech_Mtlhd_16" localSheetId="0">#REF!</definedName>
    <definedName name="Parm_Mech_Mtlhd_16" localSheetId="4">#REF!</definedName>
    <definedName name="Parm_Mech_Mtlhd_16" localSheetId="3">#REF!</definedName>
    <definedName name="Parm_Mech_Mtlhd_16" localSheetId="5">#REF!</definedName>
    <definedName name="Parm_Mech_Mtlhd_16">#REF!</definedName>
    <definedName name="Parm_Mech_Mtlhd_17" localSheetId="2">#REF!</definedName>
    <definedName name="Parm_Mech_Mtlhd_17" localSheetId="1">#REF!</definedName>
    <definedName name="Parm_Mech_Mtlhd_17" localSheetId="0">#REF!</definedName>
    <definedName name="Parm_Mech_Mtlhd_17" localSheetId="4">#REF!</definedName>
    <definedName name="Parm_Mech_Mtlhd_17" localSheetId="3">#REF!</definedName>
    <definedName name="Parm_Mech_Mtlhd_17" localSheetId="5">#REF!</definedName>
    <definedName name="Parm_Mech_Mtlhd_17">#REF!</definedName>
    <definedName name="Parm_Mech_STG_01" localSheetId="2">#REF!</definedName>
    <definedName name="Parm_Mech_STG_01" localSheetId="1">#REF!</definedName>
    <definedName name="Parm_Mech_STG_01" localSheetId="0">#REF!</definedName>
    <definedName name="Parm_Mech_STG_01" localSheetId="4">#REF!</definedName>
    <definedName name="Parm_Mech_STG_01" localSheetId="3">#REF!</definedName>
    <definedName name="Parm_Mech_STG_01" localSheetId="5">#REF!</definedName>
    <definedName name="Parm_Mech_STG_01">#REF!</definedName>
    <definedName name="Parm_Mech_STG_02" localSheetId="2">#REF!</definedName>
    <definedName name="Parm_Mech_STG_02" localSheetId="1">#REF!</definedName>
    <definedName name="Parm_Mech_STG_02" localSheetId="0">#REF!</definedName>
    <definedName name="Parm_Mech_STG_02" localSheetId="4">#REF!</definedName>
    <definedName name="Parm_Mech_STG_02" localSheetId="3">#REF!</definedName>
    <definedName name="Parm_Mech_STG_02" localSheetId="5">#REF!</definedName>
    <definedName name="Parm_Mech_STG_02">#REF!</definedName>
    <definedName name="Parm_Mech_STG_03" localSheetId="2">#REF!</definedName>
    <definedName name="Parm_Mech_STG_03" localSheetId="1">#REF!</definedName>
    <definedName name="Parm_Mech_STG_03" localSheetId="0">#REF!</definedName>
    <definedName name="Parm_Mech_STG_03" localSheetId="4">#REF!</definedName>
    <definedName name="Parm_Mech_STG_03" localSheetId="3">#REF!</definedName>
    <definedName name="Parm_Mech_STG_03" localSheetId="5">#REF!</definedName>
    <definedName name="Parm_Mech_STG_03">#REF!</definedName>
    <definedName name="Parm_Mech_STG_04" localSheetId="2">#REF!</definedName>
    <definedName name="Parm_Mech_STG_04" localSheetId="1">#REF!</definedName>
    <definedName name="Parm_Mech_STG_04" localSheetId="0">#REF!</definedName>
    <definedName name="Parm_Mech_STG_04" localSheetId="4">#REF!</definedName>
    <definedName name="Parm_Mech_STG_04" localSheetId="3">#REF!</definedName>
    <definedName name="Parm_Mech_STG_04" localSheetId="5">#REF!</definedName>
    <definedName name="Parm_Mech_STG_04">#REF!</definedName>
    <definedName name="Parm_Mech_STG_05" localSheetId="2">#REF!</definedName>
    <definedName name="Parm_Mech_STG_05" localSheetId="1">#REF!</definedName>
    <definedName name="Parm_Mech_STG_05" localSheetId="0">#REF!</definedName>
    <definedName name="Parm_Mech_STG_05" localSheetId="4">#REF!</definedName>
    <definedName name="Parm_Mech_STG_05" localSheetId="3">#REF!</definedName>
    <definedName name="Parm_Mech_STG_05" localSheetId="5">#REF!</definedName>
    <definedName name="Parm_Mech_STG_05">#REF!</definedName>
    <definedName name="Parm_Mech_STG_06" localSheetId="2">#REF!</definedName>
    <definedName name="Parm_Mech_STG_06" localSheetId="1">#REF!</definedName>
    <definedName name="Parm_Mech_STG_06" localSheetId="0">#REF!</definedName>
    <definedName name="Parm_Mech_STG_06" localSheetId="4">#REF!</definedName>
    <definedName name="Parm_Mech_STG_06" localSheetId="3">#REF!</definedName>
    <definedName name="Parm_Mech_STG_06" localSheetId="5">#REF!</definedName>
    <definedName name="Parm_Mech_STG_06">#REF!</definedName>
    <definedName name="Parm_Mech_STG_07" localSheetId="2">#REF!</definedName>
    <definedName name="Parm_Mech_STG_07" localSheetId="1">#REF!</definedName>
    <definedName name="Parm_Mech_STG_07" localSheetId="0">#REF!</definedName>
    <definedName name="Parm_Mech_STG_07" localSheetId="4">#REF!</definedName>
    <definedName name="Parm_Mech_STG_07" localSheetId="3">#REF!</definedName>
    <definedName name="Parm_Mech_STG_07" localSheetId="5">#REF!</definedName>
    <definedName name="Parm_Mech_STG_07">#REF!</definedName>
    <definedName name="Parm_Mech_STG_08" localSheetId="2">#REF!</definedName>
    <definedName name="Parm_Mech_STG_08" localSheetId="1">#REF!</definedName>
    <definedName name="Parm_Mech_STG_08" localSheetId="0">#REF!</definedName>
    <definedName name="Parm_Mech_STG_08" localSheetId="4">#REF!</definedName>
    <definedName name="Parm_Mech_STG_08" localSheetId="3">#REF!</definedName>
    <definedName name="Parm_Mech_STG_08" localSheetId="5">#REF!</definedName>
    <definedName name="Parm_Mech_STG_08">#REF!</definedName>
    <definedName name="Parm_Mech_STG_09" localSheetId="2">#REF!</definedName>
    <definedName name="Parm_Mech_STG_09" localSheetId="1">#REF!</definedName>
    <definedName name="Parm_Mech_STG_09" localSheetId="0">#REF!</definedName>
    <definedName name="Parm_Mech_STG_09" localSheetId="4">#REF!</definedName>
    <definedName name="Parm_Mech_STG_09" localSheetId="3">#REF!</definedName>
    <definedName name="Parm_Mech_STG_09" localSheetId="5">#REF!</definedName>
    <definedName name="Parm_Mech_STG_09">#REF!</definedName>
    <definedName name="Parm_Mech_STG_10" localSheetId="2">#REF!</definedName>
    <definedName name="Parm_Mech_STG_10" localSheetId="1">#REF!</definedName>
    <definedName name="Parm_Mech_STG_10" localSheetId="0">#REF!</definedName>
    <definedName name="Parm_Mech_STG_10" localSheetId="4">#REF!</definedName>
    <definedName name="Parm_Mech_STG_10" localSheetId="3">#REF!</definedName>
    <definedName name="Parm_Mech_STG_10" localSheetId="5">#REF!</definedName>
    <definedName name="Parm_Mech_STG_10">#REF!</definedName>
    <definedName name="Parm_Mech_STG_11" localSheetId="2">#REF!</definedName>
    <definedName name="Parm_Mech_STG_11" localSheetId="1">#REF!</definedName>
    <definedName name="Parm_Mech_STG_11" localSheetId="0">#REF!</definedName>
    <definedName name="Parm_Mech_STG_11" localSheetId="4">#REF!</definedName>
    <definedName name="Parm_Mech_STG_11" localSheetId="3">#REF!</definedName>
    <definedName name="Parm_Mech_STG_11" localSheetId="5">#REF!</definedName>
    <definedName name="Parm_Mech_STG_11">#REF!</definedName>
    <definedName name="Parm_Mech_STG_12" localSheetId="2">#REF!</definedName>
    <definedName name="Parm_Mech_STG_12" localSheetId="1">#REF!</definedName>
    <definedName name="Parm_Mech_STG_12" localSheetId="0">#REF!</definedName>
    <definedName name="Parm_Mech_STG_12" localSheetId="4">#REF!</definedName>
    <definedName name="Parm_Mech_STG_12" localSheetId="3">#REF!</definedName>
    <definedName name="Parm_Mech_STG_12" localSheetId="5">#REF!</definedName>
    <definedName name="Parm_Mech_STG_12">#REF!</definedName>
    <definedName name="Parm_Mech_STG_13" localSheetId="2">#REF!</definedName>
    <definedName name="Parm_Mech_STG_13" localSheetId="1">#REF!</definedName>
    <definedName name="Parm_Mech_STG_13" localSheetId="0">#REF!</definedName>
    <definedName name="Parm_Mech_STG_13" localSheetId="4">#REF!</definedName>
    <definedName name="Parm_Mech_STG_13" localSheetId="3">#REF!</definedName>
    <definedName name="Parm_Mech_STG_13" localSheetId="5">#REF!</definedName>
    <definedName name="Parm_Mech_STG_13">#REF!</definedName>
    <definedName name="Parm_Mech_STG_14" localSheetId="2">#REF!</definedName>
    <definedName name="Parm_Mech_STG_14" localSheetId="1">#REF!</definedName>
    <definedName name="Parm_Mech_STG_14" localSheetId="0">#REF!</definedName>
    <definedName name="Parm_Mech_STG_14" localSheetId="4">#REF!</definedName>
    <definedName name="Parm_Mech_STG_14" localSheetId="3">#REF!</definedName>
    <definedName name="Parm_Mech_STG_14" localSheetId="5">#REF!</definedName>
    <definedName name="Parm_Mech_STG_14">#REF!</definedName>
    <definedName name="Parm_Mech_STG_15" localSheetId="2">#REF!</definedName>
    <definedName name="Parm_Mech_STG_15" localSheetId="1">#REF!</definedName>
    <definedName name="Parm_Mech_STG_15" localSheetId="0">#REF!</definedName>
    <definedName name="Parm_Mech_STG_15" localSheetId="4">#REF!</definedName>
    <definedName name="Parm_Mech_STG_15" localSheetId="3">#REF!</definedName>
    <definedName name="Parm_Mech_STG_15" localSheetId="5">#REF!</definedName>
    <definedName name="Parm_Mech_STG_15">#REF!</definedName>
    <definedName name="Parm_Mech_STG_16" localSheetId="2">#REF!</definedName>
    <definedName name="Parm_Mech_STG_16" localSheetId="1">#REF!</definedName>
    <definedName name="Parm_Mech_STG_16" localSheetId="0">#REF!</definedName>
    <definedName name="Parm_Mech_STG_16" localSheetId="4">#REF!</definedName>
    <definedName name="Parm_Mech_STG_16" localSheetId="3">#REF!</definedName>
    <definedName name="Parm_Mech_STG_16" localSheetId="5">#REF!</definedName>
    <definedName name="Parm_Mech_STG_16">#REF!</definedName>
    <definedName name="Parm_Mech_STG_17" localSheetId="2">#REF!</definedName>
    <definedName name="Parm_Mech_STG_17" localSheetId="1">#REF!</definedName>
    <definedName name="Parm_Mech_STG_17" localSheetId="0">#REF!</definedName>
    <definedName name="Parm_Mech_STG_17" localSheetId="4">#REF!</definedName>
    <definedName name="Parm_Mech_STG_17" localSheetId="3">#REF!</definedName>
    <definedName name="Parm_Mech_STG_17" localSheetId="5">#REF!</definedName>
    <definedName name="Parm_Mech_STG_17">#REF!</definedName>
    <definedName name="Parm_Mech_STG_18" localSheetId="2">#REF!</definedName>
    <definedName name="Parm_Mech_STG_18" localSheetId="1">#REF!</definedName>
    <definedName name="Parm_Mech_STG_18" localSheetId="0">#REF!</definedName>
    <definedName name="Parm_Mech_STG_18" localSheetId="4">#REF!</definedName>
    <definedName name="Parm_Mech_STG_18" localSheetId="3">#REF!</definedName>
    <definedName name="Parm_Mech_STG_18" localSheetId="5">#REF!</definedName>
    <definedName name="Parm_Mech_STG_18">#REF!</definedName>
    <definedName name="Parm_Mech_STG_19" localSheetId="2">#REF!</definedName>
    <definedName name="Parm_Mech_STG_19" localSheetId="1">#REF!</definedName>
    <definedName name="Parm_Mech_STG_19" localSheetId="0">#REF!</definedName>
    <definedName name="Parm_Mech_STG_19" localSheetId="4">#REF!</definedName>
    <definedName name="Parm_Mech_STG_19" localSheetId="3">#REF!</definedName>
    <definedName name="Parm_Mech_STG_19" localSheetId="5">#REF!</definedName>
    <definedName name="Parm_Mech_STG_19">#REF!</definedName>
    <definedName name="Parm_Mech_STG_20" localSheetId="2">#REF!</definedName>
    <definedName name="Parm_Mech_STG_20" localSheetId="1">#REF!</definedName>
    <definedName name="Parm_Mech_STG_20" localSheetId="0">#REF!</definedName>
    <definedName name="Parm_Mech_STG_20" localSheetId="4">#REF!</definedName>
    <definedName name="Parm_Mech_STG_20" localSheetId="3">#REF!</definedName>
    <definedName name="Parm_Mech_STG_20" localSheetId="5">#REF!</definedName>
    <definedName name="Parm_Mech_STG_20">#REF!</definedName>
    <definedName name="Parm_Mech_STG_21" localSheetId="2">#REF!</definedName>
    <definedName name="Parm_Mech_STG_21" localSheetId="1">#REF!</definedName>
    <definedName name="Parm_Mech_STG_21" localSheetId="0">#REF!</definedName>
    <definedName name="Parm_Mech_STG_21" localSheetId="4">#REF!</definedName>
    <definedName name="Parm_Mech_STG_21" localSheetId="3">#REF!</definedName>
    <definedName name="Parm_Mech_STG_21" localSheetId="5">#REF!</definedName>
    <definedName name="Parm_Mech_STG_21">#REF!</definedName>
    <definedName name="Parm_Mech_Storage_01" localSheetId="2">#REF!</definedName>
    <definedName name="Parm_Mech_Storage_01" localSheetId="1">#REF!</definedName>
    <definedName name="Parm_Mech_Storage_01" localSheetId="0">#REF!</definedName>
    <definedName name="Parm_Mech_Storage_01" localSheetId="4">#REF!</definedName>
    <definedName name="Parm_Mech_Storage_01" localSheetId="3">#REF!</definedName>
    <definedName name="Parm_Mech_Storage_01" localSheetId="5">#REF!</definedName>
    <definedName name="Parm_Mech_Storage_01">#REF!</definedName>
    <definedName name="Parm_Mech_Storage_02" localSheetId="2">#REF!</definedName>
    <definedName name="Parm_Mech_Storage_02" localSheetId="1">#REF!</definedName>
    <definedName name="Parm_Mech_Storage_02" localSheetId="0">#REF!</definedName>
    <definedName name="Parm_Mech_Storage_02" localSheetId="4">#REF!</definedName>
    <definedName name="Parm_Mech_Storage_02" localSheetId="3">#REF!</definedName>
    <definedName name="Parm_Mech_Storage_02" localSheetId="5">#REF!</definedName>
    <definedName name="Parm_Mech_Storage_02">#REF!</definedName>
    <definedName name="Parm_Mech_Storage_03" localSheetId="2">#REF!</definedName>
    <definedName name="Parm_Mech_Storage_03" localSheetId="1">#REF!</definedName>
    <definedName name="Parm_Mech_Storage_03" localSheetId="0">#REF!</definedName>
    <definedName name="Parm_Mech_Storage_03" localSheetId="4">#REF!</definedName>
    <definedName name="Parm_Mech_Storage_03" localSheetId="3">#REF!</definedName>
    <definedName name="Parm_Mech_Storage_03" localSheetId="5">#REF!</definedName>
    <definedName name="Parm_Mech_Storage_03">#REF!</definedName>
    <definedName name="Parm_Mech_Storage_04" localSheetId="2">#REF!</definedName>
    <definedName name="Parm_Mech_Storage_04" localSheetId="1">#REF!</definedName>
    <definedName name="Parm_Mech_Storage_04" localSheetId="0">#REF!</definedName>
    <definedName name="Parm_Mech_Storage_04" localSheetId="4">#REF!</definedName>
    <definedName name="Parm_Mech_Storage_04" localSheetId="3">#REF!</definedName>
    <definedName name="Parm_Mech_Storage_04" localSheetId="5">#REF!</definedName>
    <definedName name="Parm_Mech_Storage_04">#REF!</definedName>
    <definedName name="Parm_Mech_Storage_05" localSheetId="2">#REF!</definedName>
    <definedName name="Parm_Mech_Storage_05" localSheetId="1">#REF!</definedName>
    <definedName name="Parm_Mech_Storage_05" localSheetId="0">#REF!</definedName>
    <definedName name="Parm_Mech_Storage_05" localSheetId="4">#REF!</definedName>
    <definedName name="Parm_Mech_Storage_05" localSheetId="3">#REF!</definedName>
    <definedName name="Parm_Mech_Storage_05" localSheetId="5">#REF!</definedName>
    <definedName name="Parm_Mech_Storage_05">#REF!</definedName>
    <definedName name="Parm_Mech_Storage_06" localSheetId="2">#REF!</definedName>
    <definedName name="Parm_Mech_Storage_06" localSheetId="1">#REF!</definedName>
    <definedName name="Parm_Mech_Storage_06" localSheetId="0">#REF!</definedName>
    <definedName name="Parm_Mech_Storage_06" localSheetId="4">#REF!</definedName>
    <definedName name="Parm_Mech_Storage_06" localSheetId="3">#REF!</definedName>
    <definedName name="Parm_Mech_Storage_06" localSheetId="5">#REF!</definedName>
    <definedName name="Parm_Mech_Storage_06">#REF!</definedName>
    <definedName name="Parm_Mech_Storage_07" localSheetId="2">#REF!</definedName>
    <definedName name="Parm_Mech_Storage_07" localSheetId="1">#REF!</definedName>
    <definedName name="Parm_Mech_Storage_07" localSheetId="0">#REF!</definedName>
    <definedName name="Parm_Mech_Storage_07" localSheetId="4">#REF!</definedName>
    <definedName name="Parm_Mech_Storage_07" localSheetId="3">#REF!</definedName>
    <definedName name="Parm_Mech_Storage_07" localSheetId="5">#REF!</definedName>
    <definedName name="Parm_Mech_Storage_07">#REF!</definedName>
    <definedName name="Parm_Mech_Storage_08" localSheetId="2">#REF!</definedName>
    <definedName name="Parm_Mech_Storage_08" localSheetId="1">#REF!</definedName>
    <definedName name="Parm_Mech_Storage_08" localSheetId="0">#REF!</definedName>
    <definedName name="Parm_Mech_Storage_08" localSheetId="4">#REF!</definedName>
    <definedName name="Parm_Mech_Storage_08" localSheetId="3">#REF!</definedName>
    <definedName name="Parm_Mech_Storage_08" localSheetId="5">#REF!</definedName>
    <definedName name="Parm_Mech_Storage_08">#REF!</definedName>
    <definedName name="Parm_Mech_Storage_09" localSheetId="2">#REF!</definedName>
    <definedName name="Parm_Mech_Storage_09" localSheetId="1">#REF!</definedName>
    <definedName name="Parm_Mech_Storage_09" localSheetId="0">#REF!</definedName>
    <definedName name="Parm_Mech_Storage_09" localSheetId="4">#REF!</definedName>
    <definedName name="Parm_Mech_Storage_09" localSheetId="3">#REF!</definedName>
    <definedName name="Parm_Mech_Storage_09" localSheetId="5">#REF!</definedName>
    <definedName name="Parm_Mech_Storage_09">#REF!</definedName>
    <definedName name="Parm_Mech_Storage_10" localSheetId="2">#REF!</definedName>
    <definedName name="Parm_Mech_Storage_10" localSheetId="1">#REF!</definedName>
    <definedName name="Parm_Mech_Storage_10" localSheetId="0">#REF!</definedName>
    <definedName name="Parm_Mech_Storage_10" localSheetId="4">#REF!</definedName>
    <definedName name="Parm_Mech_Storage_10" localSheetId="3">#REF!</definedName>
    <definedName name="Parm_Mech_Storage_10" localSheetId="5">#REF!</definedName>
    <definedName name="Parm_Mech_Storage_10">#REF!</definedName>
    <definedName name="Parm_Mech_Storage_11" localSheetId="2">#REF!</definedName>
    <definedName name="Parm_Mech_Storage_11" localSheetId="1">#REF!</definedName>
    <definedName name="Parm_Mech_Storage_11" localSheetId="0">#REF!</definedName>
    <definedName name="Parm_Mech_Storage_11" localSheetId="4">#REF!</definedName>
    <definedName name="Parm_Mech_Storage_11" localSheetId="3">#REF!</definedName>
    <definedName name="Parm_Mech_Storage_11" localSheetId="5">#REF!</definedName>
    <definedName name="Parm_Mech_Storage_11">#REF!</definedName>
    <definedName name="Parm_Plant_Design_01" localSheetId="2">#REF!</definedName>
    <definedName name="Parm_Plant_Design_01" localSheetId="1">#REF!</definedName>
    <definedName name="Parm_Plant_Design_01" localSheetId="0">#REF!</definedName>
    <definedName name="Parm_Plant_Design_01" localSheetId="4">#REF!</definedName>
    <definedName name="Parm_Plant_Design_01" localSheetId="3">#REF!</definedName>
    <definedName name="Parm_Plant_Design_01" localSheetId="5">#REF!</definedName>
    <definedName name="Parm_Plant_Design_01">#REF!</definedName>
    <definedName name="Parm_Plant_Design_02" localSheetId="2">#REF!</definedName>
    <definedName name="Parm_Plant_Design_02" localSheetId="1">#REF!</definedName>
    <definedName name="Parm_Plant_Design_02" localSheetId="0">#REF!</definedName>
    <definedName name="Parm_Plant_Design_02" localSheetId="4">#REF!</definedName>
    <definedName name="Parm_Plant_Design_02" localSheetId="3">#REF!</definedName>
    <definedName name="Parm_Plant_Design_02" localSheetId="5">#REF!</definedName>
    <definedName name="Parm_Plant_Design_02">#REF!</definedName>
    <definedName name="Parm_Plant_Design_03" localSheetId="2">#REF!</definedName>
    <definedName name="Parm_Plant_Design_03" localSheetId="1">#REF!</definedName>
    <definedName name="Parm_Plant_Design_03" localSheetId="0">#REF!</definedName>
    <definedName name="Parm_Plant_Design_03" localSheetId="4">#REF!</definedName>
    <definedName name="Parm_Plant_Design_03" localSheetId="3">#REF!</definedName>
    <definedName name="Parm_Plant_Design_03" localSheetId="5">#REF!</definedName>
    <definedName name="Parm_Plant_Design_03">#REF!</definedName>
    <definedName name="Parm_Plant_Design_04" localSheetId="2">#REF!</definedName>
    <definedName name="Parm_Plant_Design_04" localSheetId="1">#REF!</definedName>
    <definedName name="Parm_Plant_Design_04" localSheetId="0">#REF!</definedName>
    <definedName name="Parm_Plant_Design_04" localSheetId="4">#REF!</definedName>
    <definedName name="Parm_Plant_Design_04" localSheetId="3">#REF!</definedName>
    <definedName name="Parm_Plant_Design_04" localSheetId="5">#REF!</definedName>
    <definedName name="Parm_Plant_Design_04">#REF!</definedName>
    <definedName name="Parm_Plant_Design_05" localSheetId="2">#REF!</definedName>
    <definedName name="Parm_Plant_Design_05" localSheetId="1">#REF!</definedName>
    <definedName name="Parm_Plant_Design_05" localSheetId="0">#REF!</definedName>
    <definedName name="Parm_Plant_Design_05" localSheetId="4">#REF!</definedName>
    <definedName name="Parm_Plant_Design_05" localSheetId="3">#REF!</definedName>
    <definedName name="Parm_Plant_Design_05" localSheetId="5">#REF!</definedName>
    <definedName name="Parm_Plant_Design_05">#REF!</definedName>
    <definedName name="Parm_Plant_Design_06" localSheetId="2">#REF!</definedName>
    <definedName name="Parm_Plant_Design_06" localSheetId="1">#REF!</definedName>
    <definedName name="Parm_Plant_Design_06" localSheetId="0">#REF!</definedName>
    <definedName name="Parm_Plant_Design_06" localSheetId="4">#REF!</definedName>
    <definedName name="Parm_Plant_Design_06" localSheetId="3">#REF!</definedName>
    <definedName name="Parm_Plant_Design_06" localSheetId="5">#REF!</definedName>
    <definedName name="Parm_Plant_Design_06">#REF!</definedName>
    <definedName name="Parm_Plant_Design_07" localSheetId="2">#REF!</definedName>
    <definedName name="Parm_Plant_Design_07" localSheetId="1">#REF!</definedName>
    <definedName name="Parm_Plant_Design_07" localSheetId="0">#REF!</definedName>
    <definedName name="Parm_Plant_Design_07" localSheetId="4">#REF!</definedName>
    <definedName name="Parm_Plant_Design_07" localSheetId="3">#REF!</definedName>
    <definedName name="Parm_Plant_Design_07" localSheetId="5">#REF!</definedName>
    <definedName name="Parm_Plant_Design_07">#REF!</definedName>
    <definedName name="Parm_Plant_Design_08" localSheetId="2">#REF!</definedName>
    <definedName name="Parm_Plant_Design_08" localSheetId="1">#REF!</definedName>
    <definedName name="Parm_Plant_Design_08" localSheetId="0">#REF!</definedName>
    <definedName name="Parm_Plant_Design_08" localSheetId="4">#REF!</definedName>
    <definedName name="Parm_Plant_Design_08" localSheetId="3">#REF!</definedName>
    <definedName name="Parm_Plant_Design_08" localSheetId="5">#REF!</definedName>
    <definedName name="Parm_Plant_Design_08">#REF!</definedName>
    <definedName name="Parm_Plant_Design_09" localSheetId="2">#REF!</definedName>
    <definedName name="Parm_Plant_Design_09" localSheetId="1">#REF!</definedName>
    <definedName name="Parm_Plant_Design_09" localSheetId="0">#REF!</definedName>
    <definedName name="Parm_Plant_Design_09" localSheetId="4">#REF!</definedName>
    <definedName name="Parm_Plant_Design_09" localSheetId="3">#REF!</definedName>
    <definedName name="Parm_Plant_Design_09" localSheetId="5">#REF!</definedName>
    <definedName name="Parm_Plant_Design_09">#REF!</definedName>
    <definedName name="Parm_Plant_Design_10" localSheetId="2">#REF!</definedName>
    <definedName name="Parm_Plant_Design_10" localSheetId="1">#REF!</definedName>
    <definedName name="Parm_Plant_Design_10" localSheetId="0">#REF!</definedName>
    <definedName name="Parm_Plant_Design_10" localSheetId="4">#REF!</definedName>
    <definedName name="Parm_Plant_Design_10" localSheetId="3">#REF!</definedName>
    <definedName name="Parm_Plant_Design_10" localSheetId="5">#REF!</definedName>
    <definedName name="Parm_Plant_Design_10">#REF!</definedName>
    <definedName name="Parm_Plant_Design_11" localSheetId="2">#REF!</definedName>
    <definedName name="Parm_Plant_Design_11" localSheetId="1">#REF!</definedName>
    <definedName name="Parm_Plant_Design_11" localSheetId="0">#REF!</definedName>
    <definedName name="Parm_Plant_Design_11" localSheetId="4">#REF!</definedName>
    <definedName name="Parm_Plant_Design_11" localSheetId="3">#REF!</definedName>
    <definedName name="Parm_Plant_Design_11" localSheetId="5">#REF!</definedName>
    <definedName name="Parm_Plant_Design_11">#REF!</definedName>
    <definedName name="Parm_Plant_Design_12" localSheetId="2">#REF!</definedName>
    <definedName name="Parm_Plant_Design_12" localSheetId="1">#REF!</definedName>
    <definedName name="Parm_Plant_Design_12" localSheetId="0">#REF!</definedName>
    <definedName name="Parm_Plant_Design_12" localSheetId="4">#REF!</definedName>
    <definedName name="Parm_Plant_Design_12" localSheetId="3">#REF!</definedName>
    <definedName name="Parm_Plant_Design_12" localSheetId="5">#REF!</definedName>
    <definedName name="Parm_Plant_Design_12">#REF!</definedName>
    <definedName name="Parm_Plant_Design_13" localSheetId="2">#REF!</definedName>
    <definedName name="Parm_Plant_Design_13" localSheetId="1">#REF!</definedName>
    <definedName name="Parm_Plant_Design_13" localSheetId="0">#REF!</definedName>
    <definedName name="Parm_Plant_Design_13" localSheetId="4">#REF!</definedName>
    <definedName name="Parm_Plant_Design_13" localSheetId="3">#REF!</definedName>
    <definedName name="Parm_Plant_Design_13" localSheetId="5">#REF!</definedName>
    <definedName name="Parm_Plant_Design_13">#REF!</definedName>
    <definedName name="Parm_Plant_Design_14" localSheetId="2">#REF!</definedName>
    <definedName name="Parm_Plant_Design_14" localSheetId="1">#REF!</definedName>
    <definedName name="Parm_Plant_Design_14" localSheetId="0">#REF!</definedName>
    <definedName name="Parm_Plant_Design_14" localSheetId="4">#REF!</definedName>
    <definedName name="Parm_Plant_Design_14" localSheetId="3">#REF!</definedName>
    <definedName name="Parm_Plant_Design_14" localSheetId="5">#REF!</definedName>
    <definedName name="Parm_Plant_Design_14">#REF!</definedName>
    <definedName name="Parm_Plant_Design_15" localSheetId="2">#REF!</definedName>
    <definedName name="Parm_Plant_Design_15" localSheetId="1">#REF!</definedName>
    <definedName name="Parm_Plant_Design_15" localSheetId="0">#REF!</definedName>
    <definedName name="Parm_Plant_Design_15" localSheetId="4">#REF!</definedName>
    <definedName name="Parm_Plant_Design_15" localSheetId="3">#REF!</definedName>
    <definedName name="Parm_Plant_Design_15" localSheetId="5">#REF!</definedName>
    <definedName name="Parm_Plant_Design_15">#REF!</definedName>
    <definedName name="Parm_Plant_Design_16" localSheetId="2">#REF!</definedName>
    <definedName name="Parm_Plant_Design_16" localSheetId="1">#REF!</definedName>
    <definedName name="Parm_Plant_Design_16" localSheetId="0">#REF!</definedName>
    <definedName name="Parm_Plant_Design_16" localSheetId="4">#REF!</definedName>
    <definedName name="Parm_Plant_Design_16" localSheetId="3">#REF!</definedName>
    <definedName name="Parm_Plant_Design_16" localSheetId="5">#REF!</definedName>
    <definedName name="Parm_Plant_Design_16">#REF!</definedName>
    <definedName name="Parm_Plant_Design_17" localSheetId="2">#REF!</definedName>
    <definedName name="Parm_Plant_Design_17" localSheetId="1">#REF!</definedName>
    <definedName name="Parm_Plant_Design_17" localSheetId="0">#REF!</definedName>
    <definedName name="Parm_Plant_Design_17" localSheetId="4">#REF!</definedName>
    <definedName name="Parm_Plant_Design_17" localSheetId="3">#REF!</definedName>
    <definedName name="Parm_Plant_Design_17" localSheetId="5">#REF!</definedName>
    <definedName name="Parm_Plant_Design_17">#REF!</definedName>
    <definedName name="Parm_Plant_Design_18" localSheetId="2">#REF!</definedName>
    <definedName name="Parm_Plant_Design_18" localSheetId="1">#REF!</definedName>
    <definedName name="Parm_Plant_Design_18" localSheetId="0">#REF!</definedName>
    <definedName name="Parm_Plant_Design_18" localSheetId="4">#REF!</definedName>
    <definedName name="Parm_Plant_Design_18" localSheetId="3">#REF!</definedName>
    <definedName name="Parm_Plant_Design_18" localSheetId="5">#REF!</definedName>
    <definedName name="Parm_Plant_Design_18">#REF!</definedName>
    <definedName name="Parm_Plant_Design_19" localSheetId="2">#REF!</definedName>
    <definedName name="Parm_Plant_Design_19" localSheetId="1">#REF!</definedName>
    <definedName name="Parm_Plant_Design_19" localSheetId="0">#REF!</definedName>
    <definedName name="Parm_Plant_Design_19" localSheetId="4">#REF!</definedName>
    <definedName name="Parm_Plant_Design_19" localSheetId="3">#REF!</definedName>
    <definedName name="Parm_Plant_Design_19" localSheetId="5">#REF!</definedName>
    <definedName name="Parm_Plant_Design_19">#REF!</definedName>
    <definedName name="Parm_Plant_Design_20" localSheetId="2">#REF!</definedName>
    <definedName name="Parm_Plant_Design_20" localSheetId="1">#REF!</definedName>
    <definedName name="Parm_Plant_Design_20" localSheetId="0">#REF!</definedName>
    <definedName name="Parm_Plant_Design_20" localSheetId="4">#REF!</definedName>
    <definedName name="Parm_Plant_Design_20" localSheetId="3">#REF!</definedName>
    <definedName name="Parm_Plant_Design_20" localSheetId="5">#REF!</definedName>
    <definedName name="Parm_Plant_Design_20">#REF!</definedName>
    <definedName name="Parm_Plant_Design_21" localSheetId="2">#REF!</definedName>
    <definedName name="Parm_Plant_Design_21" localSheetId="1">#REF!</definedName>
    <definedName name="Parm_Plant_Design_21" localSheetId="0">#REF!</definedName>
    <definedName name="Parm_Plant_Design_21" localSheetId="4">#REF!</definedName>
    <definedName name="Parm_Plant_Design_21" localSheetId="3">#REF!</definedName>
    <definedName name="Parm_Plant_Design_21" localSheetId="5">#REF!</definedName>
    <definedName name="Parm_Plant_Design_21">#REF!</definedName>
    <definedName name="Parm_Plant_Design_22" localSheetId="2">#REF!</definedName>
    <definedName name="Parm_Plant_Design_22" localSheetId="1">#REF!</definedName>
    <definedName name="Parm_Plant_Design_22" localSheetId="0">#REF!</definedName>
    <definedName name="Parm_Plant_Design_22" localSheetId="4">#REF!</definedName>
    <definedName name="Parm_Plant_Design_22" localSheetId="3">#REF!</definedName>
    <definedName name="Parm_Plant_Design_22" localSheetId="5">#REF!</definedName>
    <definedName name="Parm_Plant_Design_22">#REF!</definedName>
    <definedName name="Parm_Plant_Design_23" localSheetId="2">#REF!</definedName>
    <definedName name="Parm_Plant_Design_23" localSheetId="1">#REF!</definedName>
    <definedName name="Parm_Plant_Design_23" localSheetId="0">#REF!</definedName>
    <definedName name="Parm_Plant_Design_23" localSheetId="4">#REF!</definedName>
    <definedName name="Parm_Plant_Design_23" localSheetId="3">#REF!</definedName>
    <definedName name="Parm_Plant_Design_23" localSheetId="5">#REF!</definedName>
    <definedName name="Parm_Plant_Design_23">#REF!</definedName>
    <definedName name="Parm_Plant_Design_24" localSheetId="2">#REF!</definedName>
    <definedName name="Parm_Plant_Design_24" localSheetId="1">#REF!</definedName>
    <definedName name="Parm_Plant_Design_24" localSheetId="0">#REF!</definedName>
    <definedName name="Parm_Plant_Design_24" localSheetId="4">#REF!</definedName>
    <definedName name="Parm_Plant_Design_24" localSheetId="3">#REF!</definedName>
    <definedName name="Parm_Plant_Design_24" localSheetId="5">#REF!</definedName>
    <definedName name="Parm_Plant_Design_24">#REF!</definedName>
    <definedName name="Parm_Plant_Design_25" localSheetId="2">#REF!</definedName>
    <definedName name="Parm_Plant_Design_25" localSheetId="1">#REF!</definedName>
    <definedName name="Parm_Plant_Design_25" localSheetId="0">#REF!</definedName>
    <definedName name="Parm_Plant_Design_25" localSheetId="4">#REF!</definedName>
    <definedName name="Parm_Plant_Design_25" localSheetId="3">#REF!</definedName>
    <definedName name="Parm_Plant_Design_25" localSheetId="5">#REF!</definedName>
    <definedName name="Parm_Plant_Design_25">#REF!</definedName>
    <definedName name="Parm_Plant_Design_26" localSheetId="2">#REF!</definedName>
    <definedName name="Parm_Plant_Design_26" localSheetId="1">#REF!</definedName>
    <definedName name="Parm_Plant_Design_26" localSheetId="0">#REF!</definedName>
    <definedName name="Parm_Plant_Design_26" localSheetId="4">#REF!</definedName>
    <definedName name="Parm_Plant_Design_26" localSheetId="3">#REF!</definedName>
    <definedName name="Parm_Plant_Design_26" localSheetId="5">#REF!</definedName>
    <definedName name="Parm_Plant_Design_26">#REF!</definedName>
    <definedName name="Parm_Plant_Design_27" localSheetId="2">#REF!</definedName>
    <definedName name="Parm_Plant_Design_27" localSheetId="1">#REF!</definedName>
    <definedName name="Parm_Plant_Design_27" localSheetId="0">#REF!</definedName>
    <definedName name="Parm_Plant_Design_27" localSheetId="4">#REF!</definedName>
    <definedName name="Parm_Plant_Design_27" localSheetId="3">#REF!</definedName>
    <definedName name="Parm_Plant_Design_27" localSheetId="5">#REF!</definedName>
    <definedName name="Parm_Plant_Design_27">#REF!</definedName>
    <definedName name="Parm_Plant_Design_28" localSheetId="2">#REF!</definedName>
    <definedName name="Parm_Plant_Design_28" localSheetId="1">#REF!</definedName>
    <definedName name="Parm_Plant_Design_28" localSheetId="0">#REF!</definedName>
    <definedName name="Parm_Plant_Design_28" localSheetId="4">#REF!</definedName>
    <definedName name="Parm_Plant_Design_28" localSheetId="3">#REF!</definedName>
    <definedName name="Parm_Plant_Design_28" localSheetId="5">#REF!</definedName>
    <definedName name="Parm_Plant_Design_28">#REF!</definedName>
    <definedName name="Parm_Plant_Design_29" localSheetId="2">#REF!</definedName>
    <definedName name="Parm_Plant_Design_29" localSheetId="1">#REF!</definedName>
    <definedName name="Parm_Plant_Design_29" localSheetId="0">#REF!</definedName>
    <definedName name="Parm_Plant_Design_29" localSheetId="4">#REF!</definedName>
    <definedName name="Parm_Plant_Design_29" localSheetId="3">#REF!</definedName>
    <definedName name="Parm_Plant_Design_29" localSheetId="5">#REF!</definedName>
    <definedName name="Parm_Plant_Design_29">#REF!</definedName>
    <definedName name="part_no" localSheetId="2">#REF!</definedName>
    <definedName name="part_no" localSheetId="1">#REF!</definedName>
    <definedName name="part_no" localSheetId="0">#REF!</definedName>
    <definedName name="part_no" localSheetId="4">#REF!</definedName>
    <definedName name="part_no" localSheetId="3">#REF!</definedName>
    <definedName name="part_no" localSheetId="5">#REF!</definedName>
    <definedName name="part_no">#REF!</definedName>
    <definedName name="part10" localSheetId="4">#REF!</definedName>
    <definedName name="part10" localSheetId="3">#REF!</definedName>
    <definedName name="part10" localSheetId="5">#REF!</definedName>
    <definedName name="part10">#REF!</definedName>
    <definedName name="PART2" localSheetId="4">#REF!</definedName>
    <definedName name="PART2" localSheetId="3">#REF!</definedName>
    <definedName name="PART2" localSheetId="5">#REF!</definedName>
    <definedName name="PART2">#REF!</definedName>
    <definedName name="PART3" localSheetId="2">#REF!</definedName>
    <definedName name="PART3" localSheetId="1">#REF!</definedName>
    <definedName name="PART3" localSheetId="0">#REF!</definedName>
    <definedName name="PART3" localSheetId="4">#REF!</definedName>
    <definedName name="PART3" localSheetId="3">#REF!</definedName>
    <definedName name="PART3" localSheetId="5">#REF!</definedName>
    <definedName name="PART3">#REF!</definedName>
    <definedName name="PART4" localSheetId="4">#REF!</definedName>
    <definedName name="PART4" localSheetId="3">#REF!</definedName>
    <definedName name="PART4" localSheetId="5">#REF!</definedName>
    <definedName name="PART4">#REF!</definedName>
    <definedName name="part7" localSheetId="4">#REF!</definedName>
    <definedName name="part7" localSheetId="3">#REF!</definedName>
    <definedName name="part7" localSheetId="5">#REF!</definedName>
    <definedName name="part7">#REF!</definedName>
    <definedName name="part8" localSheetId="4">#REF!</definedName>
    <definedName name="part8" localSheetId="3">#REF!</definedName>
    <definedName name="part8" localSheetId="5">#REF!</definedName>
    <definedName name="part8">#REF!</definedName>
    <definedName name="part9" localSheetId="4">#REF!</definedName>
    <definedName name="part9" localSheetId="3">#REF!</definedName>
    <definedName name="part9" localSheetId="5">#REF!</definedName>
    <definedName name="part9">#REF!</definedName>
    <definedName name="Pavings" localSheetId="4">#REF!</definedName>
    <definedName name="Pavings" localSheetId="3">#REF!</definedName>
    <definedName name="Pavings" localSheetId="5">#REF!</definedName>
    <definedName name="Pavings">#REF!</definedName>
    <definedName name="PAY" localSheetId="2">#REF!</definedName>
    <definedName name="PAY" localSheetId="1">#REF!</definedName>
    <definedName name="PAY" localSheetId="0">#REF!</definedName>
    <definedName name="PAY" localSheetId="4">#REF!</definedName>
    <definedName name="PAY" localSheetId="3">#REF!</definedName>
    <definedName name="PAY" localSheetId="5">#REF!</definedName>
    <definedName name="PAY">#REF!</definedName>
    <definedName name="Pay_Date" localSheetId="2">#REF!</definedName>
    <definedName name="Pay_Date" localSheetId="1">#REF!</definedName>
    <definedName name="Pay_Date" localSheetId="0">#REF!</definedName>
    <definedName name="Pay_Date" localSheetId="4">#REF!</definedName>
    <definedName name="Pay_Date" localSheetId="3">#REF!</definedName>
    <definedName name="Pay_Date" localSheetId="5">#REF!</definedName>
    <definedName name="Pay_Date">#REF!</definedName>
    <definedName name="Pay_Num" localSheetId="2">#REF!</definedName>
    <definedName name="Pay_Num" localSheetId="1">#REF!</definedName>
    <definedName name="Pay_Num" localSheetId="0">#REF!</definedName>
    <definedName name="Pay_Num" localSheetId="4">#REF!</definedName>
    <definedName name="Pay_Num" localSheetId="3">#REF!</definedName>
    <definedName name="Pay_Num" localSheetId="5">#REF!</definedName>
    <definedName name="Pay_Num">#REF!</definedName>
    <definedName name="PAYCRIT" localSheetId="2">#REF!</definedName>
    <definedName name="PAYCRIT" localSheetId="1">#REF!</definedName>
    <definedName name="PAYCRIT" localSheetId="0">#REF!</definedName>
    <definedName name="PAYCRIT" localSheetId="4">#REF!</definedName>
    <definedName name="PAYCRIT" localSheetId="3">#REF!</definedName>
    <definedName name="PAYCRIT" localSheetId="5">#REF!</definedName>
    <definedName name="PAYCRIT">#REF!</definedName>
    <definedName name="PAYITEM" localSheetId="2">#REF!</definedName>
    <definedName name="PAYITEM" localSheetId="1">#REF!</definedName>
    <definedName name="PAYITEM" localSheetId="0">#REF!</definedName>
    <definedName name="PAYITEM" localSheetId="4">#REF!</definedName>
    <definedName name="PAYITEM" localSheetId="3">#REF!</definedName>
    <definedName name="PAYITEM" localSheetId="5">#REF!</definedName>
    <definedName name="PAYITEM">#REF!</definedName>
    <definedName name="Payment_Date" localSheetId="2">DATE(YEAR('A10 Design + Subs fee'!Loan_Start),MONTH('A10 Design + Subs fee'!Loan_Start)+Payment_Number,DAY('A10 Design + Subs fee'!Loan_Start))</definedName>
    <definedName name="Payment_Date" localSheetId="1">DATE(YEAR('A9 Design + Subs fee '!Loan_Start),MONTH('A9 Design + Subs fee '!Loan_Start)+Payment_Number,DAY('A9 Design + Subs fee '!Loan_Start))</definedName>
    <definedName name="Payment_Date" localSheetId="0">DATE(YEAR('FEE RECON RAIHAN'!Loan_Start),MONTH('FEE RECON RAIHAN'!Loan_Start)+Payment_Number,DAY('FEE RECON RAIHAN'!Loan_Start))</definedName>
    <definedName name="Payment_Date" localSheetId="4">DATE(YEAR('Mastersheet-Projects'!Loan_Start),MONTH('Mastersheet-Projects'!Loan_Start)+Payment_Number,DAY('Mastersheet-Projects'!Loan_Start))</definedName>
    <definedName name="Payment_Date" localSheetId="3">DATE(YEAR('Mastersheet-Resources'!Loan_Start),MONTH('Mastersheet-Resources'!Loan_Start)+Payment_Number,DAY('Mastersheet-Resources'!Loan_Start))</definedName>
    <definedName name="Payment_Date" localSheetId="5">DATE(YEAR('Tender List'!Loan_Start),MONTH('Tender List'!Loan_Start)+Payment_Number,DAY('Tender List'!Loan_Start))</definedName>
    <definedName name="Payment_Date">DATE(YEAR(Loan_Start),MONTH(Loan_Start)+Payment_Number,DAY(Loan_Start))</definedName>
    <definedName name="PAYMENT_SCHEDUL" localSheetId="4">#REF!</definedName>
    <definedName name="PAYMENT_SCHEDUL" localSheetId="3">#REF!</definedName>
    <definedName name="PAYMENT_SCHEDUL" localSheetId="5">#REF!</definedName>
    <definedName name="PAYMENT_SCHEDUL">#REF!</definedName>
    <definedName name="PaymentType" localSheetId="4">#REF!</definedName>
    <definedName name="PaymentType" localSheetId="3">#REF!</definedName>
    <definedName name="PaymentType" localSheetId="5">#REF!</definedName>
    <definedName name="PaymentType">#REF!</definedName>
    <definedName name="PAYROLL" localSheetId="2">#REF!</definedName>
    <definedName name="PAYROLL" localSheetId="1">#REF!</definedName>
    <definedName name="PAYROLL" localSheetId="0">#REF!</definedName>
    <definedName name="PAYROLL" localSheetId="4">#REF!</definedName>
    <definedName name="PAYROLL" localSheetId="3">#REF!</definedName>
    <definedName name="PAYROLL" localSheetId="5">#REF!</definedName>
    <definedName name="PAYROLL">#REF!</definedName>
    <definedName name="PBFee">0.3</definedName>
    <definedName name="PBLabor" localSheetId="2">#REF!</definedName>
    <definedName name="PBLabor" localSheetId="1">#REF!</definedName>
    <definedName name="PBLabor" localSheetId="0">#REF!</definedName>
    <definedName name="PBLabor" localSheetId="4">#REF!</definedName>
    <definedName name="PBLabor" localSheetId="3">#REF!</definedName>
    <definedName name="PBLabor" localSheetId="5">#REF!</definedName>
    <definedName name="PBLabor">#REF!</definedName>
    <definedName name="PBNames" localSheetId="2">#REF!</definedName>
    <definedName name="PBNames" localSheetId="1">#REF!</definedName>
    <definedName name="PBNames" localSheetId="0">#REF!</definedName>
    <definedName name="PBNames" localSheetId="4">#REF!</definedName>
    <definedName name="PBNames" localSheetId="3">#REF!</definedName>
    <definedName name="PBNames" localSheetId="5">#REF!</definedName>
    <definedName name="PBNames">#REF!</definedName>
    <definedName name="PBOH">1.583</definedName>
    <definedName name="pbs" localSheetId="4">#REF!</definedName>
    <definedName name="pbs" localSheetId="3">#REF!</definedName>
    <definedName name="pbs" localSheetId="5">#REF!</definedName>
    <definedName name="pbs">#REF!</definedName>
    <definedName name="pc" localSheetId="2">#REF!</definedName>
    <definedName name="pc" localSheetId="1">#REF!</definedName>
    <definedName name="pc" localSheetId="0">#REF!</definedName>
    <definedName name="pc" localSheetId="4">#REF!</definedName>
    <definedName name="pc" localSheetId="3">#REF!</definedName>
    <definedName name="pc" localSheetId="5">#REF!</definedName>
    <definedName name="pc">#REF!</definedName>
    <definedName name="PC_Hrs1" localSheetId="2">#REF!</definedName>
    <definedName name="PC_Hrs1" localSheetId="1">#REF!</definedName>
    <definedName name="PC_Hrs1" localSheetId="0">#REF!</definedName>
    <definedName name="PC_Hrs1" localSheetId="4">#REF!</definedName>
    <definedName name="PC_Hrs1" localSheetId="3">#REF!</definedName>
    <definedName name="PC_Hrs1" localSheetId="5">#REF!</definedName>
    <definedName name="PC_Hrs1">#REF!</definedName>
    <definedName name="PC_HRS2" localSheetId="2">#REF!</definedName>
    <definedName name="PC_HRS2" localSheetId="1">#REF!</definedName>
    <definedName name="PC_HRS2" localSheetId="0">#REF!</definedName>
    <definedName name="PC_HRS2" localSheetId="4">#REF!</definedName>
    <definedName name="PC_HRS2" localSheetId="3">#REF!</definedName>
    <definedName name="PC_HRS2" localSheetId="5">#REF!</definedName>
    <definedName name="PC_HRS2">#REF!</definedName>
    <definedName name="pcs" localSheetId="4">#REF!</definedName>
    <definedName name="pcs" localSheetId="3">#REF!</definedName>
    <definedName name="pcs" localSheetId="5">#REF!</definedName>
    <definedName name="pcs">#REF!</definedName>
    <definedName name="PER" localSheetId="2">#REF!</definedName>
    <definedName name="PER" localSheetId="1">#REF!</definedName>
    <definedName name="PER" localSheetId="0">#REF!</definedName>
    <definedName name="PER" localSheetId="4">#REF!</definedName>
    <definedName name="PER" localSheetId="3">#REF!</definedName>
    <definedName name="PER" localSheetId="5">#REF!</definedName>
    <definedName name="PER">#REF!</definedName>
    <definedName name="PERFORMANCE" localSheetId="2">#REF!</definedName>
    <definedName name="PERFORMANCE" localSheetId="1">#REF!</definedName>
    <definedName name="PERFORMANCE" localSheetId="0">#REF!</definedName>
    <definedName name="PERFORMANCE" localSheetId="4">#REF!</definedName>
    <definedName name="PERFORMANCE" localSheetId="3">#REF!</definedName>
    <definedName name="PERFORMANCE" localSheetId="5">#REF!</definedName>
    <definedName name="PERFORMANCE">#REF!</definedName>
    <definedName name="PERFORMANCEB" localSheetId="2">#REF!</definedName>
    <definedName name="PERFORMANCEB" localSheetId="1">#REF!</definedName>
    <definedName name="PERFORMANCEB" localSheetId="0">#REF!</definedName>
    <definedName name="PERFORMANCEB" localSheetId="4">#REF!</definedName>
    <definedName name="PERFORMANCEB" localSheetId="3">#REF!</definedName>
    <definedName name="PERFORMANCEB" localSheetId="5">#REF!</definedName>
    <definedName name="PERFORMANCEB">#REF!</definedName>
    <definedName name="PERGOLAS" localSheetId="2">#REF!</definedName>
    <definedName name="PERGOLAS" localSheetId="1">#REF!</definedName>
    <definedName name="PERGOLAS" localSheetId="0">#REF!</definedName>
    <definedName name="PERGOLAS" localSheetId="4">#REF!</definedName>
    <definedName name="PERGOLAS" localSheetId="3">#REF!</definedName>
    <definedName name="PERGOLAS" localSheetId="5">#REF!</definedName>
    <definedName name="PERGOLAS">#REF!</definedName>
    <definedName name="Period" localSheetId="2">#REF!</definedName>
    <definedName name="Period" localSheetId="1">#REF!</definedName>
    <definedName name="Period" localSheetId="0">#REF!</definedName>
    <definedName name="Period" localSheetId="4">#REF!</definedName>
    <definedName name="Period" localSheetId="3">#REF!</definedName>
    <definedName name="Period" localSheetId="5">#REF!</definedName>
    <definedName name="Period">#REF!</definedName>
    <definedName name="periodstogo" localSheetId="4">#REF!</definedName>
    <definedName name="periodstogo" localSheetId="3">#REF!</definedName>
    <definedName name="periodstogo" localSheetId="5">#REF!</definedName>
    <definedName name="periodstogo">#REF!</definedName>
    <definedName name="periodtogo" localSheetId="4">#REF!</definedName>
    <definedName name="periodtogo" localSheetId="3">#REF!</definedName>
    <definedName name="periodtogo" localSheetId="5">#REF!</definedName>
    <definedName name="periodtogo">#REF!</definedName>
    <definedName name="Pex_Piping" localSheetId="4">#REF!</definedName>
    <definedName name="Pex_Piping" localSheetId="3">#REF!</definedName>
    <definedName name="Pex_Piping" localSheetId="5">#REF!</definedName>
    <definedName name="Pex_Piping">#REF!</definedName>
    <definedName name="PFSR" localSheetId="2">#REF!</definedName>
    <definedName name="PFSR" localSheetId="1">#REF!</definedName>
    <definedName name="PFSR" localSheetId="0">#REF!</definedName>
    <definedName name="PFSR" localSheetId="4">#REF!</definedName>
    <definedName name="PFSR" localSheetId="3">#REF!</definedName>
    <definedName name="PFSR" localSheetId="5">#REF!</definedName>
    <definedName name="PFSR">#REF!</definedName>
    <definedName name="pg" localSheetId="2">#REF!</definedName>
    <definedName name="pg" localSheetId="1">#REF!</definedName>
    <definedName name="pg" localSheetId="0">#REF!</definedName>
    <definedName name="pg" localSheetId="4">#REF!</definedName>
    <definedName name="pg" localSheetId="3">#REF!</definedName>
    <definedName name="pg" localSheetId="5">#REF!</definedName>
    <definedName name="pg">#REF!</definedName>
    <definedName name="Phase" localSheetId="4">#REF!</definedName>
    <definedName name="Phase" localSheetId="3">#REF!</definedName>
    <definedName name="Phase" localSheetId="5">#REF!</definedName>
    <definedName name="Phase">#REF!</definedName>
    <definedName name="Phaserange" localSheetId="4">OFFSET(#REF!,0,0,COUNTA(#REF!),1)</definedName>
    <definedName name="Phaserange" localSheetId="3">OFFSET(#REF!,0,0,COUNTA(#REF!),1)</definedName>
    <definedName name="Phaserange" localSheetId="5">OFFSET(#REF!,0,0,COUNTA(#REF!),1)</definedName>
    <definedName name="Phaserange">OFFSET(#REF!,0,0,COUNTA(#REF!),1)</definedName>
    <definedName name="Phone" localSheetId="2">#REF!</definedName>
    <definedName name="Phone" localSheetId="1">#REF!</definedName>
    <definedName name="Phone" localSheetId="0">#REF!</definedName>
    <definedName name="Phone" localSheetId="4">#REF!</definedName>
    <definedName name="Phone" localSheetId="3">#REF!</definedName>
    <definedName name="Phone" localSheetId="5">#REF!</definedName>
    <definedName name="Phone">#REF!</definedName>
    <definedName name="Phone_01" localSheetId="2">#REF!</definedName>
    <definedName name="Phone_01" localSheetId="1">#REF!</definedName>
    <definedName name="Phone_01" localSheetId="0">#REF!</definedName>
    <definedName name="Phone_01" localSheetId="4">#REF!</definedName>
    <definedName name="Phone_01" localSheetId="3">#REF!</definedName>
    <definedName name="Phone_01" localSheetId="5">#REF!</definedName>
    <definedName name="Phone_01">#REF!</definedName>
    <definedName name="Phone_02" localSheetId="2">#REF!</definedName>
    <definedName name="Phone_02" localSheetId="1">#REF!</definedName>
    <definedName name="Phone_02" localSheetId="0">#REF!</definedName>
    <definedName name="Phone_02" localSheetId="4">#REF!</definedName>
    <definedName name="Phone_02" localSheetId="3">#REF!</definedName>
    <definedName name="Phone_02" localSheetId="5">#REF!</definedName>
    <definedName name="Phone_02">#REF!</definedName>
    <definedName name="Phone_03" localSheetId="2">#REF!</definedName>
    <definedName name="Phone_03" localSheetId="1">#REF!</definedName>
    <definedName name="Phone_03" localSheetId="0">#REF!</definedName>
    <definedName name="Phone_03" localSheetId="4">#REF!</definedName>
    <definedName name="Phone_03" localSheetId="3">#REF!</definedName>
    <definedName name="Phone_03" localSheetId="5">#REF!</definedName>
    <definedName name="Phone_03">#REF!</definedName>
    <definedName name="pi" localSheetId="2">#REF!</definedName>
    <definedName name="pi" localSheetId="1">#REF!</definedName>
    <definedName name="pi" localSheetId="0">#REF!</definedName>
    <definedName name="pi" localSheetId="4">#REF!</definedName>
    <definedName name="pi" localSheetId="3">#REF!</definedName>
    <definedName name="pi" localSheetId="5">#REF!</definedName>
    <definedName name="pi">#REF!</definedName>
    <definedName name="pik" localSheetId="2">#REF!</definedName>
    <definedName name="pik" localSheetId="1">#REF!</definedName>
    <definedName name="pik" localSheetId="0">#REF!</definedName>
    <definedName name="pik" localSheetId="4">#REF!</definedName>
    <definedName name="pik" localSheetId="3">#REF!</definedName>
    <definedName name="pik" localSheetId="5">#REF!</definedName>
    <definedName name="pik">#REF!</definedName>
    <definedName name="PIPE" localSheetId="2">#REF!</definedName>
    <definedName name="PIPE" localSheetId="1">#REF!</definedName>
    <definedName name="PIPE" localSheetId="0">#REF!</definedName>
    <definedName name="PIPE" localSheetId="4">#REF!</definedName>
    <definedName name="PIPE" localSheetId="3">#REF!</definedName>
    <definedName name="PIPE" localSheetId="5">#REF!</definedName>
    <definedName name="PIPE">#REF!</definedName>
    <definedName name="PIPE_CLASS" localSheetId="2">#REF!</definedName>
    <definedName name="PIPE_CLASS" localSheetId="1">#REF!</definedName>
    <definedName name="PIPE_CLASS" localSheetId="0">#REF!</definedName>
    <definedName name="PIPE_CLASS" localSheetId="4">#REF!</definedName>
    <definedName name="PIPE_CLASS" localSheetId="3">#REF!</definedName>
    <definedName name="PIPE_CLASS" localSheetId="5">#REF!</definedName>
    <definedName name="PIPE_CLASS">#REF!</definedName>
    <definedName name="PIPE_RACK_TRAY" localSheetId="2">#REF!</definedName>
    <definedName name="PIPE_RACK_TRAY" localSheetId="1">#REF!</definedName>
    <definedName name="PIPE_RACK_TRAY" localSheetId="0">#REF!</definedName>
    <definedName name="PIPE_RACK_TRAY" localSheetId="4">#REF!</definedName>
    <definedName name="PIPE_RACK_TRAY" localSheetId="3">#REF!</definedName>
    <definedName name="PIPE_RACK_TRAY" localSheetId="5">#REF!</definedName>
    <definedName name="PIPE_RACK_TRAY">#REF!</definedName>
    <definedName name="PIPE50_CITY" localSheetId="2">#REF!</definedName>
    <definedName name="PIPE50_CITY" localSheetId="1">#REF!</definedName>
    <definedName name="PIPE50_CITY" localSheetId="0">#REF!</definedName>
    <definedName name="PIPE50_CITY" localSheetId="4">#REF!</definedName>
    <definedName name="PIPE50_CITY" localSheetId="3">#REF!</definedName>
    <definedName name="PIPE50_CITY" localSheetId="5">#REF!</definedName>
    <definedName name="PIPE50_CITY">#REF!</definedName>
    <definedName name="PIPE50_ESC" localSheetId="2">#REF!</definedName>
    <definedName name="PIPE50_ESC" localSheetId="1">#REF!</definedName>
    <definedName name="PIPE50_ESC" localSheetId="0">#REF!</definedName>
    <definedName name="PIPE50_ESC" localSheetId="4">#REF!</definedName>
    <definedName name="PIPE50_ESC" localSheetId="3">#REF!</definedName>
    <definedName name="PIPE50_ESC" localSheetId="5">#REF!</definedName>
    <definedName name="PIPE50_ESC">#REF!</definedName>
    <definedName name="PIPE50_OLD_CITY" localSheetId="2">#REF!</definedName>
    <definedName name="PIPE50_OLD_CITY" localSheetId="1">#REF!</definedName>
    <definedName name="PIPE50_OLD_CITY" localSheetId="0">#REF!</definedName>
    <definedName name="PIPE50_OLD_CITY" localSheetId="4">#REF!</definedName>
    <definedName name="PIPE50_OLD_CITY" localSheetId="3">#REF!</definedName>
    <definedName name="PIPE50_OLD_CITY" localSheetId="5">#REF!</definedName>
    <definedName name="PIPE50_OLD_CITY">#REF!</definedName>
    <definedName name="PIPE50_OLD_ESC" localSheetId="2">#REF!</definedName>
    <definedName name="PIPE50_OLD_ESC" localSheetId="1">#REF!</definedName>
    <definedName name="PIPE50_OLD_ESC" localSheetId="0">#REF!</definedName>
    <definedName name="PIPE50_OLD_ESC" localSheetId="4">#REF!</definedName>
    <definedName name="PIPE50_OLD_ESC" localSheetId="3">#REF!</definedName>
    <definedName name="PIPE50_OLD_ESC" localSheetId="5">#REF!</definedName>
    <definedName name="PIPE50_OLD_ESC">#REF!</definedName>
    <definedName name="PIPE50_OLD_PROD" localSheetId="2">#REF!</definedName>
    <definedName name="PIPE50_OLD_PROD" localSheetId="1">#REF!</definedName>
    <definedName name="PIPE50_OLD_PROD" localSheetId="0">#REF!</definedName>
    <definedName name="PIPE50_OLD_PROD" localSheetId="4">#REF!</definedName>
    <definedName name="PIPE50_OLD_PROD" localSheetId="3">#REF!</definedName>
    <definedName name="PIPE50_OLD_PROD" localSheetId="5">#REF!</definedName>
    <definedName name="PIPE50_OLD_PROD">#REF!</definedName>
    <definedName name="PIPE50_OLD_WAGE" localSheetId="2">#REF!</definedName>
    <definedName name="PIPE50_OLD_WAGE" localSheetId="1">#REF!</definedName>
    <definedName name="PIPE50_OLD_WAGE" localSheetId="0">#REF!</definedName>
    <definedName name="PIPE50_OLD_WAGE" localSheetId="4">#REF!</definedName>
    <definedName name="PIPE50_OLD_WAGE" localSheetId="3">#REF!</definedName>
    <definedName name="PIPE50_OLD_WAGE" localSheetId="5">#REF!</definedName>
    <definedName name="PIPE50_OLD_WAGE">#REF!</definedName>
    <definedName name="PIPE50_PROD" localSheetId="2">#REF!</definedName>
    <definedName name="PIPE50_PROD" localSheetId="1">#REF!</definedName>
    <definedName name="PIPE50_PROD" localSheetId="0">#REF!</definedName>
    <definedName name="PIPE50_PROD" localSheetId="4">#REF!</definedName>
    <definedName name="PIPE50_PROD" localSheetId="3">#REF!</definedName>
    <definedName name="PIPE50_PROD" localSheetId="5">#REF!</definedName>
    <definedName name="PIPE50_PROD">#REF!</definedName>
    <definedName name="PIPE50_WAGE" localSheetId="2">#REF!</definedName>
    <definedName name="PIPE50_WAGE" localSheetId="1">#REF!</definedName>
    <definedName name="PIPE50_WAGE" localSheetId="0">#REF!</definedName>
    <definedName name="PIPE50_WAGE" localSheetId="4">#REF!</definedName>
    <definedName name="PIPE50_WAGE" localSheetId="3">#REF!</definedName>
    <definedName name="PIPE50_WAGE" localSheetId="5">#REF!</definedName>
    <definedName name="PIPE50_WAGE">#REF!</definedName>
    <definedName name="pkml" localSheetId="2" hidden="1">{#N/A,#N/A,TRUE,"Cover";#N/A,#N/A,TRUE,"Conts";#N/A,#N/A,TRUE,"VOS";#N/A,#N/A,TRUE,"Warrington";#N/A,#N/A,TRUE,"Widnes"}</definedName>
    <definedName name="pkml" localSheetId="1" hidden="1">{#N/A,#N/A,TRUE,"Cover";#N/A,#N/A,TRUE,"Conts";#N/A,#N/A,TRUE,"VOS";#N/A,#N/A,TRUE,"Warrington";#N/A,#N/A,TRUE,"Widnes"}</definedName>
    <definedName name="pkml" localSheetId="0" hidden="1">{#N/A,#N/A,TRUE,"Cover";#N/A,#N/A,TRUE,"Conts";#N/A,#N/A,TRUE,"VOS";#N/A,#N/A,TRUE,"Warrington";#N/A,#N/A,TRUE,"Widnes"}</definedName>
    <definedName name="pkml" localSheetId="4" hidden="1">{#N/A,#N/A,TRUE,"Cover";#N/A,#N/A,TRUE,"Conts";#N/A,#N/A,TRUE,"VOS";#N/A,#N/A,TRUE,"Warrington";#N/A,#N/A,TRUE,"Widnes"}</definedName>
    <definedName name="pkml" localSheetId="3" hidden="1">{#N/A,#N/A,TRUE,"Cover";#N/A,#N/A,TRUE,"Conts";#N/A,#N/A,TRUE,"VOS";#N/A,#N/A,TRUE,"Warrington";#N/A,#N/A,TRUE,"Widnes"}</definedName>
    <definedName name="pkml" localSheetId="5" hidden="1">{#N/A,#N/A,TRUE,"Cover";#N/A,#N/A,TRUE,"Conts";#N/A,#N/A,TRUE,"VOS";#N/A,#N/A,TRUE,"Warrington";#N/A,#N/A,TRUE,"Widnes"}</definedName>
    <definedName name="pkml" hidden="1">{#N/A,#N/A,TRUE,"Cover";#N/A,#N/A,TRUE,"Conts";#N/A,#N/A,TRUE,"VOS";#N/A,#N/A,TRUE,"Warrington";#N/A,#N/A,TRUE,"Widnes"}</definedName>
    <definedName name="pl" localSheetId="2">#REF!</definedName>
    <definedName name="pl" localSheetId="1">#REF!</definedName>
    <definedName name="pl" localSheetId="0">#REF!</definedName>
    <definedName name="pl" localSheetId="4">#REF!</definedName>
    <definedName name="pl" localSheetId="3">#REF!</definedName>
    <definedName name="pl" localSheetId="5">#REF!</definedName>
    <definedName name="pl">#REF!</definedName>
    <definedName name="pl4a" localSheetId="2">#REF!</definedName>
    <definedName name="pl4a" localSheetId="1">#REF!</definedName>
    <definedName name="pl4a" localSheetId="0">#REF!</definedName>
    <definedName name="pl4a" localSheetId="4">#REF!</definedName>
    <definedName name="pl4a" localSheetId="3">#REF!</definedName>
    <definedName name="pl4a" localSheetId="5">#REF!</definedName>
    <definedName name="pl4a">#REF!</definedName>
    <definedName name="PlantName" localSheetId="2">#REF!</definedName>
    <definedName name="PlantName" localSheetId="1">#REF!</definedName>
    <definedName name="PlantName" localSheetId="0">#REF!</definedName>
    <definedName name="PlantName" localSheetId="4">#REF!</definedName>
    <definedName name="PlantName" localSheetId="3">#REF!</definedName>
    <definedName name="PlantName" localSheetId="5">#REF!</definedName>
    <definedName name="PlantName">#REF!</definedName>
    <definedName name="PlantPPH" localSheetId="2">#REF!</definedName>
    <definedName name="PlantPPH" localSheetId="1">#REF!</definedName>
    <definedName name="PlantPPH" localSheetId="0">#REF!</definedName>
    <definedName name="PlantPPH" localSheetId="4">#REF!</definedName>
    <definedName name="PlantPPH" localSheetId="3">#REF!</definedName>
    <definedName name="PlantPPH" localSheetId="5">#REF!</definedName>
    <definedName name="PlantPPH">#REF!</definedName>
    <definedName name="PlantType" localSheetId="2">#REF!</definedName>
    <definedName name="PlantType" localSheetId="1">#REF!</definedName>
    <definedName name="PlantType" localSheetId="0">#REF!</definedName>
    <definedName name="PlantType" localSheetId="4">#REF!</definedName>
    <definedName name="PlantType" localSheetId="3">#REF!</definedName>
    <definedName name="PlantType" localSheetId="5">#REF!</definedName>
    <definedName name="PlantType">#REF!</definedName>
    <definedName name="PLASTCZRPR" localSheetId="4">#REF!</definedName>
    <definedName name="PLASTCZRPR" localSheetId="3">#REF!</definedName>
    <definedName name="PLASTCZRPR" localSheetId="5">#REF!</definedName>
    <definedName name="PLASTCZRPR">#REF!</definedName>
    <definedName name="PLASTCZRRATE" localSheetId="4">#REF!</definedName>
    <definedName name="PLASTCZRRATE" localSheetId="3">#REF!</definedName>
    <definedName name="PLASTCZRRATE" localSheetId="5">#REF!</definedName>
    <definedName name="PLASTCZRRATE">#REF!</definedName>
    <definedName name="plaster" localSheetId="2">#REF!</definedName>
    <definedName name="plaster" localSheetId="1">#REF!</definedName>
    <definedName name="plaster" localSheetId="0">#REF!</definedName>
    <definedName name="plaster" localSheetId="4">#REF!</definedName>
    <definedName name="plaster" localSheetId="3">#REF!</definedName>
    <definedName name="plaster" localSheetId="5">#REF!</definedName>
    <definedName name="plaster">#REF!</definedName>
    <definedName name="PLASTICISER" localSheetId="4">#REF!</definedName>
    <definedName name="PLASTICISER" localSheetId="3">#REF!</definedName>
    <definedName name="PLASTICISER" localSheetId="5">#REF!</definedName>
    <definedName name="PLASTICISER">#REF!</definedName>
    <definedName name="PLATFORM" localSheetId="4">#REF!</definedName>
    <definedName name="PLATFORM" localSheetId="3">#REF!</definedName>
    <definedName name="PLATFORM" localSheetId="5">#REF!</definedName>
    <definedName name="PLATFORM">#REF!</definedName>
    <definedName name="plst" localSheetId="2">#REF!</definedName>
    <definedName name="plst" localSheetId="1">#REF!</definedName>
    <definedName name="plst" localSheetId="0">#REF!</definedName>
    <definedName name="plst" localSheetId="4">#REF!</definedName>
    <definedName name="plst" localSheetId="3">#REF!</definedName>
    <definedName name="plst" localSheetId="5">#REF!</definedName>
    <definedName name="plst">#REF!</definedName>
    <definedName name="PLUG" localSheetId="2">#REF!</definedName>
    <definedName name="PLUG" localSheetId="1">#REF!</definedName>
    <definedName name="PLUG" localSheetId="0">#REF!</definedName>
    <definedName name="PLUG" localSheetId="4">#REF!</definedName>
    <definedName name="PLUG" localSheetId="3">#REF!</definedName>
    <definedName name="PLUG" localSheetId="5">#REF!</definedName>
    <definedName name="PLUG">#REF!</definedName>
    <definedName name="plumb" localSheetId="4">#REF!</definedName>
    <definedName name="plumb" localSheetId="3">#REF!</definedName>
    <definedName name="plumb" localSheetId="5">#REF!</definedName>
    <definedName name="plumb">#REF!</definedName>
    <definedName name="PLUMBING" localSheetId="2">#REF!</definedName>
    <definedName name="PLUMBING" localSheetId="1">#REF!</definedName>
    <definedName name="PLUMBING" localSheetId="0">#REF!</definedName>
    <definedName name="PLUMBING" localSheetId="4">#REF!</definedName>
    <definedName name="PLUMBING" localSheetId="3">#REF!</definedName>
    <definedName name="PLUMBING" localSheetId="5">#REF!</definedName>
    <definedName name="PLUMBING">#REF!</definedName>
    <definedName name="PLYWOODPR" localSheetId="4">#REF!</definedName>
    <definedName name="PLYWOODPR" localSheetId="3">#REF!</definedName>
    <definedName name="PLYWOODPR" localSheetId="5">#REF!</definedName>
    <definedName name="PLYWOODPR">#REF!</definedName>
    <definedName name="PLYWOODRATE" localSheetId="4">#REF!</definedName>
    <definedName name="PLYWOODRATE" localSheetId="3">#REF!</definedName>
    <definedName name="PLYWOODRATE" localSheetId="5">#REF!</definedName>
    <definedName name="PLYWOODRATE">#REF!</definedName>
    <definedName name="PM" localSheetId="2">#REF!</definedName>
    <definedName name="PM" localSheetId="1">#REF!</definedName>
    <definedName name="PM" localSheetId="0">#REF!</definedName>
    <definedName name="PM" localSheetId="4">#REF!</definedName>
    <definedName name="PM" localSheetId="3">#REF!</definedName>
    <definedName name="PM" localSheetId="5">#REF!</definedName>
    <definedName name="PM">#REF!</definedName>
    <definedName name="PM_Hrs" localSheetId="2">#REF!</definedName>
    <definedName name="PM_Hrs" localSheetId="1">#REF!</definedName>
    <definedName name="PM_Hrs" localSheetId="0">#REF!</definedName>
    <definedName name="PM_Hrs" localSheetId="4">#REF!</definedName>
    <definedName name="PM_Hrs" localSheetId="3">#REF!</definedName>
    <definedName name="PM_Hrs" localSheetId="5">#REF!</definedName>
    <definedName name="PM_Hrs">#REF!</definedName>
    <definedName name="PM_Rev" localSheetId="2">#REF!</definedName>
    <definedName name="PM_Rev" localSheetId="1">#REF!</definedName>
    <definedName name="PM_Rev" localSheetId="0">#REF!</definedName>
    <definedName name="PM_Rev" localSheetId="4">#REF!</definedName>
    <definedName name="PM_Rev" localSheetId="3">#REF!</definedName>
    <definedName name="PM_Rev" localSheetId="5">#REF!</definedName>
    <definedName name="PM_Rev">#REF!</definedName>
    <definedName name="PO_HRS" localSheetId="4">#REF!</definedName>
    <definedName name="PO_HRS" localSheetId="3">#REF!</definedName>
    <definedName name="PO_HRS" localSheetId="5">#REF!</definedName>
    <definedName name="PO_HRS">#REF!</definedName>
    <definedName name="pojboijioljn" localSheetId="2" hidden="1">{#N/A,#N/A,TRUE,"Cover";#N/A,#N/A,TRUE,"Conts";#N/A,#N/A,TRUE,"VOS";#N/A,#N/A,TRUE,"Warrington";#N/A,#N/A,TRUE,"Widnes"}</definedName>
    <definedName name="pojboijioljn" localSheetId="1" hidden="1">{#N/A,#N/A,TRUE,"Cover";#N/A,#N/A,TRUE,"Conts";#N/A,#N/A,TRUE,"VOS";#N/A,#N/A,TRUE,"Warrington";#N/A,#N/A,TRUE,"Widnes"}</definedName>
    <definedName name="pojboijioljn" localSheetId="0" hidden="1">{#N/A,#N/A,TRUE,"Cover";#N/A,#N/A,TRUE,"Conts";#N/A,#N/A,TRUE,"VOS";#N/A,#N/A,TRUE,"Warrington";#N/A,#N/A,TRUE,"Widnes"}</definedName>
    <definedName name="pojboijioljn" localSheetId="4" hidden="1">{#N/A,#N/A,TRUE,"Cover";#N/A,#N/A,TRUE,"Conts";#N/A,#N/A,TRUE,"VOS";#N/A,#N/A,TRUE,"Warrington";#N/A,#N/A,TRUE,"Widnes"}</definedName>
    <definedName name="pojboijioljn" localSheetId="3" hidden="1">{#N/A,#N/A,TRUE,"Cover";#N/A,#N/A,TRUE,"Conts";#N/A,#N/A,TRUE,"VOS";#N/A,#N/A,TRUE,"Warrington";#N/A,#N/A,TRUE,"Widnes"}</definedName>
    <definedName name="pojboijioljn" localSheetId="5" hidden="1">{#N/A,#N/A,TRUE,"Cover";#N/A,#N/A,TRUE,"Conts";#N/A,#N/A,TRUE,"VOS";#N/A,#N/A,TRUE,"Warrington";#N/A,#N/A,TRUE,"Widnes"}</definedName>
    <definedName name="pojboijioljn" hidden="1">{#N/A,#N/A,TRUE,"Cover";#N/A,#N/A,TRUE,"Conts";#N/A,#N/A,TRUE,"VOS";#N/A,#N/A,TRUE,"Warrington";#N/A,#N/A,TRUE,"Widnes"}</definedName>
    <definedName name="Positions" localSheetId="0">#REF!</definedName>
    <definedName name="Positions" localSheetId="4">#REF!</definedName>
    <definedName name="Positions" localSheetId="3">#REF!</definedName>
    <definedName name="Positions" localSheetId="5">#REF!</definedName>
    <definedName name="Positions">#REF!</definedName>
    <definedName name="Positionss" localSheetId="0">#REF!</definedName>
    <definedName name="Positionss" localSheetId="4">#REF!</definedName>
    <definedName name="Positionss" localSheetId="3">#REF!</definedName>
    <definedName name="Positionss" localSheetId="5">#REF!</definedName>
    <definedName name="Positionss">#REF!</definedName>
    <definedName name="postt" localSheetId="2">#REF!</definedName>
    <definedName name="postt" localSheetId="1">#REF!</definedName>
    <definedName name="postt" localSheetId="0">#REF!</definedName>
    <definedName name="postt" localSheetId="4">#REF!</definedName>
    <definedName name="postt" localSheetId="3">#REF!</definedName>
    <definedName name="postt" localSheetId="5">#REF!</definedName>
    <definedName name="postt">#REF!</definedName>
    <definedName name="pound" localSheetId="2">#REF!</definedName>
    <definedName name="pound" localSheetId="1">#REF!</definedName>
    <definedName name="pound" localSheetId="0">#REF!</definedName>
    <definedName name="pound" localSheetId="4">#REF!</definedName>
    <definedName name="pound" localSheetId="3">#REF!</definedName>
    <definedName name="pound" localSheetId="5">#REF!</definedName>
    <definedName name="pound">#REF!</definedName>
    <definedName name="POURINGRATE" localSheetId="4">#REF!</definedName>
    <definedName name="POURINGRATE" localSheetId="3">#REF!</definedName>
    <definedName name="POURINGRATE" localSheetId="5">#REF!</definedName>
    <definedName name="POURINGRATE">#REF!</definedName>
    <definedName name="POURPRMAN" localSheetId="4">#REF!</definedName>
    <definedName name="POURPRMAN" localSheetId="3">#REF!</definedName>
    <definedName name="POURPRMAN" localSheetId="5">#REF!</definedName>
    <definedName name="POURPRMAN">#REF!</definedName>
    <definedName name="POURPRPUMP" localSheetId="4">#REF!</definedName>
    <definedName name="POURPRPUMP" localSheetId="3">#REF!</definedName>
    <definedName name="POURPRPUMP" localSheetId="5">#REF!</definedName>
    <definedName name="POURPRPUMP">#REF!</definedName>
    <definedName name="POURSKILLED" localSheetId="4">#REF!</definedName>
    <definedName name="POURSKILLED" localSheetId="3">#REF!</definedName>
    <definedName name="POURSKILLED" localSheetId="5">#REF!</definedName>
    <definedName name="POURSKILLED">#REF!</definedName>
    <definedName name="Power_cable_for_capacitor" localSheetId="4">#REF!</definedName>
    <definedName name="Power_cable_for_capacitor" localSheetId="3">#REF!</definedName>
    <definedName name="Power_cable_for_capacitor" localSheetId="5">#REF!</definedName>
    <definedName name="Power_cable_for_capacitor">#REF!</definedName>
    <definedName name="Power_Cable_for_ESMDB" localSheetId="4">#REF!</definedName>
    <definedName name="Power_Cable_for_ESMDB" localSheetId="3">#REF!</definedName>
    <definedName name="Power_Cable_for_ESMDB" localSheetId="5">#REF!</definedName>
    <definedName name="Power_Cable_for_ESMDB">#REF!</definedName>
    <definedName name="Power_Feeder_cable_for_DB___SMDB" localSheetId="4">#REF!</definedName>
    <definedName name="Power_Feeder_cable_for_DB___SMDB" localSheetId="3">#REF!</definedName>
    <definedName name="Power_Feeder_cable_for_DB___SMDB" localSheetId="5">#REF!</definedName>
    <definedName name="Power_Feeder_cable_for_DB___SMDB">#REF!</definedName>
    <definedName name="Power_wiring_devices__Points" localSheetId="4">#REF!</definedName>
    <definedName name="Power_wiring_devices__Points" localSheetId="3">#REF!</definedName>
    <definedName name="Power_wiring_devices__Points" localSheetId="5">#REF!</definedName>
    <definedName name="Power_wiring_devices__Points">#REF!</definedName>
    <definedName name="pp" localSheetId="4">#REF!</definedName>
    <definedName name="pp" localSheetId="3">#REF!</definedName>
    <definedName name="pp" localSheetId="5">#REF!</definedName>
    <definedName name="pp">#REF!</definedName>
    <definedName name="ppok" localSheetId="2" hidden="1">{#N/A,#N/A,TRUE,"Cover";#N/A,#N/A,TRUE,"Conts";#N/A,#N/A,TRUE,"VOS";#N/A,#N/A,TRUE,"Warrington";#N/A,#N/A,TRUE,"Widnes"}</definedName>
    <definedName name="ppok" localSheetId="1" hidden="1">{#N/A,#N/A,TRUE,"Cover";#N/A,#N/A,TRUE,"Conts";#N/A,#N/A,TRUE,"VOS";#N/A,#N/A,TRUE,"Warrington";#N/A,#N/A,TRUE,"Widnes"}</definedName>
    <definedName name="ppok" localSheetId="0" hidden="1">{#N/A,#N/A,TRUE,"Cover";#N/A,#N/A,TRUE,"Conts";#N/A,#N/A,TRUE,"VOS";#N/A,#N/A,TRUE,"Warrington";#N/A,#N/A,TRUE,"Widnes"}</definedName>
    <definedName name="ppok" localSheetId="4" hidden="1">{#N/A,#N/A,TRUE,"Cover";#N/A,#N/A,TRUE,"Conts";#N/A,#N/A,TRUE,"VOS";#N/A,#N/A,TRUE,"Warrington";#N/A,#N/A,TRUE,"Widnes"}</definedName>
    <definedName name="ppok" localSheetId="3" hidden="1">{#N/A,#N/A,TRUE,"Cover";#N/A,#N/A,TRUE,"Conts";#N/A,#N/A,TRUE,"VOS";#N/A,#N/A,TRUE,"Warrington";#N/A,#N/A,TRUE,"Widnes"}</definedName>
    <definedName name="ppok" localSheetId="5" hidden="1">{#N/A,#N/A,TRUE,"Cover";#N/A,#N/A,TRUE,"Conts";#N/A,#N/A,TRUE,"VOS";#N/A,#N/A,TRUE,"Warrington";#N/A,#N/A,TRUE,"Widnes"}</definedName>
    <definedName name="ppok" hidden="1">{#N/A,#N/A,TRUE,"Cover";#N/A,#N/A,TRUE,"Conts";#N/A,#N/A,TRUE,"VOS";#N/A,#N/A,TRUE,"Warrington";#N/A,#N/A,TRUE,"Widnes"}</definedName>
    <definedName name="PPR_piping" localSheetId="5">#REF!</definedName>
    <definedName name="PPR_piping">#REF!</definedName>
    <definedName name="PR" localSheetId="2">#REF!</definedName>
    <definedName name="PR" localSheetId="1">#REF!</definedName>
    <definedName name="PR" localSheetId="0">#REF!</definedName>
    <definedName name="PR" localSheetId="4">#REF!</definedName>
    <definedName name="PR" localSheetId="3">#REF!</definedName>
    <definedName name="PR" localSheetId="5">#REF!</definedName>
    <definedName name="PR">#REF!</definedName>
    <definedName name="PRE_TRACED_TUBE" localSheetId="2">#REF!</definedName>
    <definedName name="PRE_TRACED_TUBE" localSheetId="1">#REF!</definedName>
    <definedName name="PRE_TRACED_TUBE" localSheetId="0">#REF!</definedName>
    <definedName name="PRE_TRACED_TUBE" localSheetId="4">#REF!</definedName>
    <definedName name="PRE_TRACED_TUBE" localSheetId="3">#REF!</definedName>
    <definedName name="PRE_TRACED_TUBE" localSheetId="5">#REF!</definedName>
    <definedName name="PRE_TRACED_TUBE">#REF!</definedName>
    <definedName name="preli" localSheetId="2" hidden="1">{#N/A,#N/A,FALSE,"估價單  (3)"}</definedName>
    <definedName name="preli" localSheetId="1" hidden="1">{#N/A,#N/A,FALSE,"估價單  (3)"}</definedName>
    <definedName name="preli" localSheetId="0" hidden="1">{#N/A,#N/A,FALSE,"估價單  (3)"}</definedName>
    <definedName name="preli" localSheetId="4" hidden="1">{#N/A,#N/A,FALSE,"估價單  (3)"}</definedName>
    <definedName name="preli" localSheetId="3" hidden="1">{#N/A,#N/A,FALSE,"估價單  (3)"}</definedName>
    <definedName name="preli" localSheetId="5" hidden="1">{#N/A,#N/A,FALSE,"估價單  (3)"}</definedName>
    <definedName name="preli" hidden="1">{#N/A,#N/A,FALSE,"估價單  (3)"}</definedName>
    <definedName name="Prelim" localSheetId="2">#REF!</definedName>
    <definedName name="Prelim" localSheetId="1">#REF!</definedName>
    <definedName name="Prelim" localSheetId="0">#REF!</definedName>
    <definedName name="Prelim" localSheetId="4">#REF!</definedName>
    <definedName name="Prelim" localSheetId="3">#REF!</definedName>
    <definedName name="Prelim" localSheetId="5">#REF!</definedName>
    <definedName name="Prelim">#REF!</definedName>
    <definedName name="prelimn" localSheetId="2">#REF!</definedName>
    <definedName name="prelimn" localSheetId="1">#REF!</definedName>
    <definedName name="prelimn" localSheetId="0">#REF!</definedName>
    <definedName name="prelimn" localSheetId="4">#REF!</definedName>
    <definedName name="prelimn" localSheetId="3">#REF!</definedName>
    <definedName name="prelimn" localSheetId="5">#REF!</definedName>
    <definedName name="prelimn">#REF!</definedName>
    <definedName name="prelims" localSheetId="4">#REF!</definedName>
    <definedName name="prelims" localSheetId="3">#REF!</definedName>
    <definedName name="prelims" localSheetId="5">#REF!</definedName>
    <definedName name="prelims">#REF!</definedName>
    <definedName name="prepplat" localSheetId="4">#REF!</definedName>
    <definedName name="prepplat" localSheetId="3">#REF!</definedName>
    <definedName name="prepplat" localSheetId="5">#REF!</definedName>
    <definedName name="prepplat">#REF!</definedName>
    <definedName name="PREVIOUS" localSheetId="2">#REF!</definedName>
    <definedName name="PREVIOUS" localSheetId="1">#REF!</definedName>
    <definedName name="PREVIOUS" localSheetId="0">#REF!</definedName>
    <definedName name="PREVIOUS" localSheetId="4">#REF!</definedName>
    <definedName name="PREVIOUS" localSheetId="3">#REF!</definedName>
    <definedName name="PREVIOUS" localSheetId="5">#REF!</definedName>
    <definedName name="PREVIOUS">#REF!</definedName>
    <definedName name="PRFOOT" localSheetId="4">#REF!</definedName>
    <definedName name="PRFOOT" localSheetId="3">#REF!</definedName>
    <definedName name="PRFOOT" localSheetId="5">#REF!</definedName>
    <definedName name="PRFOOT">#REF!</definedName>
    <definedName name="Price_menu" localSheetId="2">#REF!</definedName>
    <definedName name="Price_menu" localSheetId="1">#REF!</definedName>
    <definedName name="Price_menu" localSheetId="0">#REF!</definedName>
    <definedName name="Price_menu" localSheetId="4">#REF!</definedName>
    <definedName name="Price_menu" localSheetId="3">#REF!</definedName>
    <definedName name="Price_menu" localSheetId="5">#REF!</definedName>
    <definedName name="Price_menu">#REF!</definedName>
    <definedName name="PRICED" localSheetId="2">#REF!</definedName>
    <definedName name="PRICED" localSheetId="1">#REF!</definedName>
    <definedName name="PRICED" localSheetId="0">#REF!</definedName>
    <definedName name="PRICED" localSheetId="4">#REF!</definedName>
    <definedName name="PRICED" localSheetId="3">#REF!</definedName>
    <definedName name="PRICED" localSheetId="5">#REF!</definedName>
    <definedName name="PRICED">#REF!</definedName>
    <definedName name="Primer" localSheetId="4">#REF!</definedName>
    <definedName name="Primer" localSheetId="3">#REF!</definedName>
    <definedName name="Primer" localSheetId="5">#REF!</definedName>
    <definedName name="Primer">#REF!</definedName>
    <definedName name="Princ" localSheetId="2">#REF!</definedName>
    <definedName name="Princ" localSheetId="1">#REF!</definedName>
    <definedName name="Princ" localSheetId="0">#REF!</definedName>
    <definedName name="Princ" localSheetId="4">#REF!</definedName>
    <definedName name="Princ" localSheetId="3">#REF!</definedName>
    <definedName name="Princ" localSheetId="5">#REF!</definedName>
    <definedName name="Princ">#REF!</definedName>
    <definedName name="PRINT" localSheetId="2">#REF!</definedName>
    <definedName name="PRINT" localSheetId="1">#REF!</definedName>
    <definedName name="PRINT" localSheetId="0">#REF!</definedName>
    <definedName name="PRINT" localSheetId="4">#REF!</definedName>
    <definedName name="PRINT" localSheetId="3">#REF!</definedName>
    <definedName name="PRINT" localSheetId="5">#REF!</definedName>
    <definedName name="PRINT">#REF!</definedName>
    <definedName name="PRINT_1" localSheetId="4">#REF!</definedName>
    <definedName name="PRINT_1" localSheetId="3">#REF!</definedName>
    <definedName name="PRINT_1" localSheetId="5">#REF!</definedName>
    <definedName name="PRINT_1">#REF!</definedName>
    <definedName name="_xlnm.Print_Area" localSheetId="2">#REF!</definedName>
    <definedName name="_xlnm.Print_Area" localSheetId="1">#REF!</definedName>
    <definedName name="_xlnm.Print_Area" localSheetId="0">'FEE RECON RAIHAN'!$A$1:$I$75</definedName>
    <definedName name="_xlnm.Print_Area" localSheetId="4">'Mastersheet-Projects'!$A$1:$Z$37</definedName>
    <definedName name="_xlnm.Print_Area" localSheetId="3">'Mastersheet-Resources'!$A$2:$AD$3</definedName>
    <definedName name="_xlnm.Print_Area" localSheetId="5">'Tender List'!$A$1:$D$114</definedName>
    <definedName name="_xlnm.Print_Area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 localSheetId="3">#REF!</definedName>
    <definedName name="PRINT_AREA_MI" localSheetId="5">#REF!</definedName>
    <definedName name="PRINT_AREA_MI">#REF!</definedName>
    <definedName name="Print_Area_Reset" localSheetId="2">OFFSET('A10 Design + Subs fee'!Full_Print,0,0,'A10 Design + Subs fee'!Last_Row)</definedName>
    <definedName name="Print_Area_Reset" localSheetId="1">OFFSET('A9 Design + Subs fee '!Full_Print,0,0,'A9 Design + Subs fee '!Last_Row)</definedName>
    <definedName name="Print_Area_Reset" localSheetId="0">OFFSET('FEE RECON RAIHAN'!Full_Print,0,0,'FEE RECON RAIHAN'!Last_Row)</definedName>
    <definedName name="Print_Area_Reset" localSheetId="4">OFFSET('Mastersheet-Projects'!Full_Print,0,0,'Mastersheet-Projects'!Last_Row)</definedName>
    <definedName name="Print_Area_Reset" localSheetId="3">OFFSET('Mastersheet-Resources'!Full_Print,0,0,'Mastersheet-Resources'!Last_Row)</definedName>
    <definedName name="Print_Area_Reset" localSheetId="5">OFFSET('Tender List'!Full_Print,0,0,'Tender List'!Last_Row)</definedName>
    <definedName name="Print_Area_Reset">OFFSET(Full_Print,0,0,Last_Row)</definedName>
    <definedName name="PRINT_TITLE" localSheetId="2">#REF!</definedName>
    <definedName name="PRINT_TITLE" localSheetId="1">#REF!</definedName>
    <definedName name="PRINT_TITLE" localSheetId="0">#REF!</definedName>
    <definedName name="PRINT_TITLE" localSheetId="4">#REF!</definedName>
    <definedName name="PRINT_TITLE" localSheetId="3">#REF!</definedName>
    <definedName name="PRINT_TITLE" localSheetId="5">#REF!</definedName>
    <definedName name="PRINT_TITLE">#REF!</definedName>
    <definedName name="_xlnm.Print_Titles" localSheetId="2">'A10 Design + Subs fee'!$3:$11</definedName>
    <definedName name="_xlnm.Print_Titles" localSheetId="1">'A9 Design + Subs fee '!$3:$11</definedName>
    <definedName name="_xlnm.Print_Titles" localSheetId="4">#REF!</definedName>
    <definedName name="_xlnm.Print_Titles" localSheetId="3">#REF!</definedName>
    <definedName name="_xlnm.Print_Titles" localSheetId="5">#REF!</definedName>
    <definedName name="_xlnm.Print_Titles">#REF!</definedName>
    <definedName name="PRINT_TITLES_MI" localSheetId="2">#REF!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3">#REF!</definedName>
    <definedName name="PRINT_TITLES_MI" localSheetId="5">#REF!</definedName>
    <definedName name="PRINT_TITLES_MI">#REF!</definedName>
    <definedName name="PrintTotal" localSheetId="4">#REF!</definedName>
    <definedName name="PrintTotal" localSheetId="3">#REF!</definedName>
    <definedName name="PrintTotal" localSheetId="5">#REF!</definedName>
    <definedName name="PrintTotal">#REF!</definedName>
    <definedName name="Prior_1" localSheetId="2">#REF!</definedName>
    <definedName name="Prior_1" localSheetId="1">#REF!</definedName>
    <definedName name="Prior_1" localSheetId="0">#REF!</definedName>
    <definedName name="Prior_1" localSheetId="4">#REF!</definedName>
    <definedName name="Prior_1" localSheetId="3">#REF!</definedName>
    <definedName name="Prior_1" localSheetId="5">#REF!</definedName>
    <definedName name="Prior_1">#REF!</definedName>
    <definedName name="Prior_10" localSheetId="2">#REF!</definedName>
    <definedName name="Prior_10" localSheetId="1">#REF!</definedName>
    <definedName name="Prior_10" localSheetId="0">#REF!</definedName>
    <definedName name="Prior_10" localSheetId="4">#REF!</definedName>
    <definedName name="Prior_10" localSheetId="3">#REF!</definedName>
    <definedName name="Prior_10" localSheetId="5">#REF!</definedName>
    <definedName name="Prior_10">#REF!</definedName>
    <definedName name="Prior_11" localSheetId="2">#REF!</definedName>
    <definedName name="Prior_11" localSheetId="1">#REF!</definedName>
    <definedName name="Prior_11" localSheetId="0">#REF!</definedName>
    <definedName name="Prior_11" localSheetId="4">#REF!</definedName>
    <definedName name="Prior_11" localSheetId="3">#REF!</definedName>
    <definedName name="Prior_11" localSheetId="5">#REF!</definedName>
    <definedName name="Prior_11">#REF!</definedName>
    <definedName name="Prior_12" localSheetId="2">#REF!</definedName>
    <definedName name="Prior_12" localSheetId="1">#REF!</definedName>
    <definedName name="Prior_12" localSheetId="0">#REF!</definedName>
    <definedName name="Prior_12" localSheetId="4">#REF!</definedName>
    <definedName name="Prior_12" localSheetId="3">#REF!</definedName>
    <definedName name="Prior_12" localSheetId="5">#REF!</definedName>
    <definedName name="Prior_12">#REF!</definedName>
    <definedName name="Prior_13" localSheetId="2">#REF!</definedName>
    <definedName name="Prior_13" localSheetId="1">#REF!</definedName>
    <definedName name="Prior_13" localSheetId="0">#REF!</definedName>
    <definedName name="Prior_13" localSheetId="4">#REF!</definedName>
    <definedName name="Prior_13" localSheetId="3">#REF!</definedName>
    <definedName name="Prior_13" localSheetId="5">#REF!</definedName>
    <definedName name="Prior_13">#REF!</definedName>
    <definedName name="Prior_2" localSheetId="2">#REF!</definedName>
    <definedName name="Prior_2" localSheetId="1">#REF!</definedName>
    <definedName name="Prior_2" localSheetId="0">#REF!</definedName>
    <definedName name="Prior_2" localSheetId="4">#REF!</definedName>
    <definedName name="Prior_2" localSheetId="3">#REF!</definedName>
    <definedName name="Prior_2" localSheetId="5">#REF!</definedName>
    <definedName name="Prior_2">#REF!</definedName>
    <definedName name="Prior_3" localSheetId="2">#REF!</definedName>
    <definedName name="Prior_3" localSheetId="1">#REF!</definedName>
    <definedName name="Prior_3" localSheetId="0">#REF!</definedName>
    <definedName name="Prior_3" localSheetId="4">#REF!</definedName>
    <definedName name="Prior_3" localSheetId="3">#REF!</definedName>
    <definedName name="Prior_3" localSheetId="5">#REF!</definedName>
    <definedName name="Prior_3">#REF!</definedName>
    <definedName name="Prior_4" localSheetId="2">#REF!</definedName>
    <definedName name="Prior_4" localSheetId="1">#REF!</definedName>
    <definedName name="Prior_4" localSheetId="0">#REF!</definedName>
    <definedName name="Prior_4" localSheetId="4">#REF!</definedName>
    <definedName name="Prior_4" localSheetId="3">#REF!</definedName>
    <definedName name="Prior_4" localSheetId="5">#REF!</definedName>
    <definedName name="Prior_4">#REF!</definedName>
    <definedName name="Prior_5" localSheetId="2">#REF!</definedName>
    <definedName name="Prior_5" localSheetId="1">#REF!</definedName>
    <definedName name="Prior_5" localSheetId="0">#REF!</definedName>
    <definedName name="Prior_5" localSheetId="4">#REF!</definedName>
    <definedName name="Prior_5" localSheetId="3">#REF!</definedName>
    <definedName name="Prior_5" localSheetId="5">#REF!</definedName>
    <definedName name="Prior_5">#REF!</definedName>
    <definedName name="Prior_6" localSheetId="2">#REF!</definedName>
    <definedName name="Prior_6" localSheetId="1">#REF!</definedName>
    <definedName name="Prior_6" localSheetId="0">#REF!</definedName>
    <definedName name="Prior_6" localSheetId="4">#REF!</definedName>
    <definedName name="Prior_6" localSheetId="3">#REF!</definedName>
    <definedName name="Prior_6" localSheetId="5">#REF!</definedName>
    <definedName name="Prior_6">#REF!</definedName>
    <definedName name="Prior_7" localSheetId="2">#REF!</definedName>
    <definedName name="Prior_7" localSheetId="1">#REF!</definedName>
    <definedName name="Prior_7" localSheetId="0">#REF!</definedName>
    <definedName name="Prior_7" localSheetId="4">#REF!</definedName>
    <definedName name="Prior_7" localSheetId="3">#REF!</definedName>
    <definedName name="Prior_7" localSheetId="5">#REF!</definedName>
    <definedName name="Prior_7">#REF!</definedName>
    <definedName name="Prior_8" localSheetId="2">#REF!</definedName>
    <definedName name="Prior_8" localSheetId="1">#REF!</definedName>
    <definedName name="Prior_8" localSheetId="0">#REF!</definedName>
    <definedName name="Prior_8" localSheetId="4">#REF!</definedName>
    <definedName name="Prior_8" localSheetId="3">#REF!</definedName>
    <definedName name="Prior_8" localSheetId="5">#REF!</definedName>
    <definedName name="Prior_8">#REF!</definedName>
    <definedName name="Prior_9" localSheetId="2">#REF!</definedName>
    <definedName name="Prior_9" localSheetId="1">#REF!</definedName>
    <definedName name="Prior_9" localSheetId="0">#REF!</definedName>
    <definedName name="Prior_9" localSheetId="4">#REF!</definedName>
    <definedName name="Prior_9" localSheetId="3">#REF!</definedName>
    <definedName name="Prior_9" localSheetId="5">#REF!</definedName>
    <definedName name="Prior_9">#REF!</definedName>
    <definedName name="Prior_Mnth" localSheetId="2">#REF!</definedName>
    <definedName name="Prior_Mnth" localSheetId="1">#REF!</definedName>
    <definedName name="Prior_Mnth" localSheetId="0">#REF!</definedName>
    <definedName name="Prior_Mnth" localSheetId="4">#REF!</definedName>
    <definedName name="Prior_Mnth" localSheetId="3">#REF!</definedName>
    <definedName name="Prior_Mnth" localSheetId="5">#REF!</definedName>
    <definedName name="Prior_Mnth">#REF!</definedName>
    <definedName name="Prior_YTD" localSheetId="2">#REF!</definedName>
    <definedName name="Prior_YTD" localSheetId="1">#REF!</definedName>
    <definedName name="Prior_YTD" localSheetId="0">#REF!</definedName>
    <definedName name="Prior_YTD" localSheetId="4">#REF!</definedName>
    <definedName name="Prior_YTD" localSheetId="3">#REF!</definedName>
    <definedName name="Prior_YTD" localSheetId="5">#REF!</definedName>
    <definedName name="Prior_YTD">#REF!</definedName>
    <definedName name="PRJ_ELBK_CST_EDITBY" localSheetId="2">#REF!</definedName>
    <definedName name="PRJ_ELBK_CST_EDITBY" localSheetId="1">#REF!</definedName>
    <definedName name="PRJ_ELBK_CST_EDITBY" localSheetId="0">#REF!</definedName>
    <definedName name="PRJ_ELBK_CST_EDITBY" localSheetId="4">#REF!</definedName>
    <definedName name="PRJ_ELBK_CST_EDITBY" localSheetId="3">#REF!</definedName>
    <definedName name="PRJ_ELBK_CST_EDITBY" localSheetId="5">#REF!</definedName>
    <definedName name="PRJ_ELBK_CST_EDITBY">#REF!</definedName>
    <definedName name="PRJ_ELBK_CST_EDITDATE" localSheetId="2">#REF!</definedName>
    <definedName name="PRJ_ELBK_CST_EDITDATE" localSheetId="1">#REF!</definedName>
    <definedName name="PRJ_ELBK_CST_EDITDATE" localSheetId="0">#REF!</definedName>
    <definedName name="PRJ_ELBK_CST_EDITDATE" localSheetId="4">#REF!</definedName>
    <definedName name="PRJ_ELBK_CST_EDITDATE" localSheetId="3">#REF!</definedName>
    <definedName name="PRJ_ELBK_CST_EDITDATE" localSheetId="5">#REF!</definedName>
    <definedName name="PRJ_ELBK_CST_EDITDATE">#REF!</definedName>
    <definedName name="PRJ_ELEQ_CST_EDITBY" localSheetId="2">#REF!</definedName>
    <definedName name="PRJ_ELEQ_CST_EDITBY" localSheetId="1">#REF!</definedName>
    <definedName name="PRJ_ELEQ_CST_EDITBY" localSheetId="0">#REF!</definedName>
    <definedName name="PRJ_ELEQ_CST_EDITBY" localSheetId="4">#REF!</definedName>
    <definedName name="PRJ_ELEQ_CST_EDITBY" localSheetId="3">#REF!</definedName>
    <definedName name="PRJ_ELEQ_CST_EDITBY" localSheetId="5">#REF!</definedName>
    <definedName name="PRJ_ELEQ_CST_EDITBY">#REF!</definedName>
    <definedName name="PRJ_ELEQ_CST_EDITDATE" localSheetId="2">#REF!</definedName>
    <definedName name="PRJ_ELEQ_CST_EDITDATE" localSheetId="1">#REF!</definedName>
    <definedName name="PRJ_ELEQ_CST_EDITDATE" localSheetId="0">#REF!</definedName>
    <definedName name="PRJ_ELEQ_CST_EDITDATE" localSheetId="4">#REF!</definedName>
    <definedName name="PRJ_ELEQ_CST_EDITDATE" localSheetId="3">#REF!</definedName>
    <definedName name="PRJ_ELEQ_CST_EDITDATE" localSheetId="5">#REF!</definedName>
    <definedName name="PRJ_ELEQ_CST_EDITDATE">#REF!</definedName>
    <definedName name="PRJ_INSTR_CST_EDITBY" localSheetId="2">#REF!</definedName>
    <definedName name="PRJ_INSTR_CST_EDITBY" localSheetId="1">#REF!</definedName>
    <definedName name="PRJ_INSTR_CST_EDITBY" localSheetId="0">#REF!</definedName>
    <definedName name="PRJ_INSTR_CST_EDITBY" localSheetId="4">#REF!</definedName>
    <definedName name="PRJ_INSTR_CST_EDITBY" localSheetId="3">#REF!</definedName>
    <definedName name="PRJ_INSTR_CST_EDITBY" localSheetId="5">#REF!</definedName>
    <definedName name="PRJ_INSTR_CST_EDITBY">#REF!</definedName>
    <definedName name="PRJ_INSTR_CST_EDITDATE" localSheetId="2">#REF!</definedName>
    <definedName name="PRJ_INSTR_CST_EDITDATE" localSheetId="1">#REF!</definedName>
    <definedName name="PRJ_INSTR_CST_EDITDATE" localSheetId="0">#REF!</definedName>
    <definedName name="PRJ_INSTR_CST_EDITDATE" localSheetId="4">#REF!</definedName>
    <definedName name="PRJ_INSTR_CST_EDITDATE" localSheetId="3">#REF!</definedName>
    <definedName name="PRJ_INSTR_CST_EDITDATE" localSheetId="5">#REF!</definedName>
    <definedName name="PRJ_INSTR_CST_EDITDATE">#REF!</definedName>
    <definedName name="PRO_RATA__Rate_from_Bill_15__Concourse_C" localSheetId="4">#REF!,#REF!,#REF!,#REF!,#REF!,#REF!</definedName>
    <definedName name="PRO_RATA__Rate_from_Bill_15__Concourse_C" localSheetId="3">#REF!,#REF!,#REF!,#REF!,#REF!,#REF!</definedName>
    <definedName name="PRO_RATA__Rate_from_Bill_15__Concourse_C" localSheetId="5">#REF!,#REF!,#REF!,#REF!,#REF!,#REF!</definedName>
    <definedName name="PRO_RATA__Rate_from_Bill_15__Concourse_C">#REF!,#REF!,#REF!,#REF!,#REF!,#REF!</definedName>
    <definedName name="Proc_Hrs" localSheetId="2">#REF!</definedName>
    <definedName name="Proc_Hrs" localSheetId="1">#REF!</definedName>
    <definedName name="Proc_Hrs" localSheetId="0">#REF!</definedName>
    <definedName name="Proc_Hrs" localSheetId="4">#REF!</definedName>
    <definedName name="Proc_Hrs" localSheetId="3">#REF!</definedName>
    <definedName name="Proc_Hrs" localSheetId="5">#REF!</definedName>
    <definedName name="Proc_Hrs">#REF!</definedName>
    <definedName name="Proc_Rev" localSheetId="2">#REF!</definedName>
    <definedName name="Proc_Rev" localSheetId="1">#REF!</definedName>
    <definedName name="Proc_Rev" localSheetId="0">#REF!</definedName>
    <definedName name="Proc_Rev" localSheetId="4">#REF!</definedName>
    <definedName name="Proc_Rev" localSheetId="3">#REF!</definedName>
    <definedName name="Proc_Rev" localSheetId="5">#REF!</definedName>
    <definedName name="Proc_Rev">#REF!</definedName>
    <definedName name="ProdForm" localSheetId="2" hidden="1">#REF!</definedName>
    <definedName name="ProdForm" localSheetId="1" hidden="1">#REF!</definedName>
    <definedName name="ProdForm" localSheetId="0" hidden="1">#REF!</definedName>
    <definedName name="ProdForm" localSheetId="4" hidden="1">#REF!</definedName>
    <definedName name="ProdForm" localSheetId="3" hidden="1">#REF!</definedName>
    <definedName name="ProdForm" localSheetId="5" hidden="1">#REF!</definedName>
    <definedName name="ProdForm" hidden="1">#REF!</definedName>
    <definedName name="Product" localSheetId="2" hidden="1">#REF!</definedName>
    <definedName name="Product" localSheetId="1" hidden="1">#REF!</definedName>
    <definedName name="Product" localSheetId="0" hidden="1">#REF!</definedName>
    <definedName name="Product" localSheetId="4" hidden="1">#REF!</definedName>
    <definedName name="Product" localSheetId="3" hidden="1">#REF!</definedName>
    <definedName name="Product" localSheetId="5" hidden="1">#REF!</definedName>
    <definedName name="Product" hidden="1">#REF!</definedName>
    <definedName name="Profit" localSheetId="4">#REF!</definedName>
    <definedName name="Profit" localSheetId="3">#REF!</definedName>
    <definedName name="Profit" localSheetId="5">#REF!</definedName>
    <definedName name="Profit">#REF!</definedName>
    <definedName name="PROJ_OFF_HRS" localSheetId="4">#REF!</definedName>
    <definedName name="PROJ_OFF_HRS" localSheetId="3">#REF!</definedName>
    <definedName name="PROJ_OFF_HRS" localSheetId="5">#REF!</definedName>
    <definedName name="PROJ_OFF_HRS">#REF!</definedName>
    <definedName name="PROJ_OFF_LAB" localSheetId="4">#REF!</definedName>
    <definedName name="PROJ_OFF_LAB" localSheetId="3">#REF!</definedName>
    <definedName name="PROJ_OFF_LAB" localSheetId="5">#REF!</definedName>
    <definedName name="PROJ_OFF_LAB">#REF!</definedName>
    <definedName name="pROJECT" localSheetId="4">#REF!</definedName>
    <definedName name="pROJECT" localSheetId="3">#REF!</definedName>
    <definedName name="pROJECT" localSheetId="5">#REF!</definedName>
    <definedName name="pROJECT">#REF!</definedName>
    <definedName name="ProjectCalendar" localSheetId="4">#REF!</definedName>
    <definedName name="ProjectCalendar" localSheetId="3">#REF!</definedName>
    <definedName name="ProjectCalendar" localSheetId="5">#REF!</definedName>
    <definedName name="ProjectCalendar">#REF!</definedName>
    <definedName name="ProjectResource" localSheetId="4">#REF!</definedName>
    <definedName name="ProjectResource" localSheetId="3">#REF!</definedName>
    <definedName name="ProjectResource" localSheetId="5">#REF!</definedName>
    <definedName name="ProjectResource">#REF!</definedName>
    <definedName name="PS" localSheetId="2">#REF!</definedName>
    <definedName name="PS" localSheetId="1">#REF!</definedName>
    <definedName name="PS" localSheetId="0">#REF!</definedName>
    <definedName name="PS" localSheetId="4">#REF!</definedName>
    <definedName name="PS" localSheetId="3">#REF!</definedName>
    <definedName name="PS" localSheetId="5">#REF!</definedName>
    <definedName name="PS">#REF!</definedName>
    <definedName name="PTMaceStartDate" localSheetId="4">#REF!</definedName>
    <definedName name="PTMaceStartDate" localSheetId="3">#REF!</definedName>
    <definedName name="PTMaceStartDate" localSheetId="5">#REF!</definedName>
    <definedName name="PTMaceStartDate">#REF!</definedName>
    <definedName name="PUMP" localSheetId="2">#REF!</definedName>
    <definedName name="PUMP" localSheetId="1">#REF!</definedName>
    <definedName name="PUMP" localSheetId="0">#REF!</definedName>
    <definedName name="PUMP" localSheetId="4">#REF!</definedName>
    <definedName name="PUMP" localSheetId="3">#REF!</definedName>
    <definedName name="PUMP" localSheetId="5">#REF!</definedName>
    <definedName name="PUMP">#REF!</definedName>
    <definedName name="puy" localSheetId="2" hidden="1">{#N/A,#N/A,TRUE,"Cover";#N/A,#N/A,TRUE,"Conts";#N/A,#N/A,TRUE,"VOS";#N/A,#N/A,TRUE,"Warrington";#N/A,#N/A,TRUE,"Widnes"}</definedName>
    <definedName name="puy" localSheetId="1" hidden="1">{#N/A,#N/A,TRUE,"Cover";#N/A,#N/A,TRUE,"Conts";#N/A,#N/A,TRUE,"VOS";#N/A,#N/A,TRUE,"Warrington";#N/A,#N/A,TRUE,"Widnes"}</definedName>
    <definedName name="puy" localSheetId="0" hidden="1">{#N/A,#N/A,TRUE,"Cover";#N/A,#N/A,TRUE,"Conts";#N/A,#N/A,TRUE,"VOS";#N/A,#N/A,TRUE,"Warrington";#N/A,#N/A,TRUE,"Widnes"}</definedName>
    <definedName name="puy" localSheetId="4" hidden="1">{#N/A,#N/A,TRUE,"Cover";#N/A,#N/A,TRUE,"Conts";#N/A,#N/A,TRUE,"VOS";#N/A,#N/A,TRUE,"Warrington";#N/A,#N/A,TRUE,"Widnes"}</definedName>
    <definedName name="puy" localSheetId="3" hidden="1">{#N/A,#N/A,TRUE,"Cover";#N/A,#N/A,TRUE,"Conts";#N/A,#N/A,TRUE,"VOS";#N/A,#N/A,TRUE,"Warrington";#N/A,#N/A,TRUE,"Widnes"}</definedName>
    <definedName name="puy" localSheetId="5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pvaext" localSheetId="5">#REF!</definedName>
    <definedName name="pvaext">#REF!</definedName>
    <definedName name="PVC_drain_pipe" localSheetId="4">#REF!</definedName>
    <definedName name="PVC_drain_pipe" localSheetId="3">#REF!</definedName>
    <definedName name="PVC_drain_pipe" localSheetId="5">#REF!</definedName>
    <definedName name="PVC_drain_pipe">#REF!</definedName>
    <definedName name="PVC_FLEXIBLE_PIPE" localSheetId="2">#REF!</definedName>
    <definedName name="PVC_FLEXIBLE_PIPE" localSheetId="1">#REF!</definedName>
    <definedName name="PVC_FLEXIBLE_PIPE" localSheetId="0">#REF!</definedName>
    <definedName name="PVC_FLEXIBLE_PIPE" localSheetId="4">#REF!</definedName>
    <definedName name="PVC_FLEXIBLE_PIPE" localSheetId="3">#REF!</definedName>
    <definedName name="PVC_FLEXIBLE_PIPE" localSheetId="5">#REF!</definedName>
    <definedName name="PVC_FLEXIBLE_PIPE">#REF!</definedName>
    <definedName name="PVC_PIPE" localSheetId="2">#REF!</definedName>
    <definedName name="PVC_PIPE" localSheetId="1">#REF!</definedName>
    <definedName name="PVC_PIPE" localSheetId="0">#REF!</definedName>
    <definedName name="PVC_PIPE" localSheetId="4">#REF!</definedName>
    <definedName name="PVC_PIPE" localSheetId="3">#REF!</definedName>
    <definedName name="PVC_PIPE" localSheetId="5">#REF!</definedName>
    <definedName name="PVC_PIPE">#REF!</definedName>
    <definedName name="PVCCONEPR" localSheetId="4">#REF!</definedName>
    <definedName name="PVCCONEPR" localSheetId="3">#REF!</definedName>
    <definedName name="PVCCONEPR" localSheetId="5">#REF!</definedName>
    <definedName name="PVCCONEPR">#REF!</definedName>
    <definedName name="PVCCONERATE" localSheetId="4">#REF!</definedName>
    <definedName name="PVCCONERATE" localSheetId="3">#REF!</definedName>
    <definedName name="PVCCONERATE" localSheetId="5">#REF!</definedName>
    <definedName name="PVCCONERATE">#REF!</definedName>
    <definedName name="PVCTUBEPR" localSheetId="4">#REF!</definedName>
    <definedName name="PVCTUBEPR" localSheetId="3">#REF!</definedName>
    <definedName name="PVCTUBEPR" localSheetId="5">#REF!</definedName>
    <definedName name="PVCTUBEPR">#REF!</definedName>
    <definedName name="PVCTUBERATE" localSheetId="4">#REF!</definedName>
    <definedName name="PVCTUBERATE" localSheetId="3">#REF!</definedName>
    <definedName name="PVCTUBERATE" localSheetId="5">#REF!</definedName>
    <definedName name="PVCTUBERATE">#REF!</definedName>
    <definedName name="PWR_BLK_TRAY" localSheetId="2">#REF!</definedName>
    <definedName name="PWR_BLK_TRAY" localSheetId="1">#REF!</definedName>
    <definedName name="PWR_BLK_TRAY" localSheetId="0">#REF!</definedName>
    <definedName name="PWR_BLK_TRAY" localSheetId="4">#REF!</definedName>
    <definedName name="PWR_BLK_TRAY" localSheetId="3">#REF!</definedName>
    <definedName name="PWR_BLK_TRAY" localSheetId="5">#REF!</definedName>
    <definedName name="PWR_BLK_TRAY">#REF!</definedName>
    <definedName name="Q" localSheetId="2">#REF!</definedName>
    <definedName name="Q" localSheetId="1">#REF!</definedName>
    <definedName name="Q" localSheetId="0">#REF!</definedName>
    <definedName name="Q" localSheetId="4">#REF!</definedName>
    <definedName name="Q" localSheetId="3">#REF!</definedName>
    <definedName name="Q" localSheetId="5">#REF!</definedName>
    <definedName name="Q">#REF!</definedName>
    <definedName name="qa_graph" localSheetId="4">#REF!</definedName>
    <definedName name="qa_graph" localSheetId="3">#REF!</definedName>
    <definedName name="qa_graph" localSheetId="5">#REF!</definedName>
    <definedName name="qa_graph">#REF!</definedName>
    <definedName name="qa_schedule" localSheetId="4">#REF!</definedName>
    <definedName name="qa_schedule" localSheetId="3">#REF!</definedName>
    <definedName name="qa_schedule" localSheetId="5">#REF!</definedName>
    <definedName name="qa_schedule">#REF!</definedName>
    <definedName name="qar" localSheetId="4">#REF!</definedName>
    <definedName name="qar" localSheetId="3">#REF!</definedName>
    <definedName name="qar" localSheetId="5">#REF!</definedName>
    <definedName name="qar">#REF!</definedName>
    <definedName name="qe" localSheetId="2" hidden="1">{"'Break down'!$A$4"}</definedName>
    <definedName name="qe" localSheetId="1" hidden="1">{"'Break down'!$A$4"}</definedName>
    <definedName name="qe" localSheetId="0" hidden="1">{"'Break down'!$A$4"}</definedName>
    <definedName name="qe" localSheetId="4" hidden="1">{"'Break down'!$A$4"}</definedName>
    <definedName name="qe" localSheetId="3" hidden="1">{"'Break down'!$A$4"}</definedName>
    <definedName name="qe" localSheetId="5" hidden="1">{"'Break down'!$A$4"}</definedName>
    <definedName name="qe" hidden="1">{"'Break down'!$A$4"}</definedName>
    <definedName name="qe_1" localSheetId="2" hidden="1">{"'Break down'!$A$4"}</definedName>
    <definedName name="qe_1" localSheetId="1" hidden="1">{"'Break down'!$A$4"}</definedName>
    <definedName name="qe_1" localSheetId="0" hidden="1">{"'Break down'!$A$4"}</definedName>
    <definedName name="qe_1" localSheetId="4" hidden="1">{"'Break down'!$A$4"}</definedName>
    <definedName name="qe_1" localSheetId="3" hidden="1">{"'Break down'!$A$4"}</definedName>
    <definedName name="qe_1" localSheetId="5" hidden="1">{"'Break down'!$A$4"}</definedName>
    <definedName name="qe_1" hidden="1">{"'Break down'!$A$4"}</definedName>
    <definedName name="qe_2" localSheetId="2" hidden="1">{"'Break down'!$A$4"}</definedName>
    <definedName name="qe_2" localSheetId="1" hidden="1">{"'Break down'!$A$4"}</definedName>
    <definedName name="qe_2" localSheetId="0" hidden="1">{"'Break down'!$A$4"}</definedName>
    <definedName name="qe_2" localSheetId="4" hidden="1">{"'Break down'!$A$4"}</definedName>
    <definedName name="qe_2" localSheetId="3" hidden="1">{"'Break down'!$A$4"}</definedName>
    <definedName name="qe_2" localSheetId="5" hidden="1">{"'Break down'!$A$4"}</definedName>
    <definedName name="qe_2" hidden="1">{"'Break down'!$A$4"}</definedName>
    <definedName name="qqq" localSheetId="2" hidden="1">{#N/A,#N/A,TRUE,"Cover";#N/A,#N/A,TRUE,"Conts";#N/A,#N/A,TRUE,"VOS";#N/A,#N/A,TRUE,"Warrington";#N/A,#N/A,TRUE,"Widnes"}</definedName>
    <definedName name="qqq" localSheetId="1" hidden="1">{#N/A,#N/A,TRUE,"Cover";#N/A,#N/A,TRUE,"Conts";#N/A,#N/A,TRUE,"VOS";#N/A,#N/A,TRUE,"Warrington";#N/A,#N/A,TRUE,"Widnes"}</definedName>
    <definedName name="qqq" localSheetId="0" hidden="1">{#N/A,#N/A,TRUE,"Cover";#N/A,#N/A,TRUE,"Conts";#N/A,#N/A,TRUE,"VOS";#N/A,#N/A,TRUE,"Warrington";#N/A,#N/A,TRUE,"Widnes"}</definedName>
    <definedName name="qqq" localSheetId="4" hidden="1">{#N/A,#N/A,TRUE,"Cover";#N/A,#N/A,TRUE,"Conts";#N/A,#N/A,TRUE,"VOS";#N/A,#N/A,TRUE,"Warrington";#N/A,#N/A,TRUE,"Widnes"}</definedName>
    <definedName name="qqq" localSheetId="3" hidden="1">{#N/A,#N/A,TRUE,"Cover";#N/A,#N/A,TRUE,"Conts";#N/A,#N/A,TRUE,"VOS";#N/A,#N/A,TRUE,"Warrington";#N/A,#N/A,TRUE,"Widnes"}</definedName>
    <definedName name="qqq" localSheetId="5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R." localSheetId="5">#REF!</definedName>
    <definedName name="QR.">#REF!</definedName>
    <definedName name="QTY" localSheetId="2">IF('A10 Design + Subs fee'!UOM='A10 Design + Subs fee'!BASE,#REF!,IF('A10 Design + Subs fee'!UOM=1,#REF!*VLOOKUP(#REF!,'A10 Design + Subs fee'!Conv,5),#REF!/VLOOKUP(#REF!,'A10 Design + Subs fee'!Conv,5)))</definedName>
    <definedName name="QTY" localSheetId="1">IF('A9 Design + Subs fee '!UOM='A9 Design + Subs fee '!BASE,#REF!,IF('A9 Design + Subs fee '!UOM=1,#REF!*VLOOKUP(#REF!,'A9 Design + Subs fee '!Conv,5),#REF!/VLOOKUP(#REF!,'A9 Design + Subs fee '!Conv,5)))</definedName>
    <definedName name="QTY" localSheetId="0">IF('FEE RECON RAIHAN'!UOM='FEE RECON RAIHAN'!BASE,#REF!,IF('FEE RECON RAIHAN'!UOM=1,#REF!*VLOOKUP(#REF!,'FEE RECON RAIHAN'!Conv,5),#REF!/VLOOKUP(#REF!,'FEE RECON RAIHAN'!Conv,5)))</definedName>
    <definedName name="QTY" localSheetId="4">IF('Mastersheet-Projects'!UOM='Mastersheet-Projects'!BASE,#REF!,IF('Mastersheet-Projects'!UOM=1,#REF!*VLOOKUP(#REF!,'Mastersheet-Projects'!Conv,5),#REF!/VLOOKUP(#REF!,'Mastersheet-Projects'!Conv,5)))</definedName>
    <definedName name="QTY" localSheetId="3">IF('Mastersheet-Resources'!UOM='Mastersheet-Resources'!BASE,#REF!,IF('Mastersheet-Resources'!UOM=1,#REF!*VLOOKUP(#REF!,'Mastersheet-Resources'!Conv,5),#REF!/VLOOKUP(#REF!,'Mastersheet-Resources'!Conv,5)))</definedName>
    <definedName name="QTY" localSheetId="5">IF('Tender List'!UOM='Tender List'!BASE,#REF!,IF('Tender List'!UOM=1,#REF!*VLOOKUP(#REF!,'Tender List'!Conv,5),#REF!/VLOOKUP(#REF!,'Tender List'!Conv,5)))</definedName>
    <definedName name="QTY">IF(UOM=BASE,#REF!,IF(UOM=1,#REF!*VLOOKUP(#REF!,Conv,5),#REF!/VLOOKUP(#REF!,Conv,5)))</definedName>
    <definedName name="Qty." localSheetId="2">#REF!</definedName>
    <definedName name="Qty." localSheetId="1">#REF!</definedName>
    <definedName name="Qty." localSheetId="0">#REF!</definedName>
    <definedName name="Qty." localSheetId="4">#REF!</definedName>
    <definedName name="Qty." localSheetId="3">#REF!</definedName>
    <definedName name="Qty." localSheetId="5">#REF!</definedName>
    <definedName name="Qty.">#REF!</definedName>
    <definedName name="Qty_Cntl_Valves" localSheetId="2">ROUND(IF(VLOOKUP(#REF!,'A10 Design + Subs fee'!CNTL_VALVE_PRICE,9,FALSE)=0,0,VLOOKUP(#REF!,'A10 Design + Subs fee'!CNTL_VALVE_PRICE,9,FALSE)),0)</definedName>
    <definedName name="Qty_Cntl_Valves" localSheetId="1">ROUND(IF(VLOOKUP(#REF!,'A9 Design + Subs fee '!CNTL_VALVE_PRICE,9,FALSE)=0,0,VLOOKUP(#REF!,'A9 Design + Subs fee '!CNTL_VALVE_PRICE,9,FALSE)),0)</definedName>
    <definedName name="Qty_Cntl_Valves" localSheetId="0">ROUND(IF(VLOOKUP(#REF!,'FEE RECON RAIHAN'!CNTL_VALVE_PRICE,9,FALSE)=0,0,VLOOKUP(#REF!,'FEE RECON RAIHAN'!CNTL_VALVE_PRICE,9,FALSE)),0)</definedName>
    <definedName name="Qty_Cntl_Valves" localSheetId="4">ROUND(IF(VLOOKUP(#REF!,'Mastersheet-Projects'!CNTL_VALVE_PRICE,9,FALSE)=0,0,VLOOKUP(#REF!,'Mastersheet-Projects'!CNTL_VALVE_PRICE,9,FALSE)),0)</definedName>
    <definedName name="Qty_Cntl_Valves" localSheetId="3">ROUND(IF(VLOOKUP(#REF!,'Mastersheet-Resources'!CNTL_VALVE_PRICE,9,FALSE)=0,0,VLOOKUP(#REF!,'Mastersheet-Resources'!CNTL_VALVE_PRICE,9,FALSE)),0)</definedName>
    <definedName name="Qty_Cntl_Valves" localSheetId="5">ROUND(IF(VLOOKUP(#REF!,'Tender List'!CNTL_VALVE_PRICE,9,FALSE)=0,0,VLOOKUP(#REF!,'Tender List'!CNTL_VALVE_PRICE,9,FALSE)),0)</definedName>
    <definedName name="Qty_Cntl_Valves">ROUND(IF(VLOOKUP(#REF!,CNTL_VALVE_PRICE,9,FALSE)=0,0,VLOOKUP(#REF!,CNTL_VALVE_PRICE,9,FALSE)),0)</definedName>
    <definedName name="QTY_DISC_MV" localSheetId="2">#REF!</definedName>
    <definedName name="QTY_DISC_MV" localSheetId="1">#REF!</definedName>
    <definedName name="QTY_DISC_MV" localSheetId="0">#REF!</definedName>
    <definedName name="QTY_DISC_MV" localSheetId="4">#REF!</definedName>
    <definedName name="QTY_DISC_MV" localSheetId="3">#REF!</definedName>
    <definedName name="QTY_DISC_MV" localSheetId="5">#REF!</definedName>
    <definedName name="QTY_DISC_MV">#REF!</definedName>
    <definedName name="qty_plaster" localSheetId="4">#REF!</definedName>
    <definedName name="qty_plaster" localSheetId="3">#REF!</definedName>
    <definedName name="qty_plaster" localSheetId="5">#REF!</definedName>
    <definedName name="qty_plaster">#REF!</definedName>
    <definedName name="qty_plasterstop" localSheetId="4">#REF!</definedName>
    <definedName name="qty_plasterstop" localSheetId="3">#REF!</definedName>
    <definedName name="qty_plasterstop" localSheetId="5">#REF!</definedName>
    <definedName name="qty_plasterstop">#REF!</definedName>
    <definedName name="QUANTITY" localSheetId="4">#REF!,#REF!,#REF!,#REF!,#REF!,#REF!,#REF!</definedName>
    <definedName name="QUANTITY" localSheetId="3">#REF!,#REF!,#REF!,#REF!,#REF!,#REF!,#REF!</definedName>
    <definedName name="QUANTITY" localSheetId="5">#REF!,#REF!,#REF!,#REF!,#REF!,#REF!,#REF!</definedName>
    <definedName name="QUANTITY">#REF!,#REF!,#REF!,#REF!,#REF!,#REF!,#REF!</definedName>
    <definedName name="Quotation" localSheetId="4">#REF!</definedName>
    <definedName name="Quotation" localSheetId="3">#REF!</definedName>
    <definedName name="Quotation" localSheetId="5">#REF!</definedName>
    <definedName name="Quotation">#REF!</definedName>
    <definedName name="qwdsqw" localSheetId="4" hidden="1">#REF!</definedName>
    <definedName name="qwdsqw" localSheetId="3" hidden="1">#REF!</definedName>
    <definedName name="qwdsqw" localSheetId="5" hidden="1">#REF!</definedName>
    <definedName name="qwdsqw" hidden="1">#REF!</definedName>
    <definedName name="R_DATA" localSheetId="2">#REF!</definedName>
    <definedName name="R_DATA" localSheetId="1">#REF!</definedName>
    <definedName name="R_DATA" localSheetId="0">#REF!</definedName>
    <definedName name="R_DATA" localSheetId="4">#REF!</definedName>
    <definedName name="R_DATA" localSheetId="3">#REF!</definedName>
    <definedName name="R_DATA" localSheetId="5">#REF!</definedName>
    <definedName name="R_DATA">#REF!</definedName>
    <definedName name="RA" localSheetId="2">#REF!</definedName>
    <definedName name="RA" localSheetId="1">#REF!</definedName>
    <definedName name="RA" localSheetId="0">#REF!</definedName>
    <definedName name="RA" localSheetId="4">#REF!</definedName>
    <definedName name="RA" localSheetId="3">#REF!</definedName>
    <definedName name="RA" localSheetId="5">#REF!</definedName>
    <definedName name="RA">#REF!</definedName>
    <definedName name="raft" localSheetId="2">#REF!</definedName>
    <definedName name="raft" localSheetId="1">#REF!</definedName>
    <definedName name="raft" localSheetId="0">#REF!</definedName>
    <definedName name="raft" localSheetId="4">#REF!</definedName>
    <definedName name="raft" localSheetId="3">#REF!</definedName>
    <definedName name="raft" localSheetId="5">#REF!</definedName>
    <definedName name="raft">#REF!</definedName>
    <definedName name="raftrevision" localSheetId="2">#REF!</definedName>
    <definedName name="raftrevision" localSheetId="1">#REF!</definedName>
    <definedName name="raftrevision" localSheetId="0">#REF!</definedName>
    <definedName name="raftrevision" localSheetId="4">#REF!</definedName>
    <definedName name="raftrevision" localSheetId="3">#REF!</definedName>
    <definedName name="raftrevision" localSheetId="5">#REF!</definedName>
    <definedName name="raftrevision">#REF!</definedName>
    <definedName name="raftsoffitr" localSheetId="2">#REF!</definedName>
    <definedName name="raftsoffitr" localSheetId="1">#REF!</definedName>
    <definedName name="raftsoffitr" localSheetId="0">#REF!</definedName>
    <definedName name="raftsoffitr" localSheetId="4">#REF!</definedName>
    <definedName name="raftsoffitr" localSheetId="3">#REF!</definedName>
    <definedName name="raftsoffitr" localSheetId="5">#REF!</definedName>
    <definedName name="raftsoffitr">#REF!</definedName>
    <definedName name="rafy" localSheetId="2" hidden="1">#REF!</definedName>
    <definedName name="rafy" localSheetId="1" hidden="1">#REF!</definedName>
    <definedName name="rafy" localSheetId="0" hidden="1">#REF!</definedName>
    <definedName name="rafy" localSheetId="4" hidden="1">#REF!</definedName>
    <definedName name="rafy" localSheetId="3" hidden="1">#REF!</definedName>
    <definedName name="rafy" localSheetId="5" hidden="1">#REF!</definedName>
    <definedName name="rafy" hidden="1">#REF!</definedName>
    <definedName name="Rain_drain" localSheetId="4">#REF!</definedName>
    <definedName name="Rain_drain" localSheetId="3">#REF!</definedName>
    <definedName name="Rain_drain" localSheetId="5">#REF!</definedName>
    <definedName name="Rain_drain">#REF!</definedName>
    <definedName name="raj" localSheetId="2">#REF!</definedName>
    <definedName name="raj" localSheetId="1">#REF!</definedName>
    <definedName name="raj" localSheetId="0">#REF!</definedName>
    <definedName name="raj" localSheetId="4">#REF!</definedName>
    <definedName name="raj" localSheetId="3">#REF!</definedName>
    <definedName name="raj" localSheetId="5">#REF!</definedName>
    <definedName name="raj">#REF!</definedName>
    <definedName name="RAJESH" localSheetId="2">#REF!</definedName>
    <definedName name="RAJESH" localSheetId="1">#REF!</definedName>
    <definedName name="RAJESH" localSheetId="0">#REF!</definedName>
    <definedName name="RAJESH" localSheetId="4">#REF!</definedName>
    <definedName name="RAJESH" localSheetId="3">#REF!</definedName>
    <definedName name="RAJESH" localSheetId="5">#REF!</definedName>
    <definedName name="RAJESH">#REF!</definedName>
    <definedName name="RANGE" localSheetId="2">#REF!</definedName>
    <definedName name="RANGE" localSheetId="1">#REF!</definedName>
    <definedName name="RANGE" localSheetId="0">#REF!</definedName>
    <definedName name="RANGE" localSheetId="4">#REF!</definedName>
    <definedName name="RANGE" localSheetId="3">#REF!</definedName>
    <definedName name="RANGE" localSheetId="5">#REF!</definedName>
    <definedName name="RANGE">#REF!</definedName>
    <definedName name="range1" localSheetId="2">#REF!</definedName>
    <definedName name="range1" localSheetId="1">#REF!</definedName>
    <definedName name="range1" localSheetId="0">#REF!</definedName>
    <definedName name="range1" localSheetId="4">#REF!</definedName>
    <definedName name="range1" localSheetId="3">#REF!</definedName>
    <definedName name="range1" localSheetId="5">#REF!</definedName>
    <definedName name="range1">#REF!</definedName>
    <definedName name="RAPS" localSheetId="0">#REF!</definedName>
    <definedName name="RAPS" localSheetId="4">#REF!</definedName>
    <definedName name="RAPS" localSheetId="3">#REF!</definedName>
    <definedName name="RAPS" localSheetId="5">#REF!</definedName>
    <definedName name="RAPS">#REF!</definedName>
    <definedName name="Rate" localSheetId="2">#REF!</definedName>
    <definedName name="Rate" localSheetId="1">#REF!</definedName>
    <definedName name="rate" localSheetId="0">#REF!</definedName>
    <definedName name="rate" localSheetId="4">#REF!</definedName>
    <definedName name="rate" localSheetId="3">#REF!</definedName>
    <definedName name="rate" localSheetId="5">#REF!</definedName>
    <definedName name="rate">#REF!</definedName>
    <definedName name="RateLookup" localSheetId="2">#REF!</definedName>
    <definedName name="RateLookup" localSheetId="1">#REF!</definedName>
    <definedName name="RateLookup" localSheetId="0">#REF!</definedName>
    <definedName name="RateLookup" localSheetId="4">#REF!</definedName>
    <definedName name="RateLookup" localSheetId="3">#REF!</definedName>
    <definedName name="RateLookup" localSheetId="5">#REF!</definedName>
    <definedName name="RateLookup">#REF!</definedName>
    <definedName name="Rates" localSheetId="0">#REF!</definedName>
    <definedName name="Rates" localSheetId="4">#REF!</definedName>
    <definedName name="Rates" localSheetId="3">#REF!</definedName>
    <definedName name="RATES" localSheetId="5">#REF!</definedName>
    <definedName name="RATES">#REF!</definedName>
    <definedName name="Rates1" localSheetId="4">#REF!</definedName>
    <definedName name="Rates1" localSheetId="3">#REF!</definedName>
    <definedName name="Rates1" localSheetId="5">#REF!</definedName>
    <definedName name="Rates1">#REF!</definedName>
    <definedName name="RATIO" localSheetId="2">#REF!</definedName>
    <definedName name="RATIO" localSheetId="1">#REF!</definedName>
    <definedName name="RATIO" localSheetId="0">#REF!</definedName>
    <definedName name="RATIO" localSheetId="4">#REF!</definedName>
    <definedName name="RATIO" localSheetId="3">#REF!</definedName>
    <definedName name="RATIO" localSheetId="5">#REF!</definedName>
    <definedName name="RATIO">#REF!</definedName>
    <definedName name="RBUSchedule" localSheetId="4">#REF!</definedName>
    <definedName name="RBUSchedule" localSheetId="3">#REF!</definedName>
    <definedName name="RBUSchedule" localSheetId="5">#REF!</definedName>
    <definedName name="RBUSchedule">#REF!</definedName>
    <definedName name="Rc_Costs" localSheetId="2">#REF!</definedName>
    <definedName name="Rc_Costs" localSheetId="1">#REF!</definedName>
    <definedName name="Rc_Costs" localSheetId="0">#REF!</definedName>
    <definedName name="Rc_Costs" localSheetId="4">#REF!</definedName>
    <definedName name="Rc_Costs" localSheetId="3">#REF!</definedName>
    <definedName name="Rc_Costs" localSheetId="5">#REF!</definedName>
    <definedName name="Rc_Costs">#REF!</definedName>
    <definedName name="RC_Mhrs" localSheetId="2">#REF!</definedName>
    <definedName name="RC_Mhrs" localSheetId="1">#REF!</definedName>
    <definedName name="RC_Mhrs" localSheetId="0">#REF!</definedName>
    <definedName name="RC_Mhrs" localSheetId="4">#REF!</definedName>
    <definedName name="RC_Mhrs" localSheetId="3">#REF!</definedName>
    <definedName name="RC_Mhrs" localSheetId="5">#REF!</definedName>
    <definedName name="RC_Mhrs">#REF!</definedName>
    <definedName name="RCArea" localSheetId="2" hidden="1">#REF!</definedName>
    <definedName name="RCArea" localSheetId="1" hidden="1">#REF!</definedName>
    <definedName name="RCArea" localSheetId="0" hidden="1">#REF!</definedName>
    <definedName name="RCArea" localSheetId="4" hidden="1">#REF!</definedName>
    <definedName name="RCArea" localSheetId="3" hidden="1">#REF!</definedName>
    <definedName name="RCArea" localSheetId="5" hidden="1">#REF!</definedName>
    <definedName name="RCArea" hidden="1">#REF!</definedName>
    <definedName name="RCD" localSheetId="0">#REF!</definedName>
    <definedName name="RCD" localSheetId="4">#REF!</definedName>
    <definedName name="RCD" localSheetId="3">#REF!</definedName>
    <definedName name="RCD" localSheetId="5">#REF!</definedName>
    <definedName name="RCD">#REF!</definedName>
    <definedName name="rClient" localSheetId="4">#REF!</definedName>
    <definedName name="rClient" localSheetId="3">#REF!</definedName>
    <definedName name="rClient" localSheetId="5">#REF!</definedName>
    <definedName name="rClient">#REF!</definedName>
    <definedName name="RCS" localSheetId="4">#REF!</definedName>
    <definedName name="RCS" localSheetId="3">#REF!</definedName>
    <definedName name="RCS" localSheetId="5">#REF!</definedName>
    <definedName name="RCS">#REF!</definedName>
    <definedName name="rDate" localSheetId="4">#REF!</definedName>
    <definedName name="rDate" localSheetId="3">#REF!</definedName>
    <definedName name="rDate" localSheetId="5">#REF!</definedName>
    <definedName name="rDate">#REF!</definedName>
    <definedName name="rDesc" localSheetId="4">#REF!</definedName>
    <definedName name="rDesc" localSheetId="3">#REF!</definedName>
    <definedName name="rDesc" localSheetId="5">#REF!</definedName>
    <definedName name="rDesc">#REF!</definedName>
    <definedName name="RE_SIZE" localSheetId="2">#REF!</definedName>
    <definedName name="RE_SIZE" localSheetId="1">#REF!</definedName>
    <definedName name="RE_SIZE" localSheetId="0">#REF!</definedName>
    <definedName name="RE_SIZE" localSheetId="4">#REF!</definedName>
    <definedName name="RE_SIZE" localSheetId="3">#REF!</definedName>
    <definedName name="RE_SIZE" localSheetId="5">#REF!</definedName>
    <definedName name="RE_SIZE">#REF!</definedName>
    <definedName name="REBAR" localSheetId="4">#REF!</definedName>
    <definedName name="REBAR" localSheetId="3">#REF!</definedName>
    <definedName name="REBAR" localSheetId="5">#REF!</definedName>
    <definedName name="REBAR">#REF!</definedName>
    <definedName name="RebarQty" localSheetId="2">IF('A10 Design + Subs fee'!BASE=1,(#REF!*#REF!)/2000,(#REF!*#REF!)/1685.552931)</definedName>
    <definedName name="RebarQty" localSheetId="1">IF('A9 Design + Subs fee '!BASE=1,(#REF!*#REF!)/2000,(#REF!*#REF!)/1685.552931)</definedName>
    <definedName name="RebarQty" localSheetId="0">IF('FEE RECON RAIHAN'!BASE=1,(#REF!*#REF!)/2000,(#REF!*#REF!)/1685.552931)</definedName>
    <definedName name="RebarQty" localSheetId="4">IF('Mastersheet-Projects'!BASE=1,(#REF!*#REF!)/2000,(#REF!*#REF!)/1685.552931)</definedName>
    <definedName name="RebarQty" localSheetId="3">IF('Mastersheet-Resources'!BASE=1,(#REF!*#REF!)/2000,(#REF!*#REF!)/1685.552931)</definedName>
    <definedName name="RebarQty" localSheetId="5">IF('Tender List'!BASE=1,(#REF!*#REF!)/2000,(#REF!*#REF!)/1685.552931)</definedName>
    <definedName name="RebarQty">IF(BASE=1,(#REF!*#REF!)/2000,(#REF!*#REF!)/1685.552931)</definedName>
    <definedName name="RebarQty1">#N/A</definedName>
    <definedName name="RECEPT" localSheetId="2">#REF!</definedName>
    <definedName name="RECEPT" localSheetId="1">#REF!</definedName>
    <definedName name="RECEPT" localSheetId="0">#REF!</definedName>
    <definedName name="RECEPT" localSheetId="4">#REF!</definedName>
    <definedName name="RECEPT" localSheetId="3">#REF!</definedName>
    <definedName name="RECEPT" localSheetId="5">#REF!</definedName>
    <definedName name="RECEPT">#REF!</definedName>
    <definedName name="RECON" localSheetId="2">#REF!</definedName>
    <definedName name="RECON" localSheetId="1">#REF!</definedName>
    <definedName name="RECON" localSheetId="0">#REF!</definedName>
    <definedName name="RECON" localSheetId="4">#REF!</definedName>
    <definedName name="RECON" localSheetId="3">#REF!</definedName>
    <definedName name="RECON" localSheetId="5">#REF!</definedName>
    <definedName name="RECON">#REF!</definedName>
    <definedName name="RED" localSheetId="2">#REF!</definedName>
    <definedName name="RED" localSheetId="1">#REF!</definedName>
    <definedName name="RED" localSheetId="0">#REF!</definedName>
    <definedName name="RED" localSheetId="4">#REF!</definedName>
    <definedName name="RED" localSheetId="3">#REF!</definedName>
    <definedName name="RED" localSheetId="5">#REF!</definedName>
    <definedName name="RED">#REF!</definedName>
    <definedName name="RefMWeGross" localSheetId="2">#REF!</definedName>
    <definedName name="RefMWeGross" localSheetId="1">#REF!</definedName>
    <definedName name="RefMWeGross" localSheetId="0">#REF!</definedName>
    <definedName name="RefMWeGross" localSheetId="4">#REF!</definedName>
    <definedName name="RefMWeGross" localSheetId="3">#REF!</definedName>
    <definedName name="RefMWeGross" localSheetId="5">#REF!</definedName>
    <definedName name="RefMWeGross">#REF!</definedName>
    <definedName name="RefPlant" localSheetId="2">#REF!</definedName>
    <definedName name="RefPlant" localSheetId="1">#REF!</definedName>
    <definedName name="RefPlant" localSheetId="0">#REF!</definedName>
    <definedName name="RefPlant" localSheetId="4">#REF!</definedName>
    <definedName name="RefPlant" localSheetId="3">#REF!</definedName>
    <definedName name="RefPlant" localSheetId="5">#REF!</definedName>
    <definedName name="RefPlant">#REF!</definedName>
    <definedName name="RefPlantBasis" localSheetId="2">#REF!</definedName>
    <definedName name="RefPlantBasis" localSheetId="1">#REF!</definedName>
    <definedName name="RefPlantBasis" localSheetId="0">#REF!</definedName>
    <definedName name="RefPlantBasis" localSheetId="4">#REF!</definedName>
    <definedName name="RefPlantBasis" localSheetId="3">#REF!</definedName>
    <definedName name="RefPlantBasis" localSheetId="5">#REF!</definedName>
    <definedName name="RefPlantBasis">#REF!</definedName>
    <definedName name="RefPlantDate" localSheetId="2">#REF!</definedName>
    <definedName name="RefPlantDate" localSheetId="1">#REF!</definedName>
    <definedName name="RefPlantDate" localSheetId="0">#REF!</definedName>
    <definedName name="RefPlantDate" localSheetId="4">#REF!</definedName>
    <definedName name="RefPlantDate" localSheetId="3">#REF!</definedName>
    <definedName name="RefPlantDate" localSheetId="5">#REF!</definedName>
    <definedName name="RefPlantDate">#REF!</definedName>
    <definedName name="RefPlantPPH" localSheetId="2">#REF!</definedName>
    <definedName name="RefPlantPPH" localSheetId="1">#REF!</definedName>
    <definedName name="RefPlantPPH" localSheetId="0">#REF!</definedName>
    <definedName name="RefPlantPPH" localSheetId="4">#REF!</definedName>
    <definedName name="RefPlantPPH" localSheetId="3">#REF!</definedName>
    <definedName name="RefPlantPPH" localSheetId="5">#REF!</definedName>
    <definedName name="RefPlantPPH">#REF!</definedName>
    <definedName name="region" localSheetId="2">#REF!</definedName>
    <definedName name="region" localSheetId="1">#REF!</definedName>
    <definedName name="region" localSheetId="0">#REF!</definedName>
    <definedName name="region" localSheetId="4">#REF!</definedName>
    <definedName name="region" localSheetId="3">#REF!</definedName>
    <definedName name="region" localSheetId="5">#REF!</definedName>
    <definedName name="region">#REF!</definedName>
    <definedName name="reimb" localSheetId="2">#REF!</definedName>
    <definedName name="reimb" localSheetId="1">#REF!</definedName>
    <definedName name="reimb" localSheetId="0">#REF!</definedName>
    <definedName name="reimb" localSheetId="4">#REF!</definedName>
    <definedName name="reimb" localSheetId="3">#REF!</definedName>
    <definedName name="reimb" localSheetId="5">#REF!</definedName>
    <definedName name="reimb">#REF!</definedName>
    <definedName name="Reinforcement" localSheetId="2">#REF!</definedName>
    <definedName name="Reinforcement" localSheetId="1">#REF!</definedName>
    <definedName name="Reinforcement" localSheetId="0">#REF!</definedName>
    <definedName name="Reinforcement" localSheetId="4">#REF!</definedName>
    <definedName name="Reinforcement" localSheetId="3">#REF!</definedName>
    <definedName name="Reinforcement" localSheetId="5">#REF!</definedName>
    <definedName name="Reinforcement">#REF!</definedName>
    <definedName name="REJECTED" localSheetId="2">#REF!</definedName>
    <definedName name="REJECTED" localSheetId="1">#REF!</definedName>
    <definedName name="REJECTED" localSheetId="0">#REF!</definedName>
    <definedName name="REJECTED" localSheetId="4">#REF!</definedName>
    <definedName name="REJECTED" localSheetId="3">#REF!</definedName>
    <definedName name="REJECTED" localSheetId="5">#REF!</definedName>
    <definedName name="REJECTED">#REF!</definedName>
    <definedName name="Relocation_Allowance" localSheetId="4">#REF!</definedName>
    <definedName name="Relocation_Allowance" localSheetId="3">#REF!</definedName>
    <definedName name="Relocation_Allowance" localSheetId="5">#REF!</definedName>
    <definedName name="Relocation_Allowance">#REF!</definedName>
    <definedName name="report" localSheetId="2">#REF!</definedName>
    <definedName name="report" localSheetId="1">#REF!</definedName>
    <definedName name="report" localSheetId="0">#REF!</definedName>
    <definedName name="report" localSheetId="4">#REF!</definedName>
    <definedName name="report" localSheetId="3">#REF!</definedName>
    <definedName name="report" localSheetId="5">#REF!</definedName>
    <definedName name="report">#REF!</definedName>
    <definedName name="Report_Ends" localSheetId="4">#REF!</definedName>
    <definedName name="Report_Ends" localSheetId="3">#REF!</definedName>
    <definedName name="Report_Ends" localSheetId="5">#REF!</definedName>
    <definedName name="Report_Ends">#REF!</definedName>
    <definedName name="requiredRangeForFilters" localSheetId="4">#REF!</definedName>
    <definedName name="requiredRangeForFilters" localSheetId="3">#REF!</definedName>
    <definedName name="requiredRangeForFilters" localSheetId="5">#REF!</definedName>
    <definedName name="requiredRangeForFilters">#REF!</definedName>
    <definedName name="RES" localSheetId="4">#REF!</definedName>
    <definedName name="RES" localSheetId="3">#REF!</definedName>
    <definedName name="RES" localSheetId="5">#REF!</definedName>
    <definedName name="RES">#REF!</definedName>
    <definedName name="ResourceAllocation" localSheetId="4">#REF!</definedName>
    <definedName name="ResourceAllocation" localSheetId="3">#REF!</definedName>
    <definedName name="ResourceAllocation" localSheetId="5">#REF!</definedName>
    <definedName name="ResourceAllocation">#REF!</definedName>
    <definedName name="ResourceAllocationID" localSheetId="4">#REF!</definedName>
    <definedName name="ResourceAllocationID" localSheetId="3">#REF!</definedName>
    <definedName name="ResourceAllocationID" localSheetId="5">#REF!</definedName>
    <definedName name="ResourceAllocationID">#REF!</definedName>
    <definedName name="ResourceFinishDate" localSheetId="0">#REF!</definedName>
    <definedName name="ResourceFinishDate" localSheetId="4">#REF!</definedName>
    <definedName name="ResourceFinishDate" localSheetId="3">#REF!</definedName>
    <definedName name="ResourceFinishDate" localSheetId="5">#REF!</definedName>
    <definedName name="ResourceFinishDate">#REF!</definedName>
    <definedName name="ResourceIndex" localSheetId="4">#REF!</definedName>
    <definedName name="ResourceIndex" localSheetId="3">#REF!</definedName>
    <definedName name="ResourceIndex" localSheetId="5">#REF!</definedName>
    <definedName name="ResourceIndex">#REF!</definedName>
    <definedName name="ResourceStartDate" localSheetId="0">#REF!</definedName>
    <definedName name="ResourceStartDate" localSheetId="4">#REF!</definedName>
    <definedName name="ResourceStartDate" localSheetId="3">#REF!</definedName>
    <definedName name="ResourceStartDate" localSheetId="5">#REF!</definedName>
    <definedName name="ResourceStartDate">#REF!</definedName>
    <definedName name="rEstimator" localSheetId="4">#REF!</definedName>
    <definedName name="rEstimator" localSheetId="3">#REF!</definedName>
    <definedName name="rEstimator" localSheetId="5">#REF!</definedName>
    <definedName name="rEstimator">#REF!</definedName>
    <definedName name="results" localSheetId="2">#REF!</definedName>
    <definedName name="results" localSheetId="1">#REF!</definedName>
    <definedName name="results" localSheetId="0">#REF!</definedName>
    <definedName name="results" localSheetId="4">#REF!</definedName>
    <definedName name="results" localSheetId="3">#REF!</definedName>
    <definedName name="results" localSheetId="5">#REF!</definedName>
    <definedName name="results">#REF!</definedName>
    <definedName name="return" localSheetId="2">#REF!</definedName>
    <definedName name="return" localSheetId="1">#REF!</definedName>
    <definedName name="return" localSheetId="0">#REF!</definedName>
    <definedName name="return" localSheetId="4">#REF!</definedName>
    <definedName name="return" localSheetId="3">#REF!</definedName>
    <definedName name="return" localSheetId="5">#REF!</definedName>
    <definedName name="return">#REF!</definedName>
    <definedName name="REV" localSheetId="2">#REF!</definedName>
    <definedName name="REV" localSheetId="1">#REF!</definedName>
    <definedName name="REV" localSheetId="0">#REF!</definedName>
    <definedName name="REV" localSheetId="4">#REF!</definedName>
    <definedName name="REV" localSheetId="3">#REF!</definedName>
    <definedName name="REV" localSheetId="5">#REF!</definedName>
    <definedName name="REV">#REF!</definedName>
    <definedName name="Rev_No" localSheetId="2">#REF!</definedName>
    <definedName name="Rev_No" localSheetId="1">#REF!</definedName>
    <definedName name="Rev_No" localSheetId="0">#REF!</definedName>
    <definedName name="Rev_No" localSheetId="4">#REF!</definedName>
    <definedName name="Rev_No" localSheetId="3">#REF!</definedName>
    <definedName name="Rev_No" localSheetId="5">#REF!</definedName>
    <definedName name="Rev_No">#REF!</definedName>
    <definedName name="RevDate" localSheetId="2">#REF!</definedName>
    <definedName name="RevDate" localSheetId="1">#REF!</definedName>
    <definedName name="RevDate" localSheetId="0">#REF!</definedName>
    <definedName name="RevDate" localSheetId="4">#REF!</definedName>
    <definedName name="RevDate" localSheetId="3">#REF!</definedName>
    <definedName name="RevDate" localSheetId="5">#REF!</definedName>
    <definedName name="RevDate">#REF!</definedName>
    <definedName name="RFCList" localSheetId="4">#REF!</definedName>
    <definedName name="RFCList" localSheetId="3">#REF!</definedName>
    <definedName name="RFCList" localSheetId="5">#REF!</definedName>
    <definedName name="RFCList">#REF!</definedName>
    <definedName name="RID" localSheetId="4">#REF!</definedName>
    <definedName name="RID" localSheetId="3">#REF!</definedName>
    <definedName name="RID" localSheetId="5">#REF!</definedName>
    <definedName name="RID">#REF!</definedName>
    <definedName name="RiskAfterRecalcMacro">"FailureLoop"</definedName>
    <definedName name="RiskAfterSimMacro" hidden="1">""</definedName>
    <definedName name="RiskAutoStopPercChange">1.5</definedName>
    <definedName name="RiskBeforeRecalcMacro" hidden="1">""</definedName>
    <definedName name="RiskBeforeSimMacro">"Initialise_Model"</definedName>
    <definedName name="RiskCollectDistributionSamples">2</definedName>
    <definedName name="RiskCorrelationSheet" localSheetId="5">#REF!</definedName>
    <definedName name="RiskCorrelationSheet">#REF!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2000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L" localSheetId="5">#REF!</definedName>
    <definedName name="RL">#REF!</definedName>
    <definedName name="rLocation" localSheetId="4">#REF!</definedName>
    <definedName name="rLocation" localSheetId="3">#REF!</definedName>
    <definedName name="rLocation" localSheetId="5">#REF!</definedName>
    <definedName name="rLocation">#REF!</definedName>
    <definedName name="RLPS" localSheetId="4">#REF!</definedName>
    <definedName name="RLPS" localSheetId="3">#REF!</definedName>
    <definedName name="RLPS" localSheetId="5">#REF!</definedName>
    <definedName name="RLPS">#REF!</definedName>
    <definedName name="rmpa15" localSheetId="4">#REF!</definedName>
    <definedName name="rmpa15" localSheetId="3">#REF!</definedName>
    <definedName name="rmpa15" localSheetId="5">#REF!</definedName>
    <definedName name="rmpa15">#REF!</definedName>
    <definedName name="rmpa3" localSheetId="2">#REF!</definedName>
    <definedName name="rmpa3" localSheetId="1">#REF!</definedName>
    <definedName name="rmpa3" localSheetId="0">#REF!</definedName>
    <definedName name="rmpa3" localSheetId="4">#REF!</definedName>
    <definedName name="rmpa3" localSheetId="3">#REF!</definedName>
    <definedName name="rmpa3" localSheetId="5">#REF!</definedName>
    <definedName name="rmpa3">#REF!</definedName>
    <definedName name="RMPA30" localSheetId="4">#REF!</definedName>
    <definedName name="RMPA30" localSheetId="3">#REF!</definedName>
    <definedName name="RMPA30" localSheetId="5">#REF!</definedName>
    <definedName name="RMPA30">#REF!</definedName>
    <definedName name="ROADS" localSheetId="2">#REF!</definedName>
    <definedName name="ROADS" localSheetId="1">#REF!</definedName>
    <definedName name="ROADS" localSheetId="0">#REF!</definedName>
    <definedName name="ROADS" localSheetId="4">#REF!</definedName>
    <definedName name="ROADS" localSheetId="3">#REF!</definedName>
    <definedName name="ROADS" localSheetId="5">#REF!</definedName>
    <definedName name="ROADS">#REF!</definedName>
    <definedName name="ROADWAY_FIXT" localSheetId="2">#REF!</definedName>
    <definedName name="ROADWAY_FIXT" localSheetId="1">#REF!</definedName>
    <definedName name="ROADWAY_FIXT" localSheetId="0">#REF!</definedName>
    <definedName name="ROADWAY_FIXT" localSheetId="4">#REF!</definedName>
    <definedName name="ROADWAY_FIXT" localSheetId="3">#REF!</definedName>
    <definedName name="ROADWAY_FIXT" localSheetId="5">#REF!</definedName>
    <definedName name="ROADWAY_FIXT">#REF!</definedName>
    <definedName name="roc" localSheetId="4">#REF!</definedName>
    <definedName name="roc" localSheetId="3">#REF!</definedName>
    <definedName name="roc" localSheetId="5">#REF!</definedName>
    <definedName name="roc">#REF!</definedName>
    <definedName name="rock" localSheetId="4">#REF!</definedName>
    <definedName name="rock" localSheetId="3">#REF!</definedName>
    <definedName name="rock" localSheetId="5">#REF!</definedName>
    <definedName name="rock">#REF!</definedName>
    <definedName name="Roof" localSheetId="2">#REF!</definedName>
    <definedName name="Roof" localSheetId="1">#REF!</definedName>
    <definedName name="Roof" localSheetId="0">#REF!</definedName>
    <definedName name="Roof" localSheetId="4">#REF!</definedName>
    <definedName name="Roof" localSheetId="3">#REF!</definedName>
    <definedName name="Roof" localSheetId="5">#REF!</definedName>
    <definedName name="Roof">#REF!</definedName>
    <definedName name="RoundUpSOR" localSheetId="4">#REF!</definedName>
    <definedName name="RoundUpSOR" localSheetId="3">#REF!</definedName>
    <definedName name="RoundUpSOR" localSheetId="5">#REF!</definedName>
    <definedName name="RoundUpSOR">#REF!</definedName>
    <definedName name="RoundUpSORPosition" localSheetId="4">#REF!</definedName>
    <definedName name="RoundUpSORPosition" localSheetId="3">#REF!</definedName>
    <definedName name="RoundUpSORPosition" localSheetId="5">#REF!</definedName>
    <definedName name="RoundUpSORPosition">#REF!</definedName>
    <definedName name="rProjectNo" localSheetId="4">#REF!</definedName>
    <definedName name="rProjectNo" localSheetId="3">#REF!</definedName>
    <definedName name="rProjectNo" localSheetId="5">#REF!</definedName>
    <definedName name="rProjectNo">#REF!</definedName>
    <definedName name="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 localSheetId="2" hidden="1">{#N/A,#N/A,TRUE,"Cover";#N/A,#N/A,TRUE,"Conts";#N/A,#N/A,TRUE,"VOS";#N/A,#N/A,TRUE,"Warrington";#N/A,#N/A,TRUE,"Widnes"}</definedName>
    <definedName name="rrr" localSheetId="1" hidden="1">{#N/A,#N/A,TRUE,"Cover";#N/A,#N/A,TRUE,"Conts";#N/A,#N/A,TRUE,"VOS";#N/A,#N/A,TRUE,"Warrington";#N/A,#N/A,TRUE,"Widnes"}</definedName>
    <definedName name="rrr" localSheetId="0" hidden="1">{#N/A,#N/A,TRUE,"Cover";#N/A,#N/A,TRUE,"Conts";#N/A,#N/A,TRUE,"VOS";#N/A,#N/A,TRUE,"Warrington";#N/A,#N/A,TRUE,"Widnes"}</definedName>
    <definedName name="rrr" localSheetId="4" hidden="1">{#N/A,#N/A,TRUE,"Cover";#N/A,#N/A,TRUE,"Conts";#N/A,#N/A,TRUE,"VOS";#N/A,#N/A,TRUE,"Warrington";#N/A,#N/A,TRUE,"Widnes"}</definedName>
    <definedName name="rrr" localSheetId="3" hidden="1">{#N/A,#N/A,TRUE,"Cover";#N/A,#N/A,TRUE,"Conts";#N/A,#N/A,TRUE,"VOS";#N/A,#N/A,TRUE,"Warrington";#N/A,#N/A,TRUE,"Widnes"}</definedName>
    <definedName name="rrr" localSheetId="5" hidden="1">{#N/A,#N/A,TRUE,"Cover";#N/A,#N/A,TRUE,"Conts";#N/A,#N/A,TRUE,"VOS";#N/A,#N/A,TRUE,"Warrington";#N/A,#N/A,TRUE,"Widnes"}</definedName>
    <definedName name="rrr" hidden="1">{#N/A,#N/A,TRUE,"Cover";#N/A,#N/A,TRUE,"Conts";#N/A,#N/A,TRUE,"VOS";#N/A,#N/A,TRUE,"Warrington";#N/A,#N/A,TRUE,"Widnes"}</definedName>
    <definedName name="rrrr" localSheetId="2" hidden="1">{#N/A,#N/A,TRUE,"Cover";#N/A,#N/A,TRUE,"Conts";#N/A,#N/A,TRUE,"VOS";#N/A,#N/A,TRUE,"Warrington";#N/A,#N/A,TRUE,"Widnes"}</definedName>
    <definedName name="rrrr" localSheetId="1" hidden="1">{#N/A,#N/A,TRUE,"Cover";#N/A,#N/A,TRUE,"Conts";#N/A,#N/A,TRUE,"VOS";#N/A,#N/A,TRUE,"Warrington";#N/A,#N/A,TRUE,"Widnes"}</definedName>
    <definedName name="rrrr" localSheetId="0" hidden="1">{#N/A,#N/A,TRUE,"Cover";#N/A,#N/A,TRUE,"Conts";#N/A,#N/A,TRUE,"VOS";#N/A,#N/A,TRUE,"Warrington";#N/A,#N/A,TRUE,"Widnes"}</definedName>
    <definedName name="rrrr" localSheetId="4" hidden="1">{#N/A,#N/A,TRUE,"Cover";#N/A,#N/A,TRUE,"Conts";#N/A,#N/A,TRUE,"VOS";#N/A,#N/A,TRUE,"Warrington";#N/A,#N/A,TRUE,"Widnes"}</definedName>
    <definedName name="rrrr" localSheetId="3" hidden="1">{#N/A,#N/A,TRUE,"Cover";#N/A,#N/A,TRUE,"Conts";#N/A,#N/A,TRUE,"VOS";#N/A,#N/A,TRUE,"Warrington";#N/A,#N/A,TRUE,"Widnes"}</definedName>
    <definedName name="rrrr" localSheetId="5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rr" localSheetId="2" hidden="1">{#N/A,#N/A,TRUE,"Cover";#N/A,#N/A,TRUE,"Conts";#N/A,#N/A,TRUE,"VOS";#N/A,#N/A,TRUE,"Warrington";#N/A,#N/A,TRUE,"Widnes"}</definedName>
    <definedName name="rrrrrrr" localSheetId="1" hidden="1">{#N/A,#N/A,TRUE,"Cover";#N/A,#N/A,TRUE,"Conts";#N/A,#N/A,TRUE,"VOS";#N/A,#N/A,TRUE,"Warrington";#N/A,#N/A,TRUE,"Widnes"}</definedName>
    <definedName name="rrrrrrr" localSheetId="0" hidden="1">{#N/A,#N/A,TRUE,"Cover";#N/A,#N/A,TRUE,"Conts";#N/A,#N/A,TRUE,"VOS";#N/A,#N/A,TRUE,"Warrington";#N/A,#N/A,TRUE,"Widnes"}</definedName>
    <definedName name="rrrrrrr" localSheetId="4" hidden="1">{#N/A,#N/A,TRUE,"Cover";#N/A,#N/A,TRUE,"Conts";#N/A,#N/A,TRUE,"VOS";#N/A,#N/A,TRUE,"Warrington";#N/A,#N/A,TRUE,"Widnes"}</definedName>
    <definedName name="rrrrrrr" localSheetId="3" hidden="1">{#N/A,#N/A,TRUE,"Cover";#N/A,#N/A,TRUE,"Conts";#N/A,#N/A,TRUE,"VOS";#N/A,#N/A,TRUE,"Warrington";#N/A,#N/A,TRUE,"Widnes"}</definedName>
    <definedName name="rrrrrrr" localSheetId="5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tyr" localSheetId="2" hidden="1">#REF!</definedName>
    <definedName name="rrtyr" localSheetId="1" hidden="1">#REF!</definedName>
    <definedName name="rrtyr" localSheetId="0" hidden="1">#REF!</definedName>
    <definedName name="rrtyr" localSheetId="4" hidden="1">#REF!</definedName>
    <definedName name="rrtyr" localSheetId="3" hidden="1">#REF!</definedName>
    <definedName name="rrtyr" localSheetId="5" hidden="1">#REF!</definedName>
    <definedName name="rrtyr" hidden="1">#REF!</definedName>
    <definedName name="Rs" localSheetId="4">#REF!</definedName>
    <definedName name="Rs" localSheetId="3">#REF!</definedName>
    <definedName name="Rs" localSheetId="5">#REF!</definedName>
    <definedName name="Rs">#REF!</definedName>
    <definedName name="rt" localSheetId="2" hidden="1">{#N/A,#N/A,TRUE,"Cover";#N/A,#N/A,TRUE,"Conts";#N/A,#N/A,TRUE,"VOS";#N/A,#N/A,TRUE,"Warrington";#N/A,#N/A,TRUE,"Widnes"}</definedName>
    <definedName name="rt" localSheetId="1" hidden="1">{#N/A,#N/A,TRUE,"Cover";#N/A,#N/A,TRUE,"Conts";#N/A,#N/A,TRUE,"VOS";#N/A,#N/A,TRUE,"Warrington";#N/A,#N/A,TRUE,"Widnes"}</definedName>
    <definedName name="rt" localSheetId="0" hidden="1">{#N/A,#N/A,TRUE,"Cover";#N/A,#N/A,TRUE,"Conts";#N/A,#N/A,TRUE,"VOS";#N/A,#N/A,TRUE,"Warrington";#N/A,#N/A,TRUE,"Widnes"}</definedName>
    <definedName name="rt" localSheetId="4" hidden="1">{#N/A,#N/A,TRUE,"Cover";#N/A,#N/A,TRUE,"Conts";#N/A,#N/A,TRUE,"VOS";#N/A,#N/A,TRUE,"Warrington";#N/A,#N/A,TRUE,"Widnes"}</definedName>
    <definedName name="rt" localSheetId="3" hidden="1">{#N/A,#N/A,TRUE,"Cover";#N/A,#N/A,TRUE,"Conts";#N/A,#N/A,TRUE,"VOS";#N/A,#N/A,TRUE,"Warrington";#N/A,#N/A,TRUE,"Widnes"}</definedName>
    <definedName name="rt" localSheetId="5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r" localSheetId="2" hidden="1">{"'Break down'!$A$4"}</definedName>
    <definedName name="rtr" localSheetId="1" hidden="1">{"'Break down'!$A$4"}</definedName>
    <definedName name="rtr" localSheetId="0" hidden="1">{"'Break down'!$A$4"}</definedName>
    <definedName name="rtr" localSheetId="4" hidden="1">{"'Break down'!$A$4"}</definedName>
    <definedName name="rtr" localSheetId="3" hidden="1">{"'Break down'!$A$4"}</definedName>
    <definedName name="rtr" localSheetId="5" hidden="1">{"'Break down'!$A$4"}</definedName>
    <definedName name="rtr" hidden="1">{"'Break down'!$A$4"}</definedName>
    <definedName name="rtr_1" localSheetId="2" hidden="1">{"'Break down'!$A$4"}</definedName>
    <definedName name="rtr_1" localSheetId="1" hidden="1">{"'Break down'!$A$4"}</definedName>
    <definedName name="rtr_1" localSheetId="0" hidden="1">{"'Break down'!$A$4"}</definedName>
    <definedName name="rtr_1" localSheetId="4" hidden="1">{"'Break down'!$A$4"}</definedName>
    <definedName name="rtr_1" localSheetId="3" hidden="1">{"'Break down'!$A$4"}</definedName>
    <definedName name="rtr_1" localSheetId="5" hidden="1">{"'Break down'!$A$4"}</definedName>
    <definedName name="rtr_1" hidden="1">{"'Break down'!$A$4"}</definedName>
    <definedName name="rtr_2" localSheetId="2" hidden="1">{"'Break down'!$A$4"}</definedName>
    <definedName name="rtr_2" localSheetId="1" hidden="1">{"'Break down'!$A$4"}</definedName>
    <definedName name="rtr_2" localSheetId="0" hidden="1">{"'Break down'!$A$4"}</definedName>
    <definedName name="rtr_2" localSheetId="4" hidden="1">{"'Break down'!$A$4"}</definedName>
    <definedName name="rtr_2" localSheetId="3" hidden="1">{"'Break down'!$A$4"}</definedName>
    <definedName name="rtr_2" localSheetId="5" hidden="1">{"'Break down'!$A$4"}</definedName>
    <definedName name="rtr_2" hidden="1">{"'Break down'!$A$4"}</definedName>
    <definedName name="RUT" localSheetId="4">#REF!</definedName>
    <definedName name="RUT" localSheetId="3">#REF!</definedName>
    <definedName name="RUT" localSheetId="5">#REF!</definedName>
    <definedName name="RUT">#REF!</definedName>
    <definedName name="rWorkWeek" localSheetId="4">#REF!</definedName>
    <definedName name="rWorkWeek" localSheetId="3">#REF!</definedName>
    <definedName name="rWorkWeek" localSheetId="5">#REF!</definedName>
    <definedName name="rWorkWeek">#REF!</definedName>
    <definedName name="s" localSheetId="2">#REF!</definedName>
    <definedName name="s" localSheetId="1">#REF!</definedName>
    <definedName name="S" localSheetId="0">#REF!</definedName>
    <definedName name="S" localSheetId="4">#REF!</definedName>
    <definedName name="S" localSheetId="3">#REF!</definedName>
    <definedName name="s" localSheetId="5">#REF!</definedName>
    <definedName name="s">#REF!</definedName>
    <definedName name="s_curve" localSheetId="4">#REF!</definedName>
    <definedName name="s_curve" localSheetId="3">#REF!</definedName>
    <definedName name="s_curve" localSheetId="5">#REF!</definedName>
    <definedName name="s_curve">#REF!</definedName>
    <definedName name="S_F" localSheetId="2">#REF!</definedName>
    <definedName name="S_F" localSheetId="1">#REF!</definedName>
    <definedName name="S_F" localSheetId="0">#REF!</definedName>
    <definedName name="S_F" localSheetId="4">#REF!</definedName>
    <definedName name="S_F" localSheetId="3">#REF!</definedName>
    <definedName name="S_F" localSheetId="5">#REF!</definedName>
    <definedName name="S_F">#REF!</definedName>
    <definedName name="saeed" localSheetId="2">#REF!</definedName>
    <definedName name="saeed" localSheetId="1">#REF!</definedName>
    <definedName name="saeed" localSheetId="0">#REF!</definedName>
    <definedName name="saeed" localSheetId="4">#REF!</definedName>
    <definedName name="saeed" localSheetId="3">#REF!</definedName>
    <definedName name="saeed" localSheetId="5">#REF!</definedName>
    <definedName name="saeed">#REF!</definedName>
    <definedName name="sal" localSheetId="2">#REF!</definedName>
    <definedName name="sal" localSheetId="1">#REF!</definedName>
    <definedName name="sal" localSheetId="0">#REF!</definedName>
    <definedName name="sal" localSheetId="4">#REF!</definedName>
    <definedName name="sal" localSheetId="3">#REF!</definedName>
    <definedName name="sal" localSheetId="5">#REF!</definedName>
    <definedName name="sal">#REF!</definedName>
    <definedName name="SAN" localSheetId="0">#REF!</definedName>
    <definedName name="SAN" localSheetId="4">#REF!</definedName>
    <definedName name="SAN" localSheetId="3">#REF!</definedName>
    <definedName name="SAN" localSheetId="5">#REF!</definedName>
    <definedName name="SAN">#REF!</definedName>
    <definedName name="sand" localSheetId="4">#REF!</definedName>
    <definedName name="sand" localSheetId="3">#REF!</definedName>
    <definedName name="sand" localSheetId="5">#REF!</definedName>
    <definedName name="sand">#REF!</definedName>
    <definedName name="SANITARY" localSheetId="2">#REF!</definedName>
    <definedName name="SANITARY" localSheetId="1">#REF!</definedName>
    <definedName name="SANITARY" localSheetId="0">#REF!</definedName>
    <definedName name="SANITARY" localSheetId="4">#REF!</definedName>
    <definedName name="SANITARY" localSheetId="3">#REF!</definedName>
    <definedName name="SANITARY" localSheetId="5">#REF!</definedName>
    <definedName name="SANITARY">#REF!</definedName>
    <definedName name="Sanitary_fixtures" localSheetId="4">#REF!</definedName>
    <definedName name="Sanitary_fixtures" localSheetId="3">#REF!</definedName>
    <definedName name="Sanitary_fixtures" localSheetId="5">#REF!</definedName>
    <definedName name="Sanitary_fixtures">#REF!</definedName>
    <definedName name="sawcut" localSheetId="4">#REF!</definedName>
    <definedName name="sawcut" localSheetId="3">#REF!</definedName>
    <definedName name="sawcut" localSheetId="5">#REF!</definedName>
    <definedName name="sawcut">#REF!</definedName>
    <definedName name="SBG_OPERATION___MAINTENANCE_DIVISION" localSheetId="0">#REF!</definedName>
    <definedName name="SBG_OPERATION___MAINTENANCE_DIVISION" localSheetId="4">#REF!</definedName>
    <definedName name="SBG_OPERATION___MAINTENANCE_DIVISION" localSheetId="3">#REF!</definedName>
    <definedName name="SBG_OPERATION___MAINTENANCE_DIVISION" localSheetId="5">#REF!</definedName>
    <definedName name="SBG_OPERATION___MAINTENANCE_DIVISION">#REF!</definedName>
    <definedName name="sc" localSheetId="2" hidden="1">{"'Break down'!$A$4"}</definedName>
    <definedName name="sc" localSheetId="1" hidden="1">{"'Break down'!$A$4"}</definedName>
    <definedName name="sc" localSheetId="0">#REF!</definedName>
    <definedName name="sc" localSheetId="4">#REF!</definedName>
    <definedName name="sc" localSheetId="3">#REF!</definedName>
    <definedName name="sc" localSheetId="5">#REF!</definedName>
    <definedName name="sc">#REF!</definedName>
    <definedName name="sc_1" localSheetId="2" hidden="1">{"'Break down'!$A$4"}</definedName>
    <definedName name="sc_1" localSheetId="1" hidden="1">{"'Break down'!$A$4"}</definedName>
    <definedName name="sc_1" localSheetId="0" hidden="1">{"'Break down'!$A$4"}</definedName>
    <definedName name="sc_1" localSheetId="4" hidden="1">{"'Break down'!$A$4"}</definedName>
    <definedName name="sc_1" localSheetId="3" hidden="1">{"'Break down'!$A$4"}</definedName>
    <definedName name="sc_1" localSheetId="5" hidden="1">{"'Break down'!$A$4"}</definedName>
    <definedName name="sc_1" hidden="1">{"'Break down'!$A$4"}</definedName>
    <definedName name="sc_2" localSheetId="2" hidden="1">{"'Break down'!$A$4"}</definedName>
    <definedName name="sc_2" localSheetId="1" hidden="1">{"'Break down'!$A$4"}</definedName>
    <definedName name="sc_2" localSheetId="0" hidden="1">{"'Break down'!$A$4"}</definedName>
    <definedName name="sc_2" localSheetId="4" hidden="1">{"'Break down'!$A$4"}</definedName>
    <definedName name="sc_2" localSheetId="3" hidden="1">{"'Break down'!$A$4"}</definedName>
    <definedName name="sc_2" localSheetId="5" hidden="1">{"'Break down'!$A$4"}</definedName>
    <definedName name="sc_2" hidden="1">{"'Break down'!$A$4"}</definedName>
    <definedName name="SC_MAT_EQUIP" localSheetId="5">#REF!</definedName>
    <definedName name="SC_MAT_EQUIP">#REF!</definedName>
    <definedName name="SC02Finish" localSheetId="4">#REF!</definedName>
    <definedName name="SC02Finish" localSheetId="3">#REF!</definedName>
    <definedName name="SC02Finish" localSheetId="5">#REF!</definedName>
    <definedName name="SC02Finish">#REF!</definedName>
    <definedName name="SC02Start" localSheetId="4">#REF!</definedName>
    <definedName name="SC02Start" localSheetId="3">#REF!</definedName>
    <definedName name="SC02Start" localSheetId="5">#REF!</definedName>
    <definedName name="SC02Start">#REF!</definedName>
    <definedName name="Scaffolding" localSheetId="2" hidden="1">{"'Break down'!$A$4"}</definedName>
    <definedName name="Scaffolding" localSheetId="1" hidden="1">{"'Break down'!$A$4"}</definedName>
    <definedName name="Scaffolding" localSheetId="0" hidden="1">{"'Break down'!$A$4"}</definedName>
    <definedName name="Scaffolding" localSheetId="4" hidden="1">{"'Break down'!$A$4"}</definedName>
    <definedName name="Scaffolding" localSheetId="3" hidden="1">{"'Break down'!$A$4"}</definedName>
    <definedName name="Scaffolding" localSheetId="5" hidden="1">{"'Break down'!$A$4"}</definedName>
    <definedName name="Scaffolding" hidden="1">{"'Break down'!$A$4"}</definedName>
    <definedName name="Scaffolding_1" localSheetId="2" hidden="1">{"'Break down'!$A$4"}</definedName>
    <definedName name="Scaffolding_1" localSheetId="1" hidden="1">{"'Break down'!$A$4"}</definedName>
    <definedName name="Scaffolding_1" localSheetId="0" hidden="1">{"'Break down'!$A$4"}</definedName>
    <definedName name="Scaffolding_1" localSheetId="4" hidden="1">{"'Break down'!$A$4"}</definedName>
    <definedName name="Scaffolding_1" localSheetId="3" hidden="1">{"'Break down'!$A$4"}</definedName>
    <definedName name="Scaffolding_1" localSheetId="5" hidden="1">{"'Break down'!$A$4"}</definedName>
    <definedName name="Scaffolding_1" hidden="1">{"'Break down'!$A$4"}</definedName>
    <definedName name="Scaffolding_2" localSheetId="2" hidden="1">{"'Break down'!$A$4"}</definedName>
    <definedName name="Scaffolding_2" localSheetId="1" hidden="1">{"'Break down'!$A$4"}</definedName>
    <definedName name="Scaffolding_2" localSheetId="0" hidden="1">{"'Break down'!$A$4"}</definedName>
    <definedName name="Scaffolding_2" localSheetId="4" hidden="1">{"'Break down'!$A$4"}</definedName>
    <definedName name="Scaffolding_2" localSheetId="3" hidden="1">{"'Break down'!$A$4"}</definedName>
    <definedName name="Scaffolding_2" localSheetId="5" hidden="1">{"'Break down'!$A$4"}</definedName>
    <definedName name="Scaffolding_2" hidden="1">{"'Break down'!$A$4"}</definedName>
    <definedName name="SCAFFOLDPR" localSheetId="4">#REF!</definedName>
    <definedName name="SCAFFOLDPR" localSheetId="3">#REF!</definedName>
    <definedName name="SCAFFOLDPR" localSheetId="5">#REF!</definedName>
    <definedName name="SCAFFOLDPR">#REF!</definedName>
    <definedName name="SCAFFOLDRATE" localSheetId="4">#REF!</definedName>
    <definedName name="SCAFFOLDRATE" localSheetId="3">#REF!</definedName>
    <definedName name="SCAFFOLDRATE" localSheetId="5">#REF!</definedName>
    <definedName name="SCAFFOLDRATE">#REF!</definedName>
    <definedName name="SCAFOLD35PR" localSheetId="4">#REF!</definedName>
    <definedName name="SCAFOLD35PR" localSheetId="3">#REF!</definedName>
    <definedName name="SCAFOLD35PR" localSheetId="5">#REF!</definedName>
    <definedName name="SCAFOLD35PR">#REF!</definedName>
    <definedName name="SCAFOLD35RATE" localSheetId="4">#REF!</definedName>
    <definedName name="SCAFOLD35RATE" localSheetId="3">#REF!</definedName>
    <definedName name="SCAFOLD35RATE" localSheetId="5">#REF!</definedName>
    <definedName name="SCAFOLD35RATE">#REF!</definedName>
    <definedName name="SCAFOLD45PR" localSheetId="4">#REF!</definedName>
    <definedName name="SCAFOLD45PR" localSheetId="3">#REF!</definedName>
    <definedName name="SCAFOLD45PR" localSheetId="5">#REF!</definedName>
    <definedName name="SCAFOLD45PR">#REF!</definedName>
    <definedName name="SCAFOLD45RATE" localSheetId="4">#REF!</definedName>
    <definedName name="SCAFOLD45RATE" localSheetId="3">#REF!</definedName>
    <definedName name="SCAFOLD45RATE" localSheetId="5">#REF!</definedName>
    <definedName name="SCAFOLD45RATE">#REF!</definedName>
    <definedName name="SCAFOLD55PR" localSheetId="4">#REF!</definedName>
    <definedName name="SCAFOLD55PR" localSheetId="3">#REF!</definedName>
    <definedName name="SCAFOLD55PR" localSheetId="5">#REF!</definedName>
    <definedName name="SCAFOLD55PR">#REF!</definedName>
    <definedName name="SCAFOLD55RATE" localSheetId="4">#REF!</definedName>
    <definedName name="SCAFOLD55RATE" localSheetId="3">#REF!</definedName>
    <definedName name="SCAFOLD55RATE" localSheetId="5">#REF!</definedName>
    <definedName name="SCAFOLD55RATE">#REF!</definedName>
    <definedName name="SCALE_UP" localSheetId="4">#REF!</definedName>
    <definedName name="SCALE_UP" localSheetId="3">#REF!</definedName>
    <definedName name="SCALE_UP" localSheetId="5">#REF!</definedName>
    <definedName name="SCALE_UP">#REF!</definedName>
    <definedName name="scarce" localSheetId="2" hidden="1">{#N/A,#N/A,FALSE,"Summary";#N/A,#N/A,FALSE,"3TJ";#N/A,#N/A,FALSE,"3TN";#N/A,#N/A,FALSE,"3TP";#N/A,#N/A,FALSE,"3SJ";#N/A,#N/A,FALSE,"3CJ";#N/A,#N/A,FALSE,"3CN";#N/A,#N/A,FALSE,"3CP";#N/A,#N/A,FALSE,"3A"}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localSheetId="4" hidden="1">{#N/A,#N/A,FALSE,"Summary";#N/A,#N/A,FALSE,"3TJ";#N/A,#N/A,FALSE,"3TN";#N/A,#N/A,FALSE,"3TP";#N/A,#N/A,FALSE,"3SJ";#N/A,#N/A,FALSE,"3CJ";#N/A,#N/A,FALSE,"3CN";#N/A,#N/A,FALSE,"3CP";#N/A,#N/A,FALSE,"3A"}</definedName>
    <definedName name="scarce" localSheetId="3" hidden="1">{#N/A,#N/A,FALSE,"Summary";#N/A,#N/A,FALSE,"3TJ";#N/A,#N/A,FALSE,"3TN";#N/A,#N/A,FALSE,"3TP";#N/A,#N/A,FALSE,"3SJ";#N/A,#N/A,FALSE,"3CJ";#N/A,#N/A,FALSE,"3CN";#N/A,#N/A,FALSE,"3CP";#N/A,#N/A,FALSE,"3A"}</definedName>
    <definedName name="scarce" localSheetId="5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_Pay" localSheetId="2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3">#REF!</definedName>
    <definedName name="Sched_Pay" localSheetId="5">#REF!</definedName>
    <definedName name="Sched_Pay">#REF!</definedName>
    <definedName name="SCHEDA" localSheetId="2">#REF!</definedName>
    <definedName name="SCHEDA" localSheetId="1">#REF!</definedName>
    <definedName name="SCHEDA" localSheetId="0">#REF!</definedName>
    <definedName name="SCHEDA" localSheetId="4">#REF!</definedName>
    <definedName name="SCHEDA" localSheetId="3">#REF!</definedName>
    <definedName name="SCHEDA" localSheetId="5">#REF!</definedName>
    <definedName name="SCHEDA">#REF!</definedName>
    <definedName name="ScheduleA" localSheetId="2">#REF!</definedName>
    <definedName name="ScheduleA" localSheetId="1">#REF!</definedName>
    <definedName name="ScheduleA" localSheetId="0">#REF!</definedName>
    <definedName name="ScheduleA" localSheetId="4">#REF!</definedName>
    <definedName name="ScheduleA" localSheetId="3">#REF!</definedName>
    <definedName name="ScheduleA" localSheetId="5">#REF!</definedName>
    <definedName name="ScheduleA">#REF!</definedName>
    <definedName name="ScheduleC" localSheetId="2">#REF!</definedName>
    <definedName name="ScheduleC" localSheetId="1">#REF!</definedName>
    <definedName name="ScheduleC" localSheetId="0">#REF!</definedName>
    <definedName name="ScheduleC" localSheetId="4">#REF!</definedName>
    <definedName name="ScheduleC" localSheetId="3">#REF!</definedName>
    <definedName name="ScheduleC" localSheetId="5">#REF!</definedName>
    <definedName name="ScheduleC">#REF!</definedName>
    <definedName name="Scheduled_Extra_Payments" localSheetId="2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 localSheetId="3">#REF!</definedName>
    <definedName name="Scheduled_Extra_Payments" localSheetId="5">#REF!</definedName>
    <definedName name="Scheduled_Extra_Payments">#REF!</definedName>
    <definedName name="Scheduled_Interest_Rate" localSheetId="2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 localSheetId="3">#REF!</definedName>
    <definedName name="Scheduled_Interest_Rate" localSheetId="5">#REF!</definedName>
    <definedName name="Scheduled_Interest_Rate">#REF!</definedName>
    <definedName name="Scheduled_Monthly_Payment" localSheetId="2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 localSheetId="3">#REF!</definedName>
    <definedName name="Scheduled_Monthly_Payment" localSheetId="5">#REF!</definedName>
    <definedName name="Scheduled_Monthly_Payment">#REF!</definedName>
    <definedName name="ScheduleE" localSheetId="2">#REF!</definedName>
    <definedName name="ScheduleE" localSheetId="1">#REF!</definedName>
    <definedName name="ScheduleE" localSheetId="0">#REF!</definedName>
    <definedName name="ScheduleE" localSheetId="4">#REF!</definedName>
    <definedName name="ScheduleE" localSheetId="3">#REF!</definedName>
    <definedName name="ScheduleE" localSheetId="5">#REF!</definedName>
    <definedName name="ScheduleE">#REF!</definedName>
    <definedName name="ScheduleF" localSheetId="2">#REF!</definedName>
    <definedName name="ScheduleF" localSheetId="1">#REF!</definedName>
    <definedName name="ScheduleF" localSheetId="0">#REF!</definedName>
    <definedName name="ScheduleF" localSheetId="4">#REF!</definedName>
    <definedName name="ScheduleF" localSheetId="3">#REF!</definedName>
    <definedName name="ScheduleF" localSheetId="5">#REF!</definedName>
    <definedName name="ScheduleF">#REF!</definedName>
    <definedName name="ScheduleG" localSheetId="2">#REF!</definedName>
    <definedName name="ScheduleG" localSheetId="1">#REF!</definedName>
    <definedName name="ScheduleG" localSheetId="0">#REF!</definedName>
    <definedName name="ScheduleG" localSheetId="4">#REF!</definedName>
    <definedName name="ScheduleG" localSheetId="3">#REF!</definedName>
    <definedName name="ScheduleG" localSheetId="5">#REF!</definedName>
    <definedName name="ScheduleG">#REF!</definedName>
    <definedName name="Scheme1" localSheetId="4">#REF!</definedName>
    <definedName name="Scheme1" localSheetId="3">#REF!</definedName>
    <definedName name="Scheme1" localSheetId="5">#REF!</definedName>
    <definedName name="Scheme1">#REF!</definedName>
    <definedName name="Scheme2" localSheetId="4">#REF!</definedName>
    <definedName name="Scheme2" localSheetId="3">#REF!</definedName>
    <definedName name="Scheme2" localSheetId="5">#REF!</definedName>
    <definedName name="Scheme2">#REF!</definedName>
    <definedName name="SCHrs" localSheetId="2">IF(VLOOKUP(#REF!,'A10 Design + Subs fee'!TABLE,11)*#REF!*#REF!=0,0,VLOOKUP(#REF!,'A10 Design + Subs fee'!TABLE,11)*#REF!*#REF!)</definedName>
    <definedName name="SCHrs" localSheetId="1">IF(VLOOKUP(#REF!,'A9 Design + Subs fee '!TABLE,11)*#REF!*#REF!=0,0,VLOOKUP(#REF!,'A9 Design + Subs fee '!TABLE,11)*#REF!*#REF!)</definedName>
    <definedName name="SCHrs" localSheetId="0">IF(VLOOKUP(#REF!,'FEE RECON RAIHAN'!TABLE,11)*#REF!*#REF!=0,0,VLOOKUP(#REF!,'FEE RECON RAIHAN'!TABLE,11)*#REF!*#REF!)</definedName>
    <definedName name="SCHrs" localSheetId="4">IF(VLOOKUP(#REF!,'Mastersheet-Projects'!TABLE,11)*#REF!*#REF!=0,0,VLOOKUP(#REF!,'Mastersheet-Projects'!TABLE,11)*#REF!*#REF!)</definedName>
    <definedName name="SCHrs" localSheetId="3">IF(VLOOKUP(#REF!,'Mastersheet-Resources'!TABLE,11)*#REF!*#REF!=0,0,VLOOKUP(#REF!,'Mastersheet-Resources'!TABLE,11)*#REF!*#REF!)</definedName>
    <definedName name="SCHrs" localSheetId="5">IF(VLOOKUP(#REF!,'Tender List'!TABLE,11)*#REF!*#REF!=0,0,VLOOKUP(#REF!,'Tender List'!TABLE,11)*#REF!*#REF!)</definedName>
    <definedName name="SCHrs">IF(VLOOKUP(#REF!,#REF!,11)*#REF!*#REF!=0,0,VLOOKUP(#REF!,#REF!,11)*#REF!*#REF!)</definedName>
    <definedName name="SCHrs1" localSheetId="2">IF(VLOOKUP(#REF!,'A10 Design + Subs fee'!TABLE,11)*#REF!*#REF!=0,0,VLOOKUP(#REF!,'A10 Design + Subs fee'!TABLE,11)*#REF!*#REF!)</definedName>
    <definedName name="SCHrs1" localSheetId="1">IF(VLOOKUP(#REF!,'A9 Design + Subs fee '!TABLE,11)*#REF!*#REF!=0,0,VLOOKUP(#REF!,'A9 Design + Subs fee '!TABLE,11)*#REF!*#REF!)</definedName>
    <definedName name="SCHrs1" localSheetId="0">IF(VLOOKUP(#REF!,'FEE RECON RAIHAN'!TABLE,11)*#REF!*#REF!=0,0,VLOOKUP(#REF!,'FEE RECON RAIHAN'!TABLE,11)*#REF!*#REF!)</definedName>
    <definedName name="SCHrs1" localSheetId="4">IF(VLOOKUP(#REF!,'Mastersheet-Projects'!TABLE,11)*#REF!*#REF!=0,0,VLOOKUP(#REF!,'Mastersheet-Projects'!TABLE,11)*#REF!*#REF!)</definedName>
    <definedName name="SCHrs1" localSheetId="3">IF(VLOOKUP(#REF!,'Mastersheet-Resources'!TABLE,11)*#REF!*#REF!=0,0,VLOOKUP(#REF!,'Mastersheet-Resources'!TABLE,11)*#REF!*#REF!)</definedName>
    <definedName name="SCHrs1" localSheetId="5">IF(VLOOKUP(#REF!,'Tender List'!TABLE,11)*#REF!*#REF!=0,0,VLOOKUP(#REF!,'Tender List'!TABLE,11)*#REF!*#REF!)</definedName>
    <definedName name="SCHrs1">IF(VLOOKUP(#REF!,#REF!,11)*#REF!*#REF!=0,0,VLOOKUP(#REF!,#REF!,11)*#REF!*#REF!)</definedName>
    <definedName name="scol" localSheetId="2">#REF!</definedName>
    <definedName name="scol" localSheetId="1">#REF!</definedName>
    <definedName name="scol" localSheetId="0">#REF!</definedName>
    <definedName name="scol" localSheetId="4">#REF!</definedName>
    <definedName name="scol" localSheetId="3">#REF!</definedName>
    <definedName name="scol" localSheetId="5">#REF!</definedName>
    <definedName name="scol">#REF!</definedName>
    <definedName name="screed" localSheetId="4">#REF!</definedName>
    <definedName name="screed" localSheetId="3">#REF!</definedName>
    <definedName name="screed" localSheetId="5">#REF!</definedName>
    <definedName name="screed">#REF!</definedName>
    <definedName name="scx" localSheetId="2" hidden="1">{"'Break down'!$A$4"}</definedName>
    <definedName name="scx" localSheetId="1" hidden="1">{"'Break down'!$A$4"}</definedName>
    <definedName name="scx" localSheetId="0" hidden="1">{"'Break down'!$A$4"}</definedName>
    <definedName name="scx" localSheetId="4" hidden="1">{"'Break down'!$A$4"}</definedName>
    <definedName name="scx" localSheetId="3" hidden="1">{"'Break down'!$A$4"}</definedName>
    <definedName name="scx" localSheetId="5" hidden="1">{"'Break down'!$A$4"}</definedName>
    <definedName name="scx" hidden="1">{"'Break down'!$A$4"}</definedName>
    <definedName name="scx_1" localSheetId="2" hidden="1">{"'Break down'!$A$4"}</definedName>
    <definedName name="scx_1" localSheetId="1" hidden="1">{"'Break down'!$A$4"}</definedName>
    <definedName name="scx_1" localSheetId="0" hidden="1">{"'Break down'!$A$4"}</definedName>
    <definedName name="scx_1" localSheetId="4" hidden="1">{"'Break down'!$A$4"}</definedName>
    <definedName name="scx_1" localSheetId="3" hidden="1">{"'Break down'!$A$4"}</definedName>
    <definedName name="scx_1" localSheetId="5" hidden="1">{"'Break down'!$A$4"}</definedName>
    <definedName name="scx_1" hidden="1">{"'Break down'!$A$4"}</definedName>
    <definedName name="scx_2" localSheetId="2" hidden="1">{"'Break down'!$A$4"}</definedName>
    <definedName name="scx_2" localSheetId="1" hidden="1">{"'Break down'!$A$4"}</definedName>
    <definedName name="scx_2" localSheetId="0" hidden="1">{"'Break down'!$A$4"}</definedName>
    <definedName name="scx_2" localSheetId="4" hidden="1">{"'Break down'!$A$4"}</definedName>
    <definedName name="scx_2" localSheetId="3" hidden="1">{"'Break down'!$A$4"}</definedName>
    <definedName name="scx_2" localSheetId="5" hidden="1">{"'Break down'!$A$4"}</definedName>
    <definedName name="scx_2" hidden="1">{"'Break down'!$A$4"}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sd" localSheetId="2" hidden="1">{"'Break down'!$A$4"}</definedName>
    <definedName name="sddsd" localSheetId="1" hidden="1">{"'Break down'!$A$4"}</definedName>
    <definedName name="sddsd" localSheetId="0" hidden="1">{"'Break down'!$A$4"}</definedName>
    <definedName name="sddsd" localSheetId="4" hidden="1">{"'Break down'!$A$4"}</definedName>
    <definedName name="sddsd" localSheetId="3" hidden="1">{"'Break down'!$A$4"}</definedName>
    <definedName name="sddsd" localSheetId="5" hidden="1">{"'Break down'!$A$4"}</definedName>
    <definedName name="sddsd" hidden="1">{"'Break down'!$A$4"}</definedName>
    <definedName name="sddsd_1" localSheetId="2" hidden="1">{"'Break down'!$A$4"}</definedName>
    <definedName name="sddsd_1" localSheetId="1" hidden="1">{"'Break down'!$A$4"}</definedName>
    <definedName name="sddsd_1" localSheetId="0" hidden="1">{"'Break down'!$A$4"}</definedName>
    <definedName name="sddsd_1" localSheetId="4" hidden="1">{"'Break down'!$A$4"}</definedName>
    <definedName name="sddsd_1" localSheetId="3" hidden="1">{"'Break down'!$A$4"}</definedName>
    <definedName name="sddsd_1" localSheetId="5" hidden="1">{"'Break down'!$A$4"}</definedName>
    <definedName name="sddsd_1" hidden="1">{"'Break down'!$A$4"}</definedName>
    <definedName name="sddsd_2" localSheetId="2" hidden="1">{"'Break down'!$A$4"}</definedName>
    <definedName name="sddsd_2" localSheetId="1" hidden="1">{"'Break down'!$A$4"}</definedName>
    <definedName name="sddsd_2" localSheetId="0" hidden="1">{"'Break down'!$A$4"}</definedName>
    <definedName name="sddsd_2" localSheetId="4" hidden="1">{"'Break down'!$A$4"}</definedName>
    <definedName name="sddsd_2" localSheetId="3" hidden="1">{"'Break down'!$A$4"}</definedName>
    <definedName name="sddsd_2" localSheetId="5" hidden="1">{"'Break down'!$A$4"}</definedName>
    <definedName name="sddsd_2" hidden="1">{"'Break down'!$A$4"}</definedName>
    <definedName name="sdfsdfsd" localSheetId="0">#REF!</definedName>
    <definedName name="sdfsdfsd" localSheetId="4">#REF!</definedName>
    <definedName name="sdfsdfsd" localSheetId="3">#REF!</definedName>
    <definedName name="sdfsdfsd" localSheetId="5">#REF!</definedName>
    <definedName name="sdfsdfsd">#REF!</definedName>
    <definedName name="sdfsdfsdfsdfsd" localSheetId="0">#REF!</definedName>
    <definedName name="sdfsdfsdfsdfsd" localSheetId="4">#REF!</definedName>
    <definedName name="sdfsdfsdfsdfsd" localSheetId="3">#REF!</definedName>
    <definedName name="sdfsdfsdfsdfsd" localSheetId="5">#REF!</definedName>
    <definedName name="sdfsdfsdfsdfsd">#REF!</definedName>
    <definedName name="sdfsdfsdvv" localSheetId="0">#REF!</definedName>
    <definedName name="sdfsdfsdvv" localSheetId="4">#REF!</definedName>
    <definedName name="sdfsdfsdvv" localSheetId="3">#REF!</definedName>
    <definedName name="sdfsdfsdvv" localSheetId="5">#REF!</definedName>
    <definedName name="sdfsdfsdvv">#REF!</definedName>
    <definedName name="sdgdf" localSheetId="2" hidden="1">{#N/A,#N/A,FALSE,"估價單  (3)"}</definedName>
    <definedName name="sdgdf" localSheetId="1" hidden="1">{#N/A,#N/A,FALSE,"估價單  (3)"}</definedName>
    <definedName name="sdgdf" localSheetId="0" hidden="1">{#N/A,#N/A,FALSE,"估價單  (3)"}</definedName>
    <definedName name="sdgdf" localSheetId="4" hidden="1">{#N/A,#N/A,FALSE,"估價單  (3)"}</definedName>
    <definedName name="sdgdf" localSheetId="3" hidden="1">{#N/A,#N/A,FALSE,"估價單  (3)"}</definedName>
    <definedName name="sdgdf" localSheetId="5" hidden="1">{#N/A,#N/A,FALSE,"估價單  (3)"}</definedName>
    <definedName name="sdgdf" hidden="1">{#N/A,#N/A,FALSE,"估價單  (3)"}</definedName>
    <definedName name="sealant" localSheetId="5">#REF!</definedName>
    <definedName name="sealant">#REF!</definedName>
    <definedName name="sections" localSheetId="4">#REF!</definedName>
    <definedName name="sections" localSheetId="3">#REF!</definedName>
    <definedName name="sections" localSheetId="5">#REF!</definedName>
    <definedName name="sections">#REF!</definedName>
    <definedName name="SEF" localSheetId="2">#REF!</definedName>
    <definedName name="SEF" localSheetId="1">#REF!</definedName>
    <definedName name="SEF" localSheetId="0">#REF!</definedName>
    <definedName name="SEF" localSheetId="4">#REF!</definedName>
    <definedName name="SEF" localSheetId="3">#REF!</definedName>
    <definedName name="SEF" localSheetId="5">#REF!</definedName>
    <definedName name="SEF">#REF!</definedName>
    <definedName name="SEGF" localSheetId="2">#REF!</definedName>
    <definedName name="SEGF" localSheetId="1">#REF!</definedName>
    <definedName name="SEGF" localSheetId="0">#REF!</definedName>
    <definedName name="SEGF" localSheetId="4">#REF!</definedName>
    <definedName name="SEGF" localSheetId="3">#REF!</definedName>
    <definedName name="SEGF" localSheetId="5">#REF!</definedName>
    <definedName name="SEGF">#REF!</definedName>
    <definedName name="Segment1" localSheetId="4">#REF!</definedName>
    <definedName name="Segment1" localSheetId="3">#REF!</definedName>
    <definedName name="Segment1" localSheetId="5">#REF!</definedName>
    <definedName name="Segment1">#REF!</definedName>
    <definedName name="Segment2" localSheetId="4">#REF!</definedName>
    <definedName name="Segment2" localSheetId="3">#REF!</definedName>
    <definedName name="Segment2" localSheetId="5">#REF!</definedName>
    <definedName name="Segment2">#REF!</definedName>
    <definedName name="Segment3" localSheetId="4">#REF!</definedName>
    <definedName name="Segment3" localSheetId="3">#REF!</definedName>
    <definedName name="Segment3" localSheetId="5">#REF!</definedName>
    <definedName name="Segment3">#REF!</definedName>
    <definedName name="Segment4" localSheetId="4">#REF!</definedName>
    <definedName name="Segment4" localSheetId="3">#REF!</definedName>
    <definedName name="Segment4" localSheetId="5">#REF!</definedName>
    <definedName name="Segment4">#REF!</definedName>
    <definedName name="Segment5" localSheetId="4">#REF!</definedName>
    <definedName name="Segment5" localSheetId="3">#REF!</definedName>
    <definedName name="Segment5" localSheetId="5">#REF!</definedName>
    <definedName name="Segment5">#REF!</definedName>
    <definedName name="SelectedDate" localSheetId="2">#REF!</definedName>
    <definedName name="SelectedDate" localSheetId="1">#REF!</definedName>
    <definedName name="SelectedDate" localSheetId="0">#REF!</definedName>
    <definedName name="SelectedDate" localSheetId="4">#REF!</definedName>
    <definedName name="SelectedDate" localSheetId="3">#REF!</definedName>
    <definedName name="SelectedDate" localSheetId="5">#REF!</definedName>
    <definedName name="SelectedDate">#REF!</definedName>
    <definedName name="sencount" hidden="1">1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UP" localSheetId="5">#REF!</definedName>
    <definedName name="SETUP">#REF!</definedName>
    <definedName name="sfer" localSheetId="2">#REF!</definedName>
    <definedName name="sfer" localSheetId="1">#REF!</definedName>
    <definedName name="sfer" localSheetId="0">#REF!</definedName>
    <definedName name="sfer" localSheetId="4">#REF!</definedName>
    <definedName name="sfer" localSheetId="3">#REF!</definedName>
    <definedName name="sfer" localSheetId="5">#REF!</definedName>
    <definedName name="sfer">#REF!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LB" localSheetId="5">#REF!</definedName>
    <definedName name="SFLB">#REF!</definedName>
    <definedName name="sfsd" localSheetId="2">#REF!</definedName>
    <definedName name="sfsd" localSheetId="1">#REF!</definedName>
    <definedName name="sfsd" localSheetId="0">#REF!</definedName>
    <definedName name="sfsd" localSheetId="4">#REF!</definedName>
    <definedName name="sfsd" localSheetId="3">#REF!</definedName>
    <definedName name="sfsd" localSheetId="5">#REF!</definedName>
    <definedName name="sfsd">#REF!</definedName>
    <definedName name="sgagasg" localSheetId="2">#REF!</definedName>
    <definedName name="sgagasg" localSheetId="1">#REF!</definedName>
    <definedName name="sgagasg" localSheetId="0">#REF!</definedName>
    <definedName name="sgagasg" localSheetId="4">#REF!</definedName>
    <definedName name="sgagasg" localSheetId="3">#REF!</definedName>
    <definedName name="sgagasg" localSheetId="5">#REF!</definedName>
    <definedName name="sgagasg">#REF!</definedName>
    <definedName name="SHEAR" localSheetId="0">#REF!</definedName>
    <definedName name="SHEAR" localSheetId="4">#REF!</definedName>
    <definedName name="SHEAR" localSheetId="3">#REF!</definedName>
    <definedName name="SHEAR" localSheetId="5">#REF!</definedName>
    <definedName name="SHEAR">#REF!</definedName>
    <definedName name="sheet" localSheetId="2" hidden="1">{#N/A,#N/A,TRUE,"Cover";#N/A,#N/A,TRUE,"Conts";#N/A,#N/A,TRUE,"VOS";#N/A,#N/A,TRUE,"Warrington";#N/A,#N/A,TRUE,"Widnes"}</definedName>
    <definedName name="sheet" localSheetId="1" hidden="1">{#N/A,#N/A,TRUE,"Cover";#N/A,#N/A,TRUE,"Conts";#N/A,#N/A,TRUE,"VOS";#N/A,#N/A,TRUE,"Warrington";#N/A,#N/A,TRUE,"Widnes"}</definedName>
    <definedName name="Sheet" localSheetId="0">#REF!</definedName>
    <definedName name="sheet" localSheetId="4" hidden="1">{#N/A,#N/A,TRUE,"Cover";#N/A,#N/A,TRUE,"Conts";#N/A,#N/A,TRUE,"VOS";#N/A,#N/A,TRUE,"Warrington";#N/A,#N/A,TRUE,"Widnes"}</definedName>
    <definedName name="sheet" localSheetId="3" hidden="1">{#N/A,#N/A,TRUE,"Cover";#N/A,#N/A,TRUE,"Conts";#N/A,#N/A,TRUE,"VOS";#N/A,#N/A,TRUE,"Warrington";#N/A,#N/A,TRUE,"Widnes"}</definedName>
    <definedName name="sheet" localSheetId="5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OP" localSheetId="2">#REF!</definedName>
    <definedName name="SHOP" localSheetId="1">#REF!</definedName>
    <definedName name="SHOP" localSheetId="0">#REF!</definedName>
    <definedName name="SHOP" localSheetId="4">#REF!</definedName>
    <definedName name="SHOP" localSheetId="3">#REF!</definedName>
    <definedName name="SHOP" localSheetId="5">#REF!</definedName>
    <definedName name="SHOP">#REF!</definedName>
    <definedName name="SHOPFITTING" localSheetId="2">#REF!</definedName>
    <definedName name="SHOPFITTING" localSheetId="1">#REF!</definedName>
    <definedName name="SHOPFITTING" localSheetId="0">#REF!</definedName>
    <definedName name="SHOPFITTING" localSheetId="4">#REF!</definedName>
    <definedName name="SHOPFITTING" localSheetId="3">#REF!</definedName>
    <definedName name="SHOPFITTING" localSheetId="5">#REF!</definedName>
    <definedName name="SHOPFITTING">#REF!</definedName>
    <definedName name="Showroom" localSheetId="4">#REF!</definedName>
    <definedName name="Showroom" localSheetId="3">#REF!</definedName>
    <definedName name="Showroom" localSheetId="5">#REF!</definedName>
    <definedName name="Showroom">#REF!</definedName>
    <definedName name="Showroom1st" localSheetId="4">#REF!</definedName>
    <definedName name="Showroom1st" localSheetId="3">#REF!</definedName>
    <definedName name="Showroom1st" localSheetId="5">#REF!</definedName>
    <definedName name="Showroom1st">#REF!</definedName>
    <definedName name="Showroom2nd" localSheetId="4">#REF!</definedName>
    <definedName name="Showroom2nd" localSheetId="3">#REF!</definedName>
    <definedName name="Showroom2nd" localSheetId="5">#REF!</definedName>
    <definedName name="Showroom2nd">#REF!</definedName>
    <definedName name="ShowroomArea" localSheetId="4">#REF!</definedName>
    <definedName name="ShowroomArea" localSheetId="3">#REF!</definedName>
    <definedName name="ShowroomArea" localSheetId="5">#REF!</definedName>
    <definedName name="ShowroomArea">#REF!</definedName>
    <definedName name="SIGN" localSheetId="2">#REF!</definedName>
    <definedName name="SIGN" localSheetId="1">#REF!</definedName>
    <definedName name="SIGN" localSheetId="0">#REF!</definedName>
    <definedName name="SIGN" localSheetId="4">#REF!</definedName>
    <definedName name="SIGN" localSheetId="3">#REF!</definedName>
    <definedName name="SIGN" localSheetId="5">#REF!</definedName>
    <definedName name="SIGN">#REF!</definedName>
    <definedName name="SignCtrl" localSheetId="2">#REF!</definedName>
    <definedName name="SignCtrl" localSheetId="1">#REF!</definedName>
    <definedName name="SignCtrl" localSheetId="0">#REF!</definedName>
    <definedName name="SignCtrl" localSheetId="4">#REF!</definedName>
    <definedName name="SignCtrl" localSheetId="3">#REF!</definedName>
    <definedName name="SignCtrl" localSheetId="5">#REF!</definedName>
    <definedName name="SignCtrl">#REF!</definedName>
    <definedName name="sing_dollrs" localSheetId="4">#REF!</definedName>
    <definedName name="sing_dollrs" localSheetId="3">#REF!</definedName>
    <definedName name="sing_dollrs" localSheetId="5">#REF!</definedName>
    <definedName name="sing_dollrs">#REF!</definedName>
    <definedName name="Site" localSheetId="2">#REF!</definedName>
    <definedName name="Site" localSheetId="1">#REF!</definedName>
    <definedName name="Site" localSheetId="0">#REF!</definedName>
    <definedName name="Site" localSheetId="4">#REF!</definedName>
    <definedName name="Site" localSheetId="3">#REF!</definedName>
    <definedName name="Site" localSheetId="5">#REF!</definedName>
    <definedName name="Site">#REF!</definedName>
    <definedName name="SiteArea" localSheetId="2">#REF!</definedName>
    <definedName name="SiteArea" localSheetId="1">#REF!</definedName>
    <definedName name="SiteArea" localSheetId="0">#REF!</definedName>
    <definedName name="SiteArea" localSheetId="4">#REF!</definedName>
    <definedName name="SiteArea" localSheetId="3">#REF!</definedName>
    <definedName name="SiteArea" localSheetId="5">#REF!</definedName>
    <definedName name="SiteArea">#REF!</definedName>
    <definedName name="SiteexRatio" localSheetId="2">#REF!</definedName>
    <definedName name="SiteexRatio" localSheetId="1">#REF!</definedName>
    <definedName name="SiteexRatio" localSheetId="0">#REF!</definedName>
    <definedName name="SiteexRatio" localSheetId="4">#REF!</definedName>
    <definedName name="SiteexRatio" localSheetId="3">#REF!</definedName>
    <definedName name="SiteexRatio" localSheetId="5">#REF!</definedName>
    <definedName name="SiteexRatio">#REF!</definedName>
    <definedName name="SIZE" localSheetId="2">#REF!</definedName>
    <definedName name="SIZE" localSheetId="1">#REF!</definedName>
    <definedName name="SIZE" localSheetId="0">#REF!</definedName>
    <definedName name="SIZE" localSheetId="4">#REF!</definedName>
    <definedName name="SIZE" localSheetId="3">#REF!</definedName>
    <definedName name="SIZE" localSheetId="5">#REF!</definedName>
    <definedName name="SIZE">#REF!</definedName>
    <definedName name="SIZEC" localSheetId="2">#REF!</definedName>
    <definedName name="SIZEC" localSheetId="1">#REF!</definedName>
    <definedName name="SIZEC" localSheetId="0">#REF!</definedName>
    <definedName name="SIZEC" localSheetId="4">#REF!</definedName>
    <definedName name="SIZEC" localSheetId="3">#REF!</definedName>
    <definedName name="SIZEC" localSheetId="5">#REF!</definedName>
    <definedName name="SIZEC">#REF!</definedName>
    <definedName name="SKILLEDCARP" localSheetId="4">#REF!</definedName>
    <definedName name="SKILLEDCARP" localSheetId="3">#REF!</definedName>
    <definedName name="SKILLEDCARP" localSheetId="5">#REF!</definedName>
    <definedName name="SKILLEDCARP">#REF!</definedName>
    <definedName name="SKILLEDSTEEL" localSheetId="4">#REF!</definedName>
    <definedName name="SKILLEDSTEEL" localSheetId="3">#REF!</definedName>
    <definedName name="SKILLEDSTEEL" localSheetId="5">#REF!</definedName>
    <definedName name="SKILLEDSTEEL">#REF!</definedName>
    <definedName name="SKIRTLE" localSheetId="2">#REF!,#REF!,#REF!,#REF!,#REF!,#REF!,#REF!,#REF!,#REF!,#REF!</definedName>
    <definedName name="SKIRTLE" localSheetId="1">#REF!,#REF!,#REF!,#REF!,#REF!,#REF!,#REF!,#REF!,#REF!,#REF!</definedName>
    <definedName name="SKIRTLE" localSheetId="0">#REF!,#REF!,#REF!,#REF!,#REF!,#REF!,#REF!,#REF!,#REF!,#REF!</definedName>
    <definedName name="SKIRTLE" localSheetId="4">#REF!,#REF!,#REF!,#REF!,#REF!,#REF!,#REF!,#REF!,#REF!,#REF!</definedName>
    <definedName name="SKIRTLE" localSheetId="3">#REF!,#REF!,#REF!,#REF!,#REF!,#REF!,#REF!,#REF!,#REF!,#REF!</definedName>
    <definedName name="SKIRTLE" localSheetId="5">#REF!,#REF!,#REF!,#REF!,#REF!,#REF!,#REF!,#REF!,#REF!,#REF!</definedName>
    <definedName name="SKIRTLE">#REF!,#REF!,#REF!,#REF!,#REF!,#REF!,#REF!,#REF!,#REF!,#REF!</definedName>
    <definedName name="Slab" localSheetId="2">#REF!</definedName>
    <definedName name="Slab" localSheetId="1">#REF!</definedName>
    <definedName name="Slab" localSheetId="0">#REF!</definedName>
    <definedName name="Slab" localSheetId="4">#REF!</definedName>
    <definedName name="Slab" localSheetId="3">#REF!</definedName>
    <definedName name="Slab" localSheetId="5">#REF!</definedName>
    <definedName name="Slab">#REF!</definedName>
    <definedName name="Slabs" localSheetId="2">#REF!</definedName>
    <definedName name="Slabs" localSheetId="1">#REF!</definedName>
    <definedName name="Slabs" localSheetId="0">#REF!</definedName>
    <definedName name="Slabs" localSheetId="4">#REF!</definedName>
    <definedName name="Slabs" localSheetId="3">#REF!</definedName>
    <definedName name="Slabs" localSheetId="5">#REF!</definedName>
    <definedName name="Slabs">#REF!</definedName>
    <definedName name="Slope" localSheetId="4">#REF!</definedName>
    <definedName name="Slope" localSheetId="3">#REF!</definedName>
    <definedName name="Slope" localSheetId="5">#REF!</definedName>
    <definedName name="Slope">#REF!</definedName>
    <definedName name="sma" localSheetId="2" hidden="1">{"'Break down'!$A$4"}</definedName>
    <definedName name="sma" localSheetId="1" hidden="1">{"'Break down'!$A$4"}</definedName>
    <definedName name="sma" localSheetId="0" hidden="1">{"'Break down'!$A$4"}</definedName>
    <definedName name="sma" localSheetId="4" hidden="1">{"'Break down'!$A$4"}</definedName>
    <definedName name="sma" localSheetId="3" hidden="1">{"'Break down'!$A$4"}</definedName>
    <definedName name="sma" localSheetId="5" hidden="1">{"'Break down'!$A$4"}</definedName>
    <definedName name="sma" hidden="1">{"'Break down'!$A$4"}</definedName>
    <definedName name="sma_1" localSheetId="2" hidden="1">{"'Break down'!$A$4"}</definedName>
    <definedName name="sma_1" localSheetId="1" hidden="1">{"'Break down'!$A$4"}</definedName>
    <definedName name="sma_1" localSheetId="0" hidden="1">{"'Break down'!$A$4"}</definedName>
    <definedName name="sma_1" localSheetId="4" hidden="1">{"'Break down'!$A$4"}</definedName>
    <definedName name="sma_1" localSheetId="3" hidden="1">{"'Break down'!$A$4"}</definedName>
    <definedName name="sma_1" localSheetId="5" hidden="1">{"'Break down'!$A$4"}</definedName>
    <definedName name="sma_1" hidden="1">{"'Break down'!$A$4"}</definedName>
    <definedName name="sma_2" localSheetId="2" hidden="1">{"'Break down'!$A$4"}</definedName>
    <definedName name="sma_2" localSheetId="1" hidden="1">{"'Break down'!$A$4"}</definedName>
    <definedName name="sma_2" localSheetId="0" hidden="1">{"'Break down'!$A$4"}</definedName>
    <definedName name="sma_2" localSheetId="4" hidden="1">{"'Break down'!$A$4"}</definedName>
    <definedName name="sma_2" localSheetId="3" hidden="1">{"'Break down'!$A$4"}</definedName>
    <definedName name="sma_2" localSheetId="5" hidden="1">{"'Break down'!$A$4"}</definedName>
    <definedName name="sma_2" hidden="1">{"'Break down'!$A$4"}</definedName>
    <definedName name="Smart_Home_Ready" localSheetId="5">#REF!</definedName>
    <definedName name="Smart_Home_Ready">#REF!</definedName>
    <definedName name="smo" localSheetId="2" hidden="1">{"'Break down'!$A$4"}</definedName>
    <definedName name="smo" localSheetId="1" hidden="1">{"'Break down'!$A$4"}</definedName>
    <definedName name="smo" localSheetId="0" hidden="1">{"'Break down'!$A$4"}</definedName>
    <definedName name="smo" localSheetId="4" hidden="1">{"'Break down'!$A$4"}</definedName>
    <definedName name="smo" localSheetId="3" hidden="1">{"'Break down'!$A$4"}</definedName>
    <definedName name="smo" localSheetId="5" hidden="1">{"'Break down'!$A$4"}</definedName>
    <definedName name="smo" hidden="1">{"'Break down'!$A$4"}</definedName>
    <definedName name="smo_1" localSheetId="2" hidden="1">{"'Break down'!$A$4"}</definedName>
    <definedName name="smo_1" localSheetId="1" hidden="1">{"'Break down'!$A$4"}</definedName>
    <definedName name="smo_1" localSheetId="0" hidden="1">{"'Break down'!$A$4"}</definedName>
    <definedName name="smo_1" localSheetId="4" hidden="1">{"'Break down'!$A$4"}</definedName>
    <definedName name="smo_1" localSheetId="3" hidden="1">{"'Break down'!$A$4"}</definedName>
    <definedName name="smo_1" localSheetId="5" hidden="1">{"'Break down'!$A$4"}</definedName>
    <definedName name="smo_1" hidden="1">{"'Break down'!$A$4"}</definedName>
    <definedName name="smo_2" localSheetId="2" hidden="1">{"'Break down'!$A$4"}</definedName>
    <definedName name="smo_2" localSheetId="1" hidden="1">{"'Break down'!$A$4"}</definedName>
    <definedName name="smo_2" localSheetId="0" hidden="1">{"'Break down'!$A$4"}</definedName>
    <definedName name="smo_2" localSheetId="4" hidden="1">{"'Break down'!$A$4"}</definedName>
    <definedName name="smo_2" localSheetId="3" hidden="1">{"'Break down'!$A$4"}</definedName>
    <definedName name="smo_2" localSheetId="5" hidden="1">{"'Break down'!$A$4"}</definedName>
    <definedName name="smo_2" hidden="1">{"'Break down'!$A$4"}</definedName>
    <definedName name="SN_Salary" localSheetId="5">#REF!</definedName>
    <definedName name="SN_Salary">#REF!</definedName>
    <definedName name="SNM_EXPAT" localSheetId="4">#REF!</definedName>
    <definedName name="SNM_EXPAT" localSheetId="3">#REF!</definedName>
    <definedName name="SNM_EXPAT" localSheetId="5">#REF!</definedName>
    <definedName name="SNM_EXPAT">#REF!</definedName>
    <definedName name="SNM_EXPAT_HRS" localSheetId="4">#REF!</definedName>
    <definedName name="SNM_EXPAT_HRS" localSheetId="3">#REF!</definedName>
    <definedName name="SNM_EXPAT_HRS" localSheetId="5">#REF!</definedName>
    <definedName name="SNM_EXPAT_HRS">#REF!</definedName>
    <definedName name="SNM_FOREIGN" localSheetId="4">#REF!</definedName>
    <definedName name="SNM_FOREIGN" localSheetId="3">#REF!</definedName>
    <definedName name="SNM_FOREIGN" localSheetId="5">#REF!</definedName>
    <definedName name="SNM_FOREIGN">#REF!</definedName>
    <definedName name="SNM_FOREIGN_HRS" localSheetId="4">#REF!</definedName>
    <definedName name="SNM_FOREIGN_HRS" localSheetId="3">#REF!</definedName>
    <definedName name="SNM_FOREIGN_HRS" localSheetId="5">#REF!</definedName>
    <definedName name="SNM_FOREIGN_HRS">#REF!</definedName>
    <definedName name="SNM_HRS" localSheetId="4">#REF!</definedName>
    <definedName name="SNM_HRS" localSheetId="3">#REF!</definedName>
    <definedName name="SNM_HRS" localSheetId="5">#REF!</definedName>
    <definedName name="SNM_HRS">#REF!</definedName>
    <definedName name="SNM_LAB" localSheetId="4">#REF!</definedName>
    <definedName name="SNM_LAB" localSheetId="3">#REF!</definedName>
    <definedName name="SNM_LAB" localSheetId="5">#REF!</definedName>
    <definedName name="SNM_LAB">#REF!</definedName>
    <definedName name="SOFT" localSheetId="2">#REF!</definedName>
    <definedName name="SOFT" localSheetId="1">#REF!</definedName>
    <definedName name="SOFT" localSheetId="0">#REF!</definedName>
    <definedName name="SOFT" localSheetId="4">#REF!</definedName>
    <definedName name="SOFT" localSheetId="3">#REF!</definedName>
    <definedName name="SOFT" localSheetId="5">#REF!</definedName>
    <definedName name="SOFT">#REF!</definedName>
    <definedName name="SOFTJNT" localSheetId="4">#REF!</definedName>
    <definedName name="SOFTJNT" localSheetId="3">#REF!</definedName>
    <definedName name="SOFTJNT" localSheetId="5">#REF!</definedName>
    <definedName name="SOFTJNT">#REF!</definedName>
    <definedName name="SOFTS" localSheetId="2">#REF!</definedName>
    <definedName name="SOFTS" localSheetId="1">#REF!</definedName>
    <definedName name="SOFTS" localSheetId="0">#REF!</definedName>
    <definedName name="SOFTS" localSheetId="4">#REF!</definedName>
    <definedName name="SOFTS" localSheetId="3">#REF!</definedName>
    <definedName name="SOFTS" localSheetId="5">#REF!</definedName>
    <definedName name="SOFTS">#REF!</definedName>
    <definedName name="Soil__waste___vent" localSheetId="4">#REF!</definedName>
    <definedName name="Soil__waste___vent" localSheetId="3">#REF!</definedName>
    <definedName name="Soil__waste___vent" localSheetId="5">#REF!</definedName>
    <definedName name="Soil__waste___vent">#REF!</definedName>
    <definedName name="Soil__waste_underground" localSheetId="4">#REF!</definedName>
    <definedName name="Soil__waste_underground" localSheetId="3">#REF!</definedName>
    <definedName name="Soil__waste_underground" localSheetId="5">#REF!</definedName>
    <definedName name="Soil__waste_underground">#REF!</definedName>
    <definedName name="SOL" localSheetId="2">#REF!</definedName>
    <definedName name="SOL" localSheetId="1">#REF!</definedName>
    <definedName name="SOL" localSheetId="0">#REF!</definedName>
    <definedName name="SOL" localSheetId="4">#REF!</definedName>
    <definedName name="SOL" localSheetId="3">#REF!</definedName>
    <definedName name="SOL" localSheetId="5">#REF!</definedName>
    <definedName name="SOL">#REF!</definedName>
    <definedName name="SORResourceID" localSheetId="0">#REF!</definedName>
    <definedName name="SORResourceID" localSheetId="4">#REF!</definedName>
    <definedName name="SORResourceID" localSheetId="3">#REF!</definedName>
    <definedName name="SORResourceID" localSheetId="5">#REF!</definedName>
    <definedName name="SORResourceID">#REF!</definedName>
    <definedName name="Sort_Area" localSheetId="4">#REF!</definedName>
    <definedName name="Sort_Area" localSheetId="3">#REF!</definedName>
    <definedName name="Sort_Area" localSheetId="5">#REF!</definedName>
    <definedName name="Sort_Area">#REF!</definedName>
    <definedName name="Sort_Area_1" localSheetId="4">#REF!</definedName>
    <definedName name="Sort_Area_1" localSheetId="3">#REF!</definedName>
    <definedName name="Sort_Area_1" localSheetId="5">#REF!</definedName>
    <definedName name="Sort_Area_1">#REF!</definedName>
    <definedName name="Sort_Area_10" localSheetId="4">#REF!</definedName>
    <definedName name="Sort_Area_10" localSheetId="3">#REF!</definedName>
    <definedName name="Sort_Area_10" localSheetId="5">#REF!</definedName>
    <definedName name="Sort_Area_10">#REF!</definedName>
    <definedName name="Sort_Area_11" localSheetId="4">#REF!</definedName>
    <definedName name="Sort_Area_11" localSheetId="3">#REF!</definedName>
    <definedName name="Sort_Area_11" localSheetId="5">#REF!</definedName>
    <definedName name="Sort_Area_11">#REF!</definedName>
    <definedName name="Sort_Area_12" localSheetId="4">#REF!</definedName>
    <definedName name="Sort_Area_12" localSheetId="3">#REF!</definedName>
    <definedName name="Sort_Area_12" localSheetId="5">#REF!</definedName>
    <definedName name="Sort_Area_12">#REF!</definedName>
    <definedName name="Sort_Area_13" localSheetId="4">#REF!</definedName>
    <definedName name="Sort_Area_13" localSheetId="3">#REF!</definedName>
    <definedName name="Sort_Area_13" localSheetId="5">#REF!</definedName>
    <definedName name="Sort_Area_13">#REF!</definedName>
    <definedName name="Sort_Area_14" localSheetId="4">#REF!</definedName>
    <definedName name="Sort_Area_14" localSheetId="3">#REF!</definedName>
    <definedName name="Sort_Area_14" localSheetId="5">#REF!</definedName>
    <definedName name="Sort_Area_14">#REF!</definedName>
    <definedName name="Sort_Area_15" localSheetId="4">#REF!</definedName>
    <definedName name="Sort_Area_15" localSheetId="3">#REF!</definedName>
    <definedName name="Sort_Area_15" localSheetId="5">#REF!</definedName>
    <definedName name="Sort_Area_15">#REF!</definedName>
    <definedName name="Sort_Area_17" localSheetId="4">#REF!</definedName>
    <definedName name="Sort_Area_17" localSheetId="3">#REF!</definedName>
    <definedName name="Sort_Area_17" localSheetId="5">#REF!</definedName>
    <definedName name="Sort_Area_17">#REF!</definedName>
    <definedName name="Sort_Area_18" localSheetId="4">#REF!</definedName>
    <definedName name="Sort_Area_18" localSheetId="3">#REF!</definedName>
    <definedName name="Sort_Area_18" localSheetId="5">#REF!</definedName>
    <definedName name="Sort_Area_18">#REF!</definedName>
    <definedName name="Sort_Area_2" localSheetId="4">#REF!</definedName>
    <definedName name="Sort_Area_2" localSheetId="3">#REF!</definedName>
    <definedName name="Sort_Area_2" localSheetId="5">#REF!</definedName>
    <definedName name="Sort_Area_2">#REF!</definedName>
    <definedName name="Sort_Area_3" localSheetId="4">#REF!</definedName>
    <definedName name="Sort_Area_3" localSheetId="3">#REF!</definedName>
    <definedName name="Sort_Area_3" localSheetId="5">#REF!</definedName>
    <definedName name="Sort_Area_3">#REF!</definedName>
    <definedName name="Sort_Area_4" localSheetId="4">#REF!</definedName>
    <definedName name="Sort_Area_4" localSheetId="3">#REF!</definedName>
    <definedName name="Sort_Area_4" localSheetId="5">#REF!</definedName>
    <definedName name="Sort_Area_4">#REF!</definedName>
    <definedName name="Sort_Area_5" localSheetId="4">#REF!</definedName>
    <definedName name="Sort_Area_5" localSheetId="3">#REF!</definedName>
    <definedName name="Sort_Area_5" localSheetId="5">#REF!</definedName>
    <definedName name="Sort_Area_5">#REF!</definedName>
    <definedName name="Sort_Area_8" localSheetId="4">#REF!</definedName>
    <definedName name="Sort_Area_8" localSheetId="3">#REF!</definedName>
    <definedName name="Sort_Area_8" localSheetId="5">#REF!</definedName>
    <definedName name="Sort_Area_8">#REF!</definedName>
    <definedName name="Sort_Area_9" localSheetId="4">#REF!</definedName>
    <definedName name="Sort_Area_9" localSheetId="3">#REF!</definedName>
    <definedName name="Sort_Area_9" localSheetId="5">#REF!</definedName>
    <definedName name="Sort_Area_9">#REF!</definedName>
    <definedName name="Sourcing" localSheetId="4">#REF!</definedName>
    <definedName name="Sourcing" localSheetId="3">#REF!</definedName>
    <definedName name="Sourcing" localSheetId="5">#REF!</definedName>
    <definedName name="Sourcing">#REF!</definedName>
    <definedName name="sp" localSheetId="4" hidden="1">{"'Cost Price'!$A$1:$F$144"}</definedName>
    <definedName name="sp" localSheetId="3" hidden="1">{"'Cost Price'!$A$1:$F$144"}</definedName>
    <definedName name="sp" localSheetId="5" hidden="1">{"'Cost Price'!$A$1:$F$144"}</definedName>
    <definedName name="sp" hidden="1">{"'Cost Price'!$A$1:$F$144"}</definedName>
    <definedName name="SPACERATE" localSheetId="4">#REF!</definedName>
    <definedName name="SPACERATE" localSheetId="3">#REF!</definedName>
    <definedName name="SPACERATE" localSheetId="5">#REF!</definedName>
    <definedName name="SPACERATE">#REF!</definedName>
    <definedName name="SPACERPR" localSheetId="4">#REF!</definedName>
    <definedName name="SPACERPR" localSheetId="3">#REF!</definedName>
    <definedName name="SPACERPR" localSheetId="5">#REF!</definedName>
    <definedName name="SPACERPR">#REF!</definedName>
    <definedName name="SPACERS" localSheetId="4">#REF!</definedName>
    <definedName name="SPACERS" localSheetId="3">#REF!</definedName>
    <definedName name="SPACERS" localSheetId="5">#REF!</definedName>
    <definedName name="SPACERS">#REF!</definedName>
    <definedName name="SPEC_1" localSheetId="2">#REF!</definedName>
    <definedName name="SPEC_1" localSheetId="1">#REF!</definedName>
    <definedName name="SPEC_1" localSheetId="0">#REF!</definedName>
    <definedName name="SPEC_1" localSheetId="4">#REF!</definedName>
    <definedName name="SPEC_1" localSheetId="3">#REF!</definedName>
    <definedName name="SPEC_1" localSheetId="5">#REF!</definedName>
    <definedName name="SPEC_1">#REF!</definedName>
    <definedName name="SPEC_10" localSheetId="2">#REF!</definedName>
    <definedName name="SPEC_10" localSheetId="1">#REF!</definedName>
    <definedName name="SPEC_10" localSheetId="0">#REF!</definedName>
    <definedName name="SPEC_10" localSheetId="4">#REF!</definedName>
    <definedName name="SPEC_10" localSheetId="3">#REF!</definedName>
    <definedName name="SPEC_10" localSheetId="5">#REF!</definedName>
    <definedName name="SPEC_10">#REF!</definedName>
    <definedName name="SPEC_11" localSheetId="2">#REF!</definedName>
    <definedName name="SPEC_11" localSheetId="1">#REF!</definedName>
    <definedName name="SPEC_11" localSheetId="0">#REF!</definedName>
    <definedName name="SPEC_11" localSheetId="4">#REF!</definedName>
    <definedName name="SPEC_11" localSheetId="3">#REF!</definedName>
    <definedName name="SPEC_11" localSheetId="5">#REF!</definedName>
    <definedName name="SPEC_11">#REF!</definedName>
    <definedName name="SPEC_12" localSheetId="2">#REF!</definedName>
    <definedName name="SPEC_12" localSheetId="1">#REF!</definedName>
    <definedName name="SPEC_12" localSheetId="0">#REF!</definedName>
    <definedName name="SPEC_12" localSheetId="4">#REF!</definedName>
    <definedName name="SPEC_12" localSheetId="3">#REF!</definedName>
    <definedName name="SPEC_12" localSheetId="5">#REF!</definedName>
    <definedName name="SPEC_12">#REF!</definedName>
    <definedName name="SPEC_13" localSheetId="2">#REF!</definedName>
    <definedName name="SPEC_13" localSheetId="1">#REF!</definedName>
    <definedName name="SPEC_13" localSheetId="0">#REF!</definedName>
    <definedName name="SPEC_13" localSheetId="4">#REF!</definedName>
    <definedName name="SPEC_13" localSheetId="3">#REF!</definedName>
    <definedName name="SPEC_13" localSheetId="5">#REF!</definedName>
    <definedName name="SPEC_13">#REF!</definedName>
    <definedName name="SPEC_14" localSheetId="2">#REF!</definedName>
    <definedName name="SPEC_14" localSheetId="1">#REF!</definedName>
    <definedName name="SPEC_14" localSheetId="0">#REF!</definedName>
    <definedName name="SPEC_14" localSheetId="4">#REF!</definedName>
    <definedName name="SPEC_14" localSheetId="3">#REF!</definedName>
    <definedName name="SPEC_14" localSheetId="5">#REF!</definedName>
    <definedName name="SPEC_14">#REF!</definedName>
    <definedName name="SPEC_15" localSheetId="2">#REF!</definedName>
    <definedName name="SPEC_15" localSheetId="1">#REF!</definedName>
    <definedName name="SPEC_15" localSheetId="0">#REF!</definedName>
    <definedName name="SPEC_15" localSheetId="4">#REF!</definedName>
    <definedName name="SPEC_15" localSheetId="3">#REF!</definedName>
    <definedName name="SPEC_15" localSheetId="5">#REF!</definedName>
    <definedName name="SPEC_15">#REF!</definedName>
    <definedName name="SPEC_16" localSheetId="2">#REF!</definedName>
    <definedName name="SPEC_16" localSheetId="1">#REF!</definedName>
    <definedName name="SPEC_16" localSheetId="0">#REF!</definedName>
    <definedName name="SPEC_16" localSheetId="4">#REF!</definedName>
    <definedName name="SPEC_16" localSheetId="3">#REF!</definedName>
    <definedName name="SPEC_16" localSheetId="5">#REF!</definedName>
    <definedName name="SPEC_16">#REF!</definedName>
    <definedName name="SPEC_17" localSheetId="2">#REF!</definedName>
    <definedName name="SPEC_17" localSheetId="1">#REF!</definedName>
    <definedName name="SPEC_17" localSheetId="0">#REF!</definedName>
    <definedName name="SPEC_17" localSheetId="4">#REF!</definedName>
    <definedName name="SPEC_17" localSheetId="3">#REF!</definedName>
    <definedName name="SPEC_17" localSheetId="5">#REF!</definedName>
    <definedName name="SPEC_17">#REF!</definedName>
    <definedName name="SPEC_18" localSheetId="2">#REF!</definedName>
    <definedName name="SPEC_18" localSheetId="1">#REF!</definedName>
    <definedName name="SPEC_18" localSheetId="0">#REF!</definedName>
    <definedName name="SPEC_18" localSheetId="4">#REF!</definedName>
    <definedName name="SPEC_18" localSheetId="3">#REF!</definedName>
    <definedName name="SPEC_18" localSheetId="5">#REF!</definedName>
    <definedName name="SPEC_18">#REF!</definedName>
    <definedName name="SPEC_19" localSheetId="2">#REF!</definedName>
    <definedName name="SPEC_19" localSheetId="1">#REF!</definedName>
    <definedName name="SPEC_19" localSheetId="0">#REF!</definedName>
    <definedName name="SPEC_19" localSheetId="4">#REF!</definedName>
    <definedName name="SPEC_19" localSheetId="3">#REF!</definedName>
    <definedName name="SPEC_19" localSheetId="5">#REF!</definedName>
    <definedName name="SPEC_19">#REF!</definedName>
    <definedName name="SPEC_2" localSheetId="2">#REF!</definedName>
    <definedName name="SPEC_2" localSheetId="1">#REF!</definedName>
    <definedName name="SPEC_2" localSheetId="0">#REF!</definedName>
    <definedName name="SPEC_2" localSheetId="4">#REF!</definedName>
    <definedName name="SPEC_2" localSheetId="3">#REF!</definedName>
    <definedName name="SPEC_2" localSheetId="5">#REF!</definedName>
    <definedName name="SPEC_2">#REF!</definedName>
    <definedName name="SPEC_20" localSheetId="2">#REF!</definedName>
    <definedName name="SPEC_20" localSheetId="1">#REF!</definedName>
    <definedName name="SPEC_20" localSheetId="0">#REF!</definedName>
    <definedName name="SPEC_20" localSheetId="4">#REF!</definedName>
    <definedName name="SPEC_20" localSheetId="3">#REF!</definedName>
    <definedName name="SPEC_20" localSheetId="5">#REF!</definedName>
    <definedName name="SPEC_20">#REF!</definedName>
    <definedName name="SPEC_21" localSheetId="2">#REF!</definedName>
    <definedName name="SPEC_21" localSheetId="1">#REF!</definedName>
    <definedName name="SPEC_21" localSheetId="0">#REF!</definedName>
    <definedName name="SPEC_21" localSheetId="4">#REF!</definedName>
    <definedName name="SPEC_21" localSheetId="3">#REF!</definedName>
    <definedName name="SPEC_21" localSheetId="5">#REF!</definedName>
    <definedName name="SPEC_21">#REF!</definedName>
    <definedName name="SPEC_22" localSheetId="2">#REF!</definedName>
    <definedName name="SPEC_22" localSheetId="1">#REF!</definedName>
    <definedName name="SPEC_22" localSheetId="0">#REF!</definedName>
    <definedName name="SPEC_22" localSheetId="4">#REF!</definedName>
    <definedName name="SPEC_22" localSheetId="3">#REF!</definedName>
    <definedName name="SPEC_22" localSheetId="5">#REF!</definedName>
    <definedName name="SPEC_22">#REF!</definedName>
    <definedName name="SPEC_23" localSheetId="2">#REF!</definedName>
    <definedName name="SPEC_23" localSheetId="1">#REF!</definedName>
    <definedName name="SPEC_23" localSheetId="0">#REF!</definedName>
    <definedName name="SPEC_23" localSheetId="4">#REF!</definedName>
    <definedName name="SPEC_23" localSheetId="3">#REF!</definedName>
    <definedName name="SPEC_23" localSheetId="5">#REF!</definedName>
    <definedName name="SPEC_23">#REF!</definedName>
    <definedName name="SPEC_24" localSheetId="2">#REF!</definedName>
    <definedName name="SPEC_24" localSheetId="1">#REF!</definedName>
    <definedName name="SPEC_24" localSheetId="0">#REF!</definedName>
    <definedName name="SPEC_24" localSheetId="4">#REF!</definedName>
    <definedName name="SPEC_24" localSheetId="3">#REF!</definedName>
    <definedName name="SPEC_24" localSheetId="5">#REF!</definedName>
    <definedName name="SPEC_24">#REF!</definedName>
    <definedName name="SPEC_25" localSheetId="2">#REF!</definedName>
    <definedName name="SPEC_25" localSheetId="1">#REF!</definedName>
    <definedName name="SPEC_25" localSheetId="0">#REF!</definedName>
    <definedName name="SPEC_25" localSheetId="4">#REF!</definedName>
    <definedName name="SPEC_25" localSheetId="3">#REF!</definedName>
    <definedName name="SPEC_25" localSheetId="5">#REF!</definedName>
    <definedName name="SPEC_25">#REF!</definedName>
    <definedName name="SPEC_3" localSheetId="2">#REF!</definedName>
    <definedName name="SPEC_3" localSheetId="1">#REF!</definedName>
    <definedName name="SPEC_3" localSheetId="0">#REF!</definedName>
    <definedName name="SPEC_3" localSheetId="4">#REF!</definedName>
    <definedName name="SPEC_3" localSheetId="3">#REF!</definedName>
    <definedName name="SPEC_3" localSheetId="5">#REF!</definedName>
    <definedName name="SPEC_3">#REF!</definedName>
    <definedName name="SPEC_4" localSheetId="2">#REF!</definedName>
    <definedName name="SPEC_4" localSheetId="1">#REF!</definedName>
    <definedName name="SPEC_4" localSheetId="0">#REF!</definedName>
    <definedName name="SPEC_4" localSheetId="4">#REF!</definedName>
    <definedName name="SPEC_4" localSheetId="3">#REF!</definedName>
    <definedName name="SPEC_4" localSheetId="5">#REF!</definedName>
    <definedName name="SPEC_4">#REF!</definedName>
    <definedName name="SPEC_5" localSheetId="2">#REF!</definedName>
    <definedName name="SPEC_5" localSheetId="1">#REF!</definedName>
    <definedName name="SPEC_5" localSheetId="0">#REF!</definedName>
    <definedName name="SPEC_5" localSheetId="4">#REF!</definedName>
    <definedName name="SPEC_5" localSheetId="3">#REF!</definedName>
    <definedName name="SPEC_5" localSheetId="5">#REF!</definedName>
    <definedName name="SPEC_5">#REF!</definedName>
    <definedName name="SPEC_6" localSheetId="2">#REF!</definedName>
    <definedName name="SPEC_6" localSheetId="1">#REF!</definedName>
    <definedName name="SPEC_6" localSheetId="0">#REF!</definedName>
    <definedName name="SPEC_6" localSheetId="4">#REF!</definedName>
    <definedName name="SPEC_6" localSheetId="3">#REF!</definedName>
    <definedName name="SPEC_6" localSheetId="5">#REF!</definedName>
    <definedName name="SPEC_6">#REF!</definedName>
    <definedName name="SPEC_7" localSheetId="2">#REF!</definedName>
    <definedName name="SPEC_7" localSheetId="1">#REF!</definedName>
    <definedName name="SPEC_7" localSheetId="0">#REF!</definedName>
    <definedName name="SPEC_7" localSheetId="4">#REF!</definedName>
    <definedName name="SPEC_7" localSheetId="3">#REF!</definedName>
    <definedName name="SPEC_7" localSheetId="5">#REF!</definedName>
    <definedName name="SPEC_7">#REF!</definedName>
    <definedName name="SPEC_8" localSheetId="2">#REF!</definedName>
    <definedName name="SPEC_8" localSheetId="1">#REF!</definedName>
    <definedName name="SPEC_8" localSheetId="0">#REF!</definedName>
    <definedName name="SPEC_8" localSheetId="4">#REF!</definedName>
    <definedName name="SPEC_8" localSheetId="3">#REF!</definedName>
    <definedName name="SPEC_8" localSheetId="5">#REF!</definedName>
    <definedName name="SPEC_8">#REF!</definedName>
    <definedName name="SPEC_9" localSheetId="2">#REF!</definedName>
    <definedName name="SPEC_9" localSheetId="1">#REF!</definedName>
    <definedName name="SPEC_9" localSheetId="0">#REF!</definedName>
    <definedName name="SPEC_9" localSheetId="4">#REF!</definedName>
    <definedName name="SPEC_9" localSheetId="3">#REF!</definedName>
    <definedName name="SPEC_9" localSheetId="5">#REF!</definedName>
    <definedName name="SPEC_9">#REF!</definedName>
    <definedName name="SpecialPrice" localSheetId="2" hidden="1">#REF!</definedName>
    <definedName name="SpecialPrice" localSheetId="1" hidden="1">#REF!</definedName>
    <definedName name="SpecialPrice" localSheetId="0" hidden="1">#REF!</definedName>
    <definedName name="SpecialPrice" localSheetId="4" hidden="1">#REF!</definedName>
    <definedName name="SpecialPrice" localSheetId="3" hidden="1">#REF!</definedName>
    <definedName name="SpecialPrice" localSheetId="5" hidden="1">#REF!</definedName>
    <definedName name="SpecialPrice" hidden="1">#REF!</definedName>
    <definedName name="SPECSCAFOLDPR" localSheetId="4">#REF!</definedName>
    <definedName name="SPECSCAFOLDPR" localSheetId="3">#REF!</definedName>
    <definedName name="SPECSCAFOLDPR" localSheetId="5">#REF!</definedName>
    <definedName name="SPECSCAFOLDPR">#REF!</definedName>
    <definedName name="SPECSCAFOLDRATE" localSheetId="4">#REF!</definedName>
    <definedName name="SPECSCAFOLDRATE" localSheetId="3">#REF!</definedName>
    <definedName name="SPECSCAFOLDRATE" localSheetId="5">#REF!</definedName>
    <definedName name="SPECSCAFOLDRATE">#REF!</definedName>
    <definedName name="SpinIntersection" localSheetId="4">#REF!</definedName>
    <definedName name="SpinIntersection" localSheetId="3">#REF!</definedName>
    <definedName name="SpinIntersection" localSheetId="5">#REF!</definedName>
    <definedName name="SpinIntersection">#REF!</definedName>
    <definedName name="SpinSlope" localSheetId="4">#REF!</definedName>
    <definedName name="SpinSlope" localSheetId="3">#REF!</definedName>
    <definedName name="SpinSlope" localSheetId="5">#REF!</definedName>
    <definedName name="SpinSlope">#REF!</definedName>
    <definedName name="SpinVar" localSheetId="2">#REF!</definedName>
    <definedName name="SpinVar" localSheetId="1">#REF!</definedName>
    <definedName name="SpinVar" localSheetId="0">#REF!</definedName>
    <definedName name="SpinVar" localSheetId="4">#REF!</definedName>
    <definedName name="SpinVar" localSheetId="3">#REF!</definedName>
    <definedName name="SpinVar" localSheetId="5">#REF!</definedName>
    <definedName name="SpinVar">#REF!</definedName>
    <definedName name="Sprinkler" localSheetId="4">#REF!</definedName>
    <definedName name="Sprinkler" localSheetId="3">#REF!</definedName>
    <definedName name="Sprinkler" localSheetId="5">#REF!</definedName>
    <definedName name="Sprinkler">#REF!</definedName>
    <definedName name="Sqft" localSheetId="4">#REF!</definedName>
    <definedName name="Sqft" localSheetId="3">#REF!</definedName>
    <definedName name="Sqft" localSheetId="5">#REF!</definedName>
    <definedName name="Sqft">#REF!</definedName>
    <definedName name="sss" localSheetId="2" hidden="1">{#N/A,#N/A,TRUE,"Cover";#N/A,#N/A,TRUE,"Conts";#N/A,#N/A,TRUE,"VOS";#N/A,#N/A,TRUE,"Warrington";#N/A,#N/A,TRUE,"Widnes"}</definedName>
    <definedName name="sss" localSheetId="1" hidden="1">{#N/A,#N/A,TRUE,"Cover";#N/A,#N/A,TRUE,"Conts";#N/A,#N/A,TRUE,"VOS";#N/A,#N/A,TRUE,"Warrington";#N/A,#N/A,TRUE,"Widnes"}</definedName>
    <definedName name="sss" localSheetId="0" hidden="1">{#N/A,#N/A,TRUE,"Cover";#N/A,#N/A,TRUE,"Conts";#N/A,#N/A,TRUE,"VOS";#N/A,#N/A,TRUE,"Warrington";#N/A,#N/A,TRUE,"Widnes"}</definedName>
    <definedName name="sss" localSheetId="4" hidden="1">{#N/A,#N/A,TRUE,"Cover";#N/A,#N/A,TRUE,"Conts";#N/A,#N/A,TRUE,"VOS";#N/A,#N/A,TRUE,"Warrington";#N/A,#N/A,TRUE,"Widnes"}</definedName>
    <definedName name="sss" localSheetId="3" hidden="1">{#N/A,#N/A,TRUE,"Cover";#N/A,#N/A,TRUE,"Conts";#N/A,#N/A,TRUE,"VOS";#N/A,#N/A,TRUE,"Warrington";#N/A,#N/A,TRUE,"Widnes"}</definedName>
    <definedName name="sss" localSheetId="5" hidden="1">{#N/A,#N/A,TRUE,"Cover";#N/A,#N/A,TRUE,"Conts";#N/A,#N/A,TRUE,"VOS";#N/A,#N/A,TRUE,"Warrington";#N/A,#N/A,TRUE,"Widnes"}</definedName>
    <definedName name="sss" hidden="1">{#N/A,#N/A,TRUE,"Cover";#N/A,#N/A,TRUE,"Conts";#N/A,#N/A,TRUE,"VOS";#N/A,#N/A,TRUE,"Warrington";#N/A,#N/A,TRUE,"Widnes"}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___01" localSheetId="4">#REF!</definedName>
    <definedName name="ST___01" localSheetId="3">#REF!</definedName>
    <definedName name="ST___01" localSheetId="5">#REF!</definedName>
    <definedName name="ST___01">#REF!</definedName>
    <definedName name="ST___06" localSheetId="4">#REF!</definedName>
    <definedName name="ST___06" localSheetId="3">#REF!</definedName>
    <definedName name="ST___06" localSheetId="5">#REF!</definedName>
    <definedName name="ST___06">#REF!</definedName>
    <definedName name="ST___06_Curved" localSheetId="4">#REF!</definedName>
    <definedName name="ST___06_Curved" localSheetId="3">#REF!</definedName>
    <definedName name="ST___06_Curved" localSheetId="5">#REF!</definedName>
    <definedName name="ST___06_Curved">#REF!</definedName>
    <definedName name="ST___16" localSheetId="4">#REF!</definedName>
    <definedName name="ST___16" localSheetId="3">#REF!</definedName>
    <definedName name="ST___16" localSheetId="5">#REF!</definedName>
    <definedName name="ST___16">#REF!</definedName>
    <definedName name="ST___16_150mm" localSheetId="4">#REF!</definedName>
    <definedName name="ST___16_150mm" localSheetId="3">#REF!</definedName>
    <definedName name="ST___16_150mm" localSheetId="5">#REF!</definedName>
    <definedName name="ST___16_150mm">#REF!</definedName>
    <definedName name="ST___16_cladd" localSheetId="4">#REF!</definedName>
    <definedName name="ST___16_cladd" localSheetId="3">#REF!</definedName>
    <definedName name="ST___16_cladd" localSheetId="5">#REF!</definedName>
    <definedName name="ST___16_cladd">#REF!</definedName>
    <definedName name="ST_02" localSheetId="4">#REF!</definedName>
    <definedName name="ST_02" localSheetId="3">#REF!</definedName>
    <definedName name="ST_02" localSheetId="5">#REF!</definedName>
    <definedName name="ST_02">#REF!</definedName>
    <definedName name="Staff" localSheetId="4">#REF!</definedName>
    <definedName name="Staff" localSheetId="3">#REF!</definedName>
    <definedName name="Staff" localSheetId="5">#REF!</definedName>
    <definedName name="Staff">#REF!</definedName>
    <definedName name="staff1" localSheetId="4">#REF!</definedName>
    <definedName name="staff1" localSheetId="3">#REF!</definedName>
    <definedName name="staff1" localSheetId="5">#REF!</definedName>
    <definedName name="staff1">#REF!</definedName>
    <definedName name="StageCode02" localSheetId="4">#REF!</definedName>
    <definedName name="StageCode02" localSheetId="3">#REF!</definedName>
    <definedName name="StageCode02" localSheetId="5">#REF!</definedName>
    <definedName name="StageCode02">#REF!</definedName>
    <definedName name="STAIR" localSheetId="0">#REF!</definedName>
    <definedName name="STAIR" localSheetId="4">#REF!</definedName>
    <definedName name="STAIR" localSheetId="3">#REF!</definedName>
    <definedName name="STAIR" localSheetId="5">#REF!</definedName>
    <definedName name="STAIR">#REF!</definedName>
    <definedName name="StartPos" localSheetId="2">#REF!</definedName>
    <definedName name="StartPos" localSheetId="1">#REF!</definedName>
    <definedName name="StartPos" localSheetId="0">#REF!</definedName>
    <definedName name="StartPos" localSheetId="4">#REF!</definedName>
    <definedName name="StartPos" localSheetId="3">#REF!</definedName>
    <definedName name="StartPos" localSheetId="5">#REF!</definedName>
    <definedName name="StartPos">#REF!</definedName>
    <definedName name="StartRow" localSheetId="2">#REF!</definedName>
    <definedName name="StartRow" localSheetId="1">#REF!</definedName>
    <definedName name="StartRow" localSheetId="0">#REF!</definedName>
    <definedName name="StartRow" localSheetId="4">#REF!</definedName>
    <definedName name="StartRow" localSheetId="3">#REF!</definedName>
    <definedName name="StartRow" localSheetId="5">#REF!</definedName>
    <definedName name="StartRow">#REF!</definedName>
    <definedName name="State" localSheetId="2">#REF!</definedName>
    <definedName name="State" localSheetId="1">#REF!</definedName>
    <definedName name="State" localSheetId="0">#REF!</definedName>
    <definedName name="State" localSheetId="4">#REF!</definedName>
    <definedName name="State" localSheetId="3">#REF!</definedName>
    <definedName name="State" localSheetId="5">#REF!</definedName>
    <definedName name="State">#REF!</definedName>
    <definedName name="STATEMENT" localSheetId="2">#REF!</definedName>
    <definedName name="STATEMENT" localSheetId="1">#REF!</definedName>
    <definedName name="STATEMENT" localSheetId="0">#REF!</definedName>
    <definedName name="STATEMENT" localSheetId="4">#REF!</definedName>
    <definedName name="STATEMENT" localSheetId="3">#REF!</definedName>
    <definedName name="STATEMENT" localSheetId="5">#REF!</definedName>
    <definedName name="STATEMENT">#REF!</definedName>
    <definedName name="STATUS_DRGS" localSheetId="4">#REF!</definedName>
    <definedName name="STATUS_DRGS" localSheetId="3">#REF!</definedName>
    <definedName name="STATUS_DRGS" localSheetId="5">#REF!</definedName>
    <definedName name="STATUS_DRGS">#REF!</definedName>
    <definedName name="steam_trap" localSheetId="2">#REF!</definedName>
    <definedName name="steam_trap" localSheetId="1">#REF!</definedName>
    <definedName name="steam_trap" localSheetId="0">#REF!</definedName>
    <definedName name="steam_trap" localSheetId="4">#REF!</definedName>
    <definedName name="steam_trap" localSheetId="3">#REF!</definedName>
    <definedName name="steam_trap" localSheetId="5">#REF!</definedName>
    <definedName name="steam_trap">#REF!</definedName>
    <definedName name="steel" localSheetId="2">#REF!</definedName>
    <definedName name="steel" localSheetId="1">#REF!</definedName>
    <definedName name="STEEL" localSheetId="0">#REF!</definedName>
    <definedName name="steel" localSheetId="4">#REF!</definedName>
    <definedName name="steel" localSheetId="3">#REF!</definedName>
    <definedName name="steel" localSheetId="5">#REF!</definedName>
    <definedName name="steel">#REF!</definedName>
    <definedName name="STEEL_CITY" localSheetId="2">#REF!</definedName>
    <definedName name="STEEL_CITY" localSheetId="1">#REF!</definedName>
    <definedName name="STEEL_CITY" localSheetId="0">#REF!</definedName>
    <definedName name="STEEL_CITY" localSheetId="4">#REF!</definedName>
    <definedName name="STEEL_CITY" localSheetId="3">#REF!</definedName>
    <definedName name="STEEL_CITY" localSheetId="5">#REF!</definedName>
    <definedName name="STEEL_CITY">#REF!</definedName>
    <definedName name="STEEL_ESC" localSheetId="2">#REF!</definedName>
    <definedName name="STEEL_ESC" localSheetId="1">#REF!</definedName>
    <definedName name="STEEL_ESC" localSheetId="0">#REF!</definedName>
    <definedName name="STEEL_ESC" localSheetId="4">#REF!</definedName>
    <definedName name="STEEL_ESC" localSheetId="3">#REF!</definedName>
    <definedName name="STEEL_ESC" localSheetId="5">#REF!</definedName>
    <definedName name="STEEL_ESC">#REF!</definedName>
    <definedName name="STEEL_OLD_CITY" localSheetId="2">#REF!</definedName>
    <definedName name="STEEL_OLD_CITY" localSheetId="1">#REF!</definedName>
    <definedName name="STEEL_OLD_CITY" localSheetId="0">#REF!</definedName>
    <definedName name="STEEL_OLD_CITY" localSheetId="4">#REF!</definedName>
    <definedName name="STEEL_OLD_CITY" localSheetId="3">#REF!</definedName>
    <definedName name="STEEL_OLD_CITY" localSheetId="5">#REF!</definedName>
    <definedName name="STEEL_OLD_CITY">#REF!</definedName>
    <definedName name="STEEL_OLD_ESC" localSheetId="2">#REF!</definedName>
    <definedName name="STEEL_OLD_ESC" localSheetId="1">#REF!</definedName>
    <definedName name="STEEL_OLD_ESC" localSheetId="0">#REF!</definedName>
    <definedName name="STEEL_OLD_ESC" localSheetId="4">#REF!</definedName>
    <definedName name="STEEL_OLD_ESC" localSheetId="3">#REF!</definedName>
    <definedName name="STEEL_OLD_ESC" localSheetId="5">#REF!</definedName>
    <definedName name="STEEL_OLD_ESC">#REF!</definedName>
    <definedName name="STEEL_OLD_PROD" localSheetId="2">#REF!</definedName>
    <definedName name="STEEL_OLD_PROD" localSheetId="1">#REF!</definedName>
    <definedName name="STEEL_OLD_PROD" localSheetId="0">#REF!</definedName>
    <definedName name="STEEL_OLD_PROD" localSheetId="4">#REF!</definedName>
    <definedName name="STEEL_OLD_PROD" localSheetId="3">#REF!</definedName>
    <definedName name="STEEL_OLD_PROD" localSheetId="5">#REF!</definedName>
    <definedName name="STEEL_OLD_PROD">#REF!</definedName>
    <definedName name="STEEL_OLD_WAGE" localSheetId="2">#REF!</definedName>
    <definedName name="STEEL_OLD_WAGE" localSheetId="1">#REF!</definedName>
    <definedName name="STEEL_OLD_WAGE" localSheetId="0">#REF!</definedName>
    <definedName name="STEEL_OLD_WAGE" localSheetId="4">#REF!</definedName>
    <definedName name="STEEL_OLD_WAGE" localSheetId="3">#REF!</definedName>
    <definedName name="STEEL_OLD_WAGE" localSheetId="5">#REF!</definedName>
    <definedName name="STEEL_OLD_WAGE">#REF!</definedName>
    <definedName name="STEEL_PROD" localSheetId="2">#REF!</definedName>
    <definedName name="STEEL_PROD" localSheetId="1">#REF!</definedName>
    <definedName name="STEEL_PROD" localSheetId="0">#REF!</definedName>
    <definedName name="STEEL_PROD" localSheetId="4">#REF!</definedName>
    <definedName name="STEEL_PROD" localSheetId="3">#REF!</definedName>
    <definedName name="STEEL_PROD" localSheetId="5">#REF!</definedName>
    <definedName name="STEEL_PROD">#REF!</definedName>
    <definedName name="STEEL_WAGE" localSheetId="2">#REF!</definedName>
    <definedName name="STEEL_WAGE" localSheetId="1">#REF!</definedName>
    <definedName name="STEEL_WAGE" localSheetId="0">#REF!</definedName>
    <definedName name="STEEL_WAGE" localSheetId="4">#REF!</definedName>
    <definedName name="STEEL_WAGE" localSheetId="3">#REF!</definedName>
    <definedName name="STEEL_WAGE" localSheetId="5">#REF!</definedName>
    <definedName name="STEEL_WAGE">#REF!</definedName>
    <definedName name="STEELCOLRATE" localSheetId="4">#REF!</definedName>
    <definedName name="STEELCOLRATE" localSheetId="3">#REF!</definedName>
    <definedName name="STEELCOLRATE" localSheetId="5">#REF!</definedName>
    <definedName name="STEELCOLRATE">#REF!</definedName>
    <definedName name="STEELDBEAMSRATE" localSheetId="4">#REF!</definedName>
    <definedName name="STEELDBEAMSRATE" localSheetId="3">#REF!</definedName>
    <definedName name="STEELDBEAMSRATE" localSheetId="5">#REF!</definedName>
    <definedName name="STEELDBEAMSRATE">#REF!</definedName>
    <definedName name="STEELFOOTRATE" localSheetId="4">#REF!</definedName>
    <definedName name="STEELFOOTRATE" localSheetId="3">#REF!</definedName>
    <definedName name="STEELFOOTRATE" localSheetId="5">#REF!</definedName>
    <definedName name="STEELFOOTRATE">#REF!</definedName>
    <definedName name="SteelGrades" localSheetId="4">#REF!</definedName>
    <definedName name="SteelGrades" localSheetId="3">#REF!</definedName>
    <definedName name="SteelGrades" localSheetId="5">#REF!</definedName>
    <definedName name="SteelGrades">#REF!</definedName>
    <definedName name="STEELPRCOL" localSheetId="4">#REF!</definedName>
    <definedName name="STEELPRCOL" localSheetId="3">#REF!</definedName>
    <definedName name="STEELPRCOL" localSheetId="5">#REF!</definedName>
    <definedName name="STEELPRCOL">#REF!</definedName>
    <definedName name="STEELPRDBEAMS" localSheetId="4">#REF!</definedName>
    <definedName name="STEELPRDBEAMS" localSheetId="3">#REF!</definedName>
    <definedName name="STEELPRDBEAMS" localSheetId="5">#REF!</definedName>
    <definedName name="STEELPRDBEAMS">#REF!</definedName>
    <definedName name="STEELPRFOOT" localSheetId="4">#REF!</definedName>
    <definedName name="STEELPRFOOT" localSheetId="3">#REF!</definedName>
    <definedName name="STEELPRFOOT" localSheetId="5">#REF!</definedName>
    <definedName name="STEELPRFOOT">#REF!</definedName>
    <definedName name="STEELPRRW1" localSheetId="4">#REF!</definedName>
    <definedName name="STEELPRRW1" localSheetId="3">#REF!</definedName>
    <definedName name="STEELPRRW1" localSheetId="5">#REF!</definedName>
    <definedName name="STEELPRRW1">#REF!</definedName>
    <definedName name="STEELPRRW2" localSheetId="4">#REF!</definedName>
    <definedName name="STEELPRRW2" localSheetId="3">#REF!</definedName>
    <definedName name="STEELPRRW2" localSheetId="5">#REF!</definedName>
    <definedName name="STEELPRRW2">#REF!</definedName>
    <definedName name="STEELPRSLAB" localSheetId="4">#REF!</definedName>
    <definedName name="STEELPRSLAB" localSheetId="3">#REF!</definedName>
    <definedName name="STEELPRSLAB" localSheetId="5">#REF!</definedName>
    <definedName name="STEELPRSLAB">#REF!</definedName>
    <definedName name="STEELPRSTAIRS" localSheetId="4">#REF!</definedName>
    <definedName name="STEELPRSTAIRS" localSheetId="3">#REF!</definedName>
    <definedName name="STEELPRSTAIRS" localSheetId="5">#REF!</definedName>
    <definedName name="STEELPRSTAIRS">#REF!</definedName>
    <definedName name="STEELPRTB" localSheetId="4">#REF!</definedName>
    <definedName name="STEELPRTB" localSheetId="3">#REF!</definedName>
    <definedName name="STEELPRTB" localSheetId="5">#REF!</definedName>
    <definedName name="STEELPRTB">#REF!</definedName>
    <definedName name="STEELPRUPSTAND" localSheetId="4">#REF!</definedName>
    <definedName name="STEELPRUPSTAND" localSheetId="3">#REF!</definedName>
    <definedName name="STEELPRUPSTAND" localSheetId="5">#REF!</definedName>
    <definedName name="STEELPRUPSTAND">#REF!</definedName>
    <definedName name="STEELPRWALL" localSheetId="4">#REF!</definedName>
    <definedName name="STEELPRWALL" localSheetId="3">#REF!</definedName>
    <definedName name="STEELPRWALL" localSheetId="5">#REF!</definedName>
    <definedName name="STEELPRWALL">#REF!</definedName>
    <definedName name="STEELPRWALLS" localSheetId="4">#REF!</definedName>
    <definedName name="STEELPRWALLS" localSheetId="3">#REF!</definedName>
    <definedName name="STEELPRWALLS" localSheetId="5">#REF!</definedName>
    <definedName name="STEELPRWALLS">#REF!</definedName>
    <definedName name="STEELRATE" localSheetId="4">#REF!</definedName>
    <definedName name="STEELRATE" localSheetId="3">#REF!</definedName>
    <definedName name="STEELRATE" localSheetId="5">#REF!</definedName>
    <definedName name="STEELRATE">#REF!</definedName>
    <definedName name="STEELRW1RATE" localSheetId="4">#REF!</definedName>
    <definedName name="STEELRW1RATE" localSheetId="3">#REF!</definedName>
    <definedName name="STEELRW1RATE" localSheetId="5">#REF!</definedName>
    <definedName name="STEELRW1RATE">#REF!</definedName>
    <definedName name="STEELRW2RATE" localSheetId="4">#REF!</definedName>
    <definedName name="STEELRW2RATE" localSheetId="3">#REF!</definedName>
    <definedName name="STEELRW2RATE" localSheetId="5">#REF!</definedName>
    <definedName name="STEELRW2RATE">#REF!</definedName>
    <definedName name="steels" localSheetId="0">#REF!</definedName>
    <definedName name="steels" localSheetId="4">#REF!</definedName>
    <definedName name="steels" localSheetId="3">#REF!</definedName>
    <definedName name="steels" localSheetId="5">#REF!</definedName>
    <definedName name="steels">#REF!</definedName>
    <definedName name="steelsections" localSheetId="4">#REF!</definedName>
    <definedName name="steelsections" localSheetId="3">#REF!</definedName>
    <definedName name="steelsections" localSheetId="5">#REF!</definedName>
    <definedName name="steelsections">#REF!</definedName>
    <definedName name="STEELSGRATE" localSheetId="4">#REF!</definedName>
    <definedName name="STEELSGRATE" localSheetId="3">#REF!</definedName>
    <definedName name="STEELSGRATE" localSheetId="5">#REF!</definedName>
    <definedName name="STEELSGRATE">#REF!</definedName>
    <definedName name="STEELSGRPR" localSheetId="4">#REF!</definedName>
    <definedName name="STEELSGRPR" localSheetId="3">#REF!</definedName>
    <definedName name="STEELSGRPR" localSheetId="5">#REF!</definedName>
    <definedName name="STEELSGRPR">#REF!</definedName>
    <definedName name="STEELSLABRATE" localSheetId="4">#REF!</definedName>
    <definedName name="STEELSLABRATE" localSheetId="3">#REF!</definedName>
    <definedName name="STEELSLABRATE" localSheetId="5">#REF!</definedName>
    <definedName name="STEELSLABRATE">#REF!</definedName>
    <definedName name="STEELSTAURRATE" localSheetId="4">#REF!</definedName>
    <definedName name="STEELSTAURRATE" localSheetId="3">#REF!</definedName>
    <definedName name="STEELSTAURRATE" localSheetId="5">#REF!</definedName>
    <definedName name="STEELSTAURRATE">#REF!</definedName>
    <definedName name="STEELTBRATE" localSheetId="4">#REF!</definedName>
    <definedName name="STEELTBRATE" localSheetId="3">#REF!</definedName>
    <definedName name="STEELTBRATE" localSheetId="5">#REF!</definedName>
    <definedName name="STEELTBRATE">#REF!</definedName>
    <definedName name="STEELUPSTANDRATE" localSheetId="4">#REF!</definedName>
    <definedName name="STEELUPSTANDRATE" localSheetId="3">#REF!</definedName>
    <definedName name="STEELUPSTANDRATE" localSheetId="5">#REF!</definedName>
    <definedName name="STEELUPSTANDRATE">#REF!</definedName>
    <definedName name="STEELWALLSRATE" localSheetId="4">#REF!</definedName>
    <definedName name="STEELWALLSRATE" localSheetId="3">#REF!</definedName>
    <definedName name="STEELWALLSRATE" localSheetId="5">#REF!</definedName>
    <definedName name="STEELWALLSRATE">#REF!</definedName>
    <definedName name="STEELWASTE" localSheetId="4">#REF!</definedName>
    <definedName name="STEELWASTE" localSheetId="3">#REF!</definedName>
    <definedName name="STEELWASTE" localSheetId="5">#REF!</definedName>
    <definedName name="STEELWASTE">#REF!</definedName>
    <definedName name="STEELWST" localSheetId="4">#REF!</definedName>
    <definedName name="STEELWST" localSheetId="3">#REF!</definedName>
    <definedName name="STEELWST" localSheetId="5">#REF!</definedName>
    <definedName name="STEELWST">#REF!</definedName>
    <definedName name="stl" localSheetId="2">#REF!</definedName>
    <definedName name="stl" localSheetId="1">#REF!</definedName>
    <definedName name="stl" localSheetId="0">#REF!</definedName>
    <definedName name="stl" localSheetId="4">#REF!</definedName>
    <definedName name="stl" localSheetId="3">#REF!</definedName>
    <definedName name="stl" localSheetId="5">#REF!</definedName>
    <definedName name="stl">#REF!</definedName>
    <definedName name="STORAGE" localSheetId="2">#REF!</definedName>
    <definedName name="STORAGE" localSheetId="1">#REF!</definedName>
    <definedName name="STORAGE" localSheetId="0">#REF!</definedName>
    <definedName name="STORAGE" localSheetId="4">#REF!</definedName>
    <definedName name="STORAGE" localSheetId="3">#REF!</definedName>
    <definedName name="STORAGE" localSheetId="5">#REF!</definedName>
    <definedName name="STORAGE">#REF!</definedName>
    <definedName name="Struct_Steel_1" localSheetId="2">#REF!</definedName>
    <definedName name="Struct_Steel_1" localSheetId="1">#REF!</definedName>
    <definedName name="Struct_Steel_1" localSheetId="0">#REF!</definedName>
    <definedName name="Struct_Steel_1" localSheetId="4">#REF!</definedName>
    <definedName name="Struct_Steel_1" localSheetId="3">#REF!</definedName>
    <definedName name="Struct_Steel_1" localSheetId="5">#REF!</definedName>
    <definedName name="Struct_Steel_1">#REF!</definedName>
    <definedName name="Struct_Steel_10" localSheetId="2">#REF!</definedName>
    <definedName name="Struct_Steel_10" localSheetId="1">#REF!</definedName>
    <definedName name="Struct_Steel_10" localSheetId="0">#REF!</definedName>
    <definedName name="Struct_Steel_10" localSheetId="4">#REF!</definedName>
    <definedName name="Struct_Steel_10" localSheetId="3">#REF!</definedName>
    <definedName name="Struct_Steel_10" localSheetId="5">#REF!</definedName>
    <definedName name="Struct_Steel_10">#REF!</definedName>
    <definedName name="Struct_Steel_100" localSheetId="2">#REF!</definedName>
    <definedName name="Struct_Steel_100" localSheetId="1">#REF!</definedName>
    <definedName name="Struct_Steel_100" localSheetId="0">#REF!</definedName>
    <definedName name="Struct_Steel_100" localSheetId="4">#REF!</definedName>
    <definedName name="Struct_Steel_100" localSheetId="3">#REF!</definedName>
    <definedName name="Struct_Steel_100" localSheetId="5">#REF!</definedName>
    <definedName name="Struct_Steel_100">#REF!</definedName>
    <definedName name="Struct_Steel_20" localSheetId="2">#REF!</definedName>
    <definedName name="Struct_Steel_20" localSheetId="1">#REF!</definedName>
    <definedName name="Struct_Steel_20" localSheetId="0">#REF!</definedName>
    <definedName name="Struct_Steel_20" localSheetId="4">#REF!</definedName>
    <definedName name="Struct_Steel_20" localSheetId="3">#REF!</definedName>
    <definedName name="Struct_Steel_20" localSheetId="5">#REF!</definedName>
    <definedName name="Struct_Steel_20">#REF!</definedName>
    <definedName name="Struct_Steel_30" localSheetId="2">#REF!</definedName>
    <definedName name="Struct_Steel_30" localSheetId="1">#REF!</definedName>
    <definedName name="Struct_Steel_30" localSheetId="0">#REF!</definedName>
    <definedName name="Struct_Steel_30" localSheetId="4">#REF!</definedName>
    <definedName name="Struct_Steel_30" localSheetId="3">#REF!</definedName>
    <definedName name="Struct_Steel_30" localSheetId="5">#REF!</definedName>
    <definedName name="Struct_Steel_30">#REF!</definedName>
    <definedName name="Struct_Steel_40" localSheetId="2">#REF!</definedName>
    <definedName name="Struct_Steel_40" localSheetId="1">#REF!</definedName>
    <definedName name="Struct_Steel_40" localSheetId="0">#REF!</definedName>
    <definedName name="Struct_Steel_40" localSheetId="4">#REF!</definedName>
    <definedName name="Struct_Steel_40" localSheetId="3">#REF!</definedName>
    <definedName name="Struct_Steel_40" localSheetId="5">#REF!</definedName>
    <definedName name="Struct_Steel_40">#REF!</definedName>
    <definedName name="Struct_Steel_50" localSheetId="2">#REF!</definedName>
    <definedName name="Struct_Steel_50" localSheetId="1">#REF!</definedName>
    <definedName name="Struct_Steel_50" localSheetId="0">#REF!</definedName>
    <definedName name="Struct_Steel_50" localSheetId="4">#REF!</definedName>
    <definedName name="Struct_Steel_50" localSheetId="3">#REF!</definedName>
    <definedName name="Struct_Steel_50" localSheetId="5">#REF!</definedName>
    <definedName name="Struct_Steel_50">#REF!</definedName>
    <definedName name="Struct_Steel_60" localSheetId="2">#REF!</definedName>
    <definedName name="Struct_Steel_60" localSheetId="1">#REF!</definedName>
    <definedName name="Struct_Steel_60" localSheetId="0">#REF!</definedName>
    <definedName name="Struct_Steel_60" localSheetId="4">#REF!</definedName>
    <definedName name="Struct_Steel_60" localSheetId="3">#REF!</definedName>
    <definedName name="Struct_Steel_60" localSheetId="5">#REF!</definedName>
    <definedName name="Struct_Steel_60">#REF!</definedName>
    <definedName name="Struct_Steel_70" localSheetId="2">#REF!</definedName>
    <definedName name="Struct_Steel_70" localSheetId="1">#REF!</definedName>
    <definedName name="Struct_Steel_70" localSheetId="0">#REF!</definedName>
    <definedName name="Struct_Steel_70" localSheetId="4">#REF!</definedName>
    <definedName name="Struct_Steel_70" localSheetId="3">#REF!</definedName>
    <definedName name="Struct_Steel_70" localSheetId="5">#REF!</definedName>
    <definedName name="Struct_Steel_70">#REF!</definedName>
    <definedName name="Struct_Steel_80" localSheetId="2">#REF!</definedName>
    <definedName name="Struct_Steel_80" localSheetId="1">#REF!</definedName>
    <definedName name="Struct_Steel_80" localSheetId="0">#REF!</definedName>
    <definedName name="Struct_Steel_80" localSheetId="4">#REF!</definedName>
    <definedName name="Struct_Steel_80" localSheetId="3">#REF!</definedName>
    <definedName name="Struct_Steel_80" localSheetId="5">#REF!</definedName>
    <definedName name="Struct_Steel_80">#REF!</definedName>
    <definedName name="Struct_Steel_90" localSheetId="2">#REF!</definedName>
    <definedName name="Struct_Steel_90" localSheetId="1">#REF!</definedName>
    <definedName name="Struct_Steel_90" localSheetId="0">#REF!</definedName>
    <definedName name="Struct_Steel_90" localSheetId="4">#REF!</definedName>
    <definedName name="Struct_Steel_90" localSheetId="3">#REF!</definedName>
    <definedName name="Struct_Steel_90" localSheetId="5">#REF!</definedName>
    <definedName name="Struct_Steel_90">#REF!</definedName>
    <definedName name="SUB" localSheetId="2">#REF!</definedName>
    <definedName name="SUB" localSheetId="1">#REF!</definedName>
    <definedName name="sub" localSheetId="0">#REF!</definedName>
    <definedName name="sub" localSheetId="4">#REF!</definedName>
    <definedName name="sub" localSheetId="3">#REF!</definedName>
    <definedName name="sub" localSheetId="5">#REF!</definedName>
    <definedName name="sub">#REF!</definedName>
    <definedName name="sub_end" localSheetId="4">#REF!</definedName>
    <definedName name="sub_end" localSheetId="3">#REF!</definedName>
    <definedName name="sub_end" localSheetId="5">#REF!</definedName>
    <definedName name="sub_end">#REF!</definedName>
    <definedName name="Sub_Fac_old" localSheetId="4">#REF!</definedName>
    <definedName name="Sub_Fac_old" localSheetId="3">#REF!</definedName>
    <definedName name="Sub_Fac_old" localSheetId="5">#REF!</definedName>
    <definedName name="Sub_Fac_old">#REF!</definedName>
    <definedName name="SUBBASE" localSheetId="4">#REF!</definedName>
    <definedName name="SUBBASE" localSheetId="3">#REF!</definedName>
    <definedName name="SUBBASE" localSheetId="5">#REF!</definedName>
    <definedName name="SUBBASE">#REF!</definedName>
    <definedName name="Subcont" localSheetId="2">#REF!</definedName>
    <definedName name="Subcont" localSheetId="1">#REF!</definedName>
    <definedName name="Subcont" localSheetId="0">#REF!</definedName>
    <definedName name="Subcont" localSheetId="4">#REF!</definedName>
    <definedName name="Subcont" localSheetId="3">#REF!</definedName>
    <definedName name="Subcont" localSheetId="5">#REF!</definedName>
    <definedName name="Subcont">#REF!</definedName>
    <definedName name="Subcont_Selling" localSheetId="2">#REF!</definedName>
    <definedName name="Subcont_Selling" localSheetId="1">#REF!</definedName>
    <definedName name="Subcont_Selling" localSheetId="0">#REF!</definedName>
    <definedName name="Subcont_Selling" localSheetId="4">#REF!</definedName>
    <definedName name="Subcont_Selling" localSheetId="3">#REF!</definedName>
    <definedName name="Subcont_Selling" localSheetId="5">#REF!</definedName>
    <definedName name="Subcont_Selling">#REF!</definedName>
    <definedName name="SUBCONTRACT_MTRL_UNIT_COST" localSheetId="4">#REF!,#REF!,#REF!,#REF!,#REF!,#REF!,#REF!</definedName>
    <definedName name="SUBCONTRACT_MTRL_UNIT_COST" localSheetId="3">#REF!,#REF!,#REF!,#REF!,#REF!,#REF!,#REF!</definedName>
    <definedName name="SUBCONTRACT_MTRL_UNIT_COST" localSheetId="5">#REF!,#REF!,#REF!,#REF!,#REF!,#REF!,#REF!</definedName>
    <definedName name="SUBCONTRACT_MTRL_UNIT_COST">#REF!,#REF!,#REF!,#REF!,#REF!,#REF!,#REF!</definedName>
    <definedName name="subrange" localSheetId="2">#REF!</definedName>
    <definedName name="subrange" localSheetId="1">#REF!</definedName>
    <definedName name="subrange" localSheetId="0">#REF!</definedName>
    <definedName name="subrange" localSheetId="4">#REF!</definedName>
    <definedName name="subrange" localSheetId="3">#REF!</definedName>
    <definedName name="subrange" localSheetId="5">#REF!</definedName>
    <definedName name="subrange">#REF!</definedName>
    <definedName name="subs" localSheetId="2">#REF!</definedName>
    <definedName name="subs" localSheetId="1">#REF!</definedName>
    <definedName name="subs" localSheetId="0">#REF!</definedName>
    <definedName name="subs" localSheetId="4">#REF!</definedName>
    <definedName name="subs" localSheetId="3">#REF!</definedName>
    <definedName name="subs" localSheetId="5">#REF!</definedName>
    <definedName name="subs">#REF!</definedName>
    <definedName name="subs4" localSheetId="2">#REF!</definedName>
    <definedName name="subs4" localSheetId="1">#REF!</definedName>
    <definedName name="subs4" localSheetId="0">#REF!</definedName>
    <definedName name="subs4" localSheetId="4">#REF!</definedName>
    <definedName name="subs4" localSheetId="3">#REF!</definedName>
    <definedName name="subs4" localSheetId="5">#REF!</definedName>
    <definedName name="subs4">#REF!</definedName>
    <definedName name="subs4a" localSheetId="2">#REF!</definedName>
    <definedName name="subs4a" localSheetId="1">#REF!</definedName>
    <definedName name="subs4a" localSheetId="0">#REF!</definedName>
    <definedName name="subs4a" localSheetId="4">#REF!</definedName>
    <definedName name="subs4a" localSheetId="3">#REF!</definedName>
    <definedName name="subs4a" localSheetId="5">#REF!</definedName>
    <definedName name="subs4a">#REF!</definedName>
    <definedName name="SUM" localSheetId="2" hidden="1">{"'Sheet1 (2)'!$A$1:$C$61"}</definedName>
    <definedName name="SUM" localSheetId="1" hidden="1">{"'Sheet1 (2)'!$A$1:$C$61"}</definedName>
    <definedName name="SUM" localSheetId="0" hidden="1">{"'Sheet1 (2)'!$A$1:$C$61"}</definedName>
    <definedName name="SUM" localSheetId="4" hidden="1">{"'Sheet1 (2)'!$A$1:$C$61"}</definedName>
    <definedName name="SUM" localSheetId="3" hidden="1">{"'Sheet1 (2)'!$A$1:$C$61"}</definedName>
    <definedName name="SUM" localSheetId="5" hidden="1">{"'Sheet1 (2)'!$A$1:$C$61"}</definedName>
    <definedName name="SUM" hidden="1">{"'Sheet1 (2)'!$A$1:$C$61"}</definedName>
    <definedName name="SUM_DATA" localSheetId="2">#REF!</definedName>
    <definedName name="SUM_DATA" localSheetId="1">#REF!</definedName>
    <definedName name="SUM_DATA" localSheetId="0">#REF!</definedName>
    <definedName name="SUM_DATA" localSheetId="4">#REF!</definedName>
    <definedName name="SUM_DATA" localSheetId="3">#REF!</definedName>
    <definedName name="SUM_DATA" localSheetId="5">#REF!</definedName>
    <definedName name="SUM_DATA">#REF!</definedName>
    <definedName name="SUMM" localSheetId="2">#REF!</definedName>
    <definedName name="SUMM" localSheetId="1">#REF!</definedName>
    <definedName name="SUMM" localSheetId="0">#REF!</definedName>
    <definedName name="SUMM" localSheetId="4">#REF!</definedName>
    <definedName name="SUMM" localSheetId="3">#REF!</definedName>
    <definedName name="SUMM" localSheetId="5">#REF!</definedName>
    <definedName name="SUMM">#REF!</definedName>
    <definedName name="SUMMARY" localSheetId="2">#REF!</definedName>
    <definedName name="SUMMARY" localSheetId="1">#REF!</definedName>
    <definedName name="SUMMARY" localSheetId="0">#REF!</definedName>
    <definedName name="SUMMARY" localSheetId="4">#REF!</definedName>
    <definedName name="SUMMARY" localSheetId="3">#REF!</definedName>
    <definedName name="SUMMARY" localSheetId="5">#REF!</definedName>
    <definedName name="SUMMARY">#REF!</definedName>
    <definedName name="Summary_Print" localSheetId="4">#REF!</definedName>
    <definedName name="Summary_Print" localSheetId="3">#REF!</definedName>
    <definedName name="Summary_Print" localSheetId="5">#REF!</definedName>
    <definedName name="Summary_Print">#REF!</definedName>
    <definedName name="Summary1" localSheetId="4">#REF!</definedName>
    <definedName name="Summary1" localSheetId="3">#REF!</definedName>
    <definedName name="Summary1" localSheetId="5">#REF!</definedName>
    <definedName name="Summary1">#REF!</definedName>
    <definedName name="Sundry_Works_FF" localSheetId="4">#REF!</definedName>
    <definedName name="Sundry_Works_FF" localSheetId="3">#REF!</definedName>
    <definedName name="Sundry_Works_FF" localSheetId="5">#REF!</definedName>
    <definedName name="Sundry_Works_FF">#REF!</definedName>
    <definedName name="Sundry_Works_Plum" localSheetId="4">#REF!</definedName>
    <definedName name="Sundry_Works_Plum" localSheetId="3">#REF!</definedName>
    <definedName name="Sundry_Works_Plum" localSheetId="5">#REF!</definedName>
    <definedName name="Sundry_Works_Plum">#REF!</definedName>
    <definedName name="sup" localSheetId="2">#REF!</definedName>
    <definedName name="sup" localSheetId="1">#REF!</definedName>
    <definedName name="sup" localSheetId="0">#REF!</definedName>
    <definedName name="sup" localSheetId="4">#REF!</definedName>
    <definedName name="sup" localSheetId="3">#REF!</definedName>
    <definedName name="sup" localSheetId="5">#REF!</definedName>
    <definedName name="sup">#REF!</definedName>
    <definedName name="sups" localSheetId="2">#REF!</definedName>
    <definedName name="sups" localSheetId="1">#REF!</definedName>
    <definedName name="sups" localSheetId="0">#REF!</definedName>
    <definedName name="sups" localSheetId="4">#REF!</definedName>
    <definedName name="sups" localSheetId="3">#REF!</definedName>
    <definedName name="sups" localSheetId="5">#REF!</definedName>
    <definedName name="sups">#REF!</definedName>
    <definedName name="sups4" localSheetId="2">#REF!</definedName>
    <definedName name="sups4" localSheetId="1">#REF!</definedName>
    <definedName name="sups4" localSheetId="0">#REF!</definedName>
    <definedName name="sups4" localSheetId="4">#REF!</definedName>
    <definedName name="sups4" localSheetId="3">#REF!</definedName>
    <definedName name="sups4" localSheetId="5">#REF!</definedName>
    <definedName name="sups4">#REF!</definedName>
    <definedName name="sups4a" localSheetId="2">#REF!</definedName>
    <definedName name="sups4a" localSheetId="1">#REF!</definedName>
    <definedName name="sups4a" localSheetId="0">#REF!</definedName>
    <definedName name="sups4a" localSheetId="4">#REF!</definedName>
    <definedName name="sups4a" localSheetId="3">#REF!</definedName>
    <definedName name="sups4a" localSheetId="5">#REF!</definedName>
    <definedName name="sups4a">#REF!</definedName>
    <definedName name="SUS" localSheetId="0">#REF!</definedName>
    <definedName name="SUS" localSheetId="4">#REF!</definedName>
    <definedName name="SUS" localSheetId="3">#REF!</definedName>
    <definedName name="SUS" localSheetId="5">#REF!</definedName>
    <definedName name="SUS">#REF!</definedName>
    <definedName name="suspended" localSheetId="0">#REF!</definedName>
    <definedName name="suspended" localSheetId="4">#REF!</definedName>
    <definedName name="suspended" localSheetId="3">#REF!</definedName>
    <definedName name="suspended" localSheetId="5">#REF!</definedName>
    <definedName name="suspended">#REF!</definedName>
    <definedName name="SV_DBTYPE">"-1"</definedName>
    <definedName name="SV_ENCPT_LOGON_PWD" hidden="1">"078104085088070"</definedName>
    <definedName name="SV_ENCPT_LOGON_USER" hidden="1">"095094088070084"</definedName>
    <definedName name="SV_PAS_PastelCompanyPath" hidden="1">"P:\MIRAGE13"</definedName>
    <definedName name="SV_PAS_PastelDatabase" hidden="1">"PAS11MIRAGE13"</definedName>
    <definedName name="SV_PAS_PervasiveServer" hidden="1">"DXBS02"</definedName>
    <definedName name="SV_REPORT_CODE">"P10-FI01-2-1"</definedName>
    <definedName name="SV_REPORT_ID">"2"</definedName>
    <definedName name="SV_REPORT_NAME">"Management Pack D-2-1 (P v11)"</definedName>
    <definedName name="SV_REPOSCODE">""</definedName>
    <definedName name="SV_SOLUTION_ID">"34"</definedName>
    <definedName name="SV_TENANT_CODE">""</definedName>
    <definedName name="sw" localSheetId="2">#REF!</definedName>
    <definedName name="sw" localSheetId="1">#REF!</definedName>
    <definedName name="sw" localSheetId="0">#REF!</definedName>
    <definedName name="sw" localSheetId="4">#REF!</definedName>
    <definedName name="sw" localSheetId="3">#REF!</definedName>
    <definedName name="sw" localSheetId="5">#REF!</definedName>
    <definedName name="sw">#REF!</definedName>
    <definedName name="sw4a" localSheetId="2">#REF!</definedName>
    <definedName name="sw4a" localSheetId="1">#REF!</definedName>
    <definedName name="sw4a" localSheetId="0">#REF!</definedName>
    <definedName name="sw4a" localSheetId="4">#REF!</definedName>
    <definedName name="sw4a" localSheetId="3">#REF!</definedName>
    <definedName name="sw4a" localSheetId="5">#REF!</definedName>
    <definedName name="sw4a">#REF!</definedName>
    <definedName name="swi" localSheetId="2">#REF!</definedName>
    <definedName name="swi" localSheetId="1">#REF!</definedName>
    <definedName name="swi" localSheetId="0">#REF!</definedName>
    <definedName name="swi" localSheetId="4">#REF!</definedName>
    <definedName name="swi" localSheetId="3">#REF!</definedName>
    <definedName name="swi" localSheetId="5">#REF!</definedName>
    <definedName name="swi">#REF!</definedName>
    <definedName name="SWITCH" localSheetId="2">#REF!</definedName>
    <definedName name="SWITCH" localSheetId="1">#REF!</definedName>
    <definedName name="SWITCH" localSheetId="0">#REF!</definedName>
    <definedName name="SWITCH" localSheetId="4">#REF!</definedName>
    <definedName name="SWITCH" localSheetId="3">#REF!</definedName>
    <definedName name="SWITCH" localSheetId="5">#REF!</definedName>
    <definedName name="SWITCH">#REF!</definedName>
    <definedName name="SWYD_DUCT_SIZE" localSheetId="2">#REF!</definedName>
    <definedName name="SWYD_DUCT_SIZE" localSheetId="1">#REF!</definedName>
    <definedName name="SWYD_DUCT_SIZE" localSheetId="0">#REF!</definedName>
    <definedName name="SWYD_DUCT_SIZE" localSheetId="4">#REF!</definedName>
    <definedName name="SWYD_DUCT_SIZE" localSheetId="3">#REF!</definedName>
    <definedName name="SWYD_DUCT_SIZE" localSheetId="5">#REF!</definedName>
    <definedName name="SWYD_DUCT_SIZE">#REF!</definedName>
    <definedName name="Swyd_Scope" localSheetId="2">#REF!</definedName>
    <definedName name="Swyd_Scope" localSheetId="1">#REF!</definedName>
    <definedName name="Swyd_Scope" localSheetId="0">#REF!</definedName>
    <definedName name="Swyd_Scope" localSheetId="4">#REF!</definedName>
    <definedName name="Swyd_Scope" localSheetId="3">#REF!</definedName>
    <definedName name="Swyd_Scope" localSheetId="5">#REF!</definedName>
    <definedName name="Swyd_Scope">#REF!</definedName>
    <definedName name="SWYD_TYPE" localSheetId="2">#REF!</definedName>
    <definedName name="SWYD_TYPE" localSheetId="1">#REF!</definedName>
    <definedName name="SWYD_TYPE" localSheetId="0">#REF!</definedName>
    <definedName name="SWYD_TYPE" localSheetId="4">#REF!</definedName>
    <definedName name="SWYD_TYPE" localSheetId="3">#REF!</definedName>
    <definedName name="SWYD_TYPE" localSheetId="5">#REF!</definedName>
    <definedName name="SWYD_TYPE">#REF!</definedName>
    <definedName name="SYS" localSheetId="2">#REF!</definedName>
    <definedName name="SYS" localSheetId="1">#REF!</definedName>
    <definedName name="SYS" localSheetId="0">#REF!</definedName>
    <definedName name="SYS" localSheetId="4">#REF!</definedName>
    <definedName name="SYS" localSheetId="3">#REF!</definedName>
    <definedName name="SYS" localSheetId="5">#REF!</definedName>
    <definedName name="SYS">#REF!</definedName>
    <definedName name="SYSTEM" localSheetId="2">#REF!</definedName>
    <definedName name="SYSTEM" localSheetId="1">#REF!</definedName>
    <definedName name="SYSTEM" localSheetId="0">#REF!</definedName>
    <definedName name="SYSTEM" localSheetId="4">#REF!</definedName>
    <definedName name="SYSTEM" localSheetId="3">#REF!</definedName>
    <definedName name="SYSTEM" localSheetId="5">#REF!</definedName>
    <definedName name="SYSTEM">#REF!</definedName>
    <definedName name="Systemrange" localSheetId="4">OFFSET(#REF!,0,0,COUNTA(#REF!),1)</definedName>
    <definedName name="Systemrange" localSheetId="3">OFFSET(#REF!,0,0,COUNTA(#REF!),1)</definedName>
    <definedName name="Systemrange" localSheetId="5">OFFSET(#REF!,0,0,COUNTA(#REF!),1)</definedName>
    <definedName name="Systemrange">OFFSET(#REF!,0,0,COUNTA(#REF!),1)</definedName>
    <definedName name="T" localSheetId="2">#REF!</definedName>
    <definedName name="T" localSheetId="1">#REF!</definedName>
    <definedName name="T" localSheetId="0">#REF!</definedName>
    <definedName name="T" localSheetId="4">#REF!</definedName>
    <definedName name="T" localSheetId="3">#REF!</definedName>
    <definedName name="T" localSheetId="5">#REF!</definedName>
    <definedName name="T">#REF!</definedName>
    <definedName name="TABLE" localSheetId="2">#REF!</definedName>
    <definedName name="TABLE" localSheetId="1">#REF!</definedName>
    <definedName name="TABLE" localSheetId="0">#REF!</definedName>
    <definedName name="TABLE" localSheetId="4">#REF!</definedName>
    <definedName name="TABLE" localSheetId="3">#REF!</definedName>
    <definedName name="TABLE" localSheetId="5">#REF!</definedName>
    <definedName name="TABLE">#REF!</definedName>
    <definedName name="Table_01" localSheetId="2">#REF!</definedName>
    <definedName name="Table_01" localSheetId="1">#REF!</definedName>
    <definedName name="Table_01" localSheetId="0">#REF!</definedName>
    <definedName name="Table_01" localSheetId="4">#REF!</definedName>
    <definedName name="Table_01" localSheetId="3">#REF!</definedName>
    <definedName name="Table_01" localSheetId="5">#REF!</definedName>
    <definedName name="Table_01">#REF!</definedName>
    <definedName name="Table_02" localSheetId="2">#REF!</definedName>
    <definedName name="Table_02" localSheetId="1">#REF!</definedName>
    <definedName name="Table_02" localSheetId="0">#REF!</definedName>
    <definedName name="Table_02" localSheetId="4">#REF!</definedName>
    <definedName name="Table_02" localSheetId="3">#REF!</definedName>
    <definedName name="Table_02" localSheetId="5">#REF!</definedName>
    <definedName name="Table_02">#REF!</definedName>
    <definedName name="Table_03" localSheetId="2">#REF!</definedName>
    <definedName name="Table_03" localSheetId="1">#REF!</definedName>
    <definedName name="Table_03" localSheetId="0">#REF!</definedName>
    <definedName name="Table_03" localSheetId="4">#REF!</definedName>
    <definedName name="Table_03" localSheetId="3">#REF!</definedName>
    <definedName name="Table_03" localSheetId="5">#REF!</definedName>
    <definedName name="Table_03">#REF!</definedName>
    <definedName name="Table_conv" localSheetId="2">#REF!</definedName>
    <definedName name="Table_conv" localSheetId="1">#REF!</definedName>
    <definedName name="Table_conv" localSheetId="0">#REF!</definedName>
    <definedName name="Table_conv" localSheetId="4">#REF!</definedName>
    <definedName name="Table_conv" localSheetId="3">#REF!</definedName>
    <definedName name="Table_conv" localSheetId="5">#REF!</definedName>
    <definedName name="Table_conv">#REF!</definedName>
    <definedName name="table_disci" localSheetId="2">#REF!</definedName>
    <definedName name="table_disci" localSheetId="1">#REF!</definedName>
    <definedName name="table_disci" localSheetId="0">#REF!</definedName>
    <definedName name="table_disci" localSheetId="4">#REF!</definedName>
    <definedName name="table_disci" localSheetId="3">#REF!</definedName>
    <definedName name="table_disci" localSheetId="5">#REF!</definedName>
    <definedName name="table_disci">#REF!</definedName>
    <definedName name="Table_repABC" localSheetId="2">#REF!</definedName>
    <definedName name="Table_repABC" localSheetId="1">#REF!</definedName>
    <definedName name="Table_repABC" localSheetId="0">#REF!</definedName>
    <definedName name="Table_repABC" localSheetId="4">#REF!</definedName>
    <definedName name="Table_repABC" localSheetId="3">#REF!</definedName>
    <definedName name="Table_repABC" localSheetId="5">#REF!</definedName>
    <definedName name="Table_repABC">#REF!</definedName>
    <definedName name="TABLE5KV" localSheetId="2">#REF!</definedName>
    <definedName name="TABLE5KV" localSheetId="1">#REF!</definedName>
    <definedName name="TABLE5KV" localSheetId="0">#REF!</definedName>
    <definedName name="TABLE5KV" localSheetId="4">#REF!</definedName>
    <definedName name="TABLE5KV" localSheetId="3">#REF!</definedName>
    <definedName name="TABLE5KV" localSheetId="5">#REF!</definedName>
    <definedName name="TABLE5KV">#REF!</definedName>
    <definedName name="TAKEOFF" localSheetId="2">#REF!</definedName>
    <definedName name="TAKEOFF" localSheetId="1">#REF!</definedName>
    <definedName name="TAKEOFF" localSheetId="0">#REF!</definedName>
    <definedName name="TAKEOFF" localSheetId="4">#REF!</definedName>
    <definedName name="TAKEOFF" localSheetId="3">#REF!</definedName>
    <definedName name="TAKEOFF" localSheetId="5">#REF!</definedName>
    <definedName name="TAKEOFF">#REF!</definedName>
    <definedName name="TASK" localSheetId="2">#REF!</definedName>
    <definedName name="TASK" localSheetId="1">#REF!</definedName>
    <definedName name="TASK" localSheetId="0">#REF!</definedName>
    <definedName name="TASK" localSheetId="4">#REF!</definedName>
    <definedName name="TASK" localSheetId="3">#REF!</definedName>
    <definedName name="TASK" localSheetId="5">#REF!</definedName>
    <definedName name="TASK">#REF!</definedName>
    <definedName name="TASKRSRC" localSheetId="2">#REF!</definedName>
    <definedName name="TASKRSRC" localSheetId="1">#REF!</definedName>
    <definedName name="TASKRSRC" localSheetId="0">#REF!</definedName>
    <definedName name="TASKRSRC" localSheetId="4">#REF!</definedName>
    <definedName name="TASKRSRC" localSheetId="3">#REF!</definedName>
    <definedName name="TASKRSRC" localSheetId="5">#REF!</definedName>
    <definedName name="TASKRSRC">#REF!</definedName>
    <definedName name="Taxes" localSheetId="4">#REF!</definedName>
    <definedName name="Taxes" localSheetId="3">#REF!</definedName>
    <definedName name="Taxes" localSheetId="5">#REF!</definedName>
    <definedName name="Taxes">#REF!</definedName>
    <definedName name="tbl_ProdInfo" localSheetId="2" hidden="1">#REF!</definedName>
    <definedName name="tbl_ProdInfo" localSheetId="1" hidden="1">#REF!</definedName>
    <definedName name="tbl_ProdInfo" localSheetId="0" hidden="1">#REF!</definedName>
    <definedName name="tbl_ProdInfo" localSheetId="4" hidden="1">#REF!</definedName>
    <definedName name="tbl_ProdInfo" localSheetId="3" hidden="1">#REF!</definedName>
    <definedName name="tbl_ProdInfo" localSheetId="5" hidden="1">#REF!</definedName>
    <definedName name="tbl_ProdInfo" hidden="1">#REF!</definedName>
    <definedName name="TDR" localSheetId="2">#REF!</definedName>
    <definedName name="TDR" localSheetId="1">#REF!</definedName>
    <definedName name="TDR" localSheetId="0">#REF!</definedName>
    <definedName name="TDR" localSheetId="4">#REF!</definedName>
    <definedName name="TDR" localSheetId="3">#REF!</definedName>
    <definedName name="TDR" localSheetId="5">#REF!</definedName>
    <definedName name="TDR">#REF!</definedName>
    <definedName name="TE" localSheetId="2">#REF!</definedName>
    <definedName name="TE" localSheetId="1">#REF!</definedName>
    <definedName name="TE" localSheetId="0">#REF!</definedName>
    <definedName name="TE" localSheetId="4">#REF!</definedName>
    <definedName name="TE" localSheetId="3">#REF!</definedName>
    <definedName name="TE" localSheetId="5">#REF!</definedName>
    <definedName name="TE">#REF!</definedName>
    <definedName name="TEE" localSheetId="2">#REF!</definedName>
    <definedName name="TEE" localSheetId="1">#REF!</definedName>
    <definedName name="TEE" localSheetId="0">#REF!</definedName>
    <definedName name="TEE" localSheetId="4">#REF!</definedName>
    <definedName name="TEE" localSheetId="3">#REF!</definedName>
    <definedName name="TEE" localSheetId="5">#REF!</definedName>
    <definedName name="TEE">#REF!</definedName>
    <definedName name="TELE_CABLE" localSheetId="2">#REF!</definedName>
    <definedName name="TELE_CABLE" localSheetId="1">#REF!</definedName>
    <definedName name="TELE_CABLE" localSheetId="0">#REF!</definedName>
    <definedName name="TELE_CABLE" localSheetId="4">#REF!</definedName>
    <definedName name="TELE_CABLE" localSheetId="3">#REF!</definedName>
    <definedName name="TELE_CABLE" localSheetId="5">#REF!</definedName>
    <definedName name="TELE_CABLE">#REF!</definedName>
    <definedName name="TELE_CONDUIT" localSheetId="2">#REF!</definedName>
    <definedName name="TELE_CONDUIT" localSheetId="1">#REF!</definedName>
    <definedName name="TELE_CONDUIT" localSheetId="0">#REF!</definedName>
    <definedName name="TELE_CONDUIT" localSheetId="4">#REF!</definedName>
    <definedName name="TELE_CONDUIT" localSheetId="3">#REF!</definedName>
    <definedName name="TELE_CONDUIT" localSheetId="5">#REF!</definedName>
    <definedName name="TELE_CONDUIT">#REF!</definedName>
    <definedName name="TELE_EQUIP" localSheetId="2">#REF!</definedName>
    <definedName name="TELE_EQUIP" localSheetId="1">#REF!</definedName>
    <definedName name="TELE_EQUIP" localSheetId="0">#REF!</definedName>
    <definedName name="TELE_EQUIP" localSheetId="4">#REF!</definedName>
    <definedName name="TELE_EQUIP" localSheetId="3">#REF!</definedName>
    <definedName name="TELE_EQUIP" localSheetId="5">#REF!</definedName>
    <definedName name="TELE_EQUIP">#REF!</definedName>
    <definedName name="TEM" localSheetId="2">#REF!</definedName>
    <definedName name="TEM" localSheetId="1">#REF!</definedName>
    <definedName name="TEM" localSheetId="0">#REF!</definedName>
    <definedName name="TEM" localSheetId="4">#REF!</definedName>
    <definedName name="TEM" localSheetId="3">#REF!</definedName>
    <definedName name="TEM" localSheetId="5">#REF!</definedName>
    <definedName name="TEM">#REF!</definedName>
    <definedName name="temp" localSheetId="2" hidden="1">{"'Break down'!$A$4"}</definedName>
    <definedName name="temp" localSheetId="1" hidden="1">{"'Break down'!$A$4"}</definedName>
    <definedName name="temp" localSheetId="0" hidden="1">{"'Break down'!$A$4"}</definedName>
    <definedName name="temp" localSheetId="4" hidden="1">{"'Break down'!$A$4"}</definedName>
    <definedName name="temp" localSheetId="3" hidden="1">{"'Break down'!$A$4"}</definedName>
    <definedName name="temp" localSheetId="5" hidden="1">{"'Break down'!$A$4"}</definedName>
    <definedName name="temp" hidden="1">{"'Break down'!$A$4"}</definedName>
    <definedName name="temp_1" localSheetId="2" hidden="1">{"'Break down'!$A$4"}</definedName>
    <definedName name="temp_1" localSheetId="1" hidden="1">{"'Break down'!$A$4"}</definedName>
    <definedName name="temp_1" localSheetId="0" hidden="1">{"'Break down'!$A$4"}</definedName>
    <definedName name="temp_1" localSheetId="4" hidden="1">{"'Break down'!$A$4"}</definedName>
    <definedName name="temp_1" localSheetId="3" hidden="1">{"'Break down'!$A$4"}</definedName>
    <definedName name="temp_1" localSheetId="5" hidden="1">{"'Break down'!$A$4"}</definedName>
    <definedName name="temp_1" hidden="1">{"'Break down'!$A$4"}</definedName>
    <definedName name="temp_2" localSheetId="2" hidden="1">{"'Break down'!$A$4"}</definedName>
    <definedName name="temp_2" localSheetId="1" hidden="1">{"'Break down'!$A$4"}</definedName>
    <definedName name="temp_2" localSheetId="0" hidden="1">{"'Break down'!$A$4"}</definedName>
    <definedName name="temp_2" localSheetId="4" hidden="1">{"'Break down'!$A$4"}</definedName>
    <definedName name="temp_2" localSheetId="3" hidden="1">{"'Break down'!$A$4"}</definedName>
    <definedName name="temp_2" localSheetId="5" hidden="1">{"'Break down'!$A$4"}</definedName>
    <definedName name="temp_2" hidden="1">{"'Break down'!$A$4"}</definedName>
    <definedName name="temp_strainer" localSheetId="2">#REF!</definedName>
    <definedName name="temp_strainer" localSheetId="1">#REF!</definedName>
    <definedName name="temp_strainer" localSheetId="0">#REF!</definedName>
    <definedName name="temp_strainer" localSheetId="4">#REF!</definedName>
    <definedName name="temp_strainer" localSheetId="3">#REF!</definedName>
    <definedName name="temp_strainer" localSheetId="5">#REF!</definedName>
    <definedName name="temp_strainer">#REF!</definedName>
    <definedName name="tempo" localSheetId="2" hidden="1">{"'Break down'!$A$4"}</definedName>
    <definedName name="tempo" localSheetId="1" hidden="1">{"'Break down'!$A$4"}</definedName>
    <definedName name="tempo" localSheetId="0" hidden="1">{"'Break down'!$A$4"}</definedName>
    <definedName name="tempo" localSheetId="4" hidden="1">{"'Break down'!$A$4"}</definedName>
    <definedName name="tempo" localSheetId="3" hidden="1">{"'Break down'!$A$4"}</definedName>
    <definedName name="tempo" localSheetId="5" hidden="1">{"'Break down'!$A$4"}</definedName>
    <definedName name="tempo" hidden="1">{"'Break down'!$A$4"}</definedName>
    <definedName name="tempo_1" localSheetId="2" hidden="1">{"'Break down'!$A$4"}</definedName>
    <definedName name="tempo_1" localSheetId="1" hidden="1">{"'Break down'!$A$4"}</definedName>
    <definedName name="tempo_1" localSheetId="0" hidden="1">{"'Break down'!$A$4"}</definedName>
    <definedName name="tempo_1" localSheetId="4" hidden="1">{"'Break down'!$A$4"}</definedName>
    <definedName name="tempo_1" localSheetId="3" hidden="1">{"'Break down'!$A$4"}</definedName>
    <definedName name="tempo_1" localSheetId="5" hidden="1">{"'Break down'!$A$4"}</definedName>
    <definedName name="tempo_1" hidden="1">{"'Break down'!$A$4"}</definedName>
    <definedName name="tempo_2" localSheetId="2" hidden="1">{"'Break down'!$A$4"}</definedName>
    <definedName name="tempo_2" localSheetId="1" hidden="1">{"'Break down'!$A$4"}</definedName>
    <definedName name="tempo_2" localSheetId="0" hidden="1">{"'Break down'!$A$4"}</definedName>
    <definedName name="tempo_2" localSheetId="4" hidden="1">{"'Break down'!$A$4"}</definedName>
    <definedName name="tempo_2" localSheetId="3" hidden="1">{"'Break down'!$A$4"}</definedName>
    <definedName name="tempo_2" localSheetId="5" hidden="1">{"'Break down'!$A$4"}</definedName>
    <definedName name="tempo_2" hidden="1">{"'Break down'!$A$4"}</definedName>
    <definedName name="TempRatio" localSheetId="2">#REF!</definedName>
    <definedName name="TempRatio" localSheetId="1">#REF!</definedName>
    <definedName name="TempRatio" localSheetId="0">#REF!</definedName>
    <definedName name="TempRatio" localSheetId="4">#REF!</definedName>
    <definedName name="TempRatio" localSheetId="3">#REF!</definedName>
    <definedName name="TempRatio" localSheetId="5">#REF!</definedName>
    <definedName name="TempRatio">#REF!</definedName>
    <definedName name="TENDBOND" localSheetId="2">#REF!</definedName>
    <definedName name="TENDBOND" localSheetId="1">#REF!</definedName>
    <definedName name="TENDBOND" localSheetId="0">#REF!</definedName>
    <definedName name="TENDBOND" localSheetId="4">#REF!</definedName>
    <definedName name="TENDBOND" localSheetId="3">#REF!</definedName>
    <definedName name="TENDBOND" localSheetId="5">#REF!</definedName>
    <definedName name="TENDBOND">#REF!</definedName>
    <definedName name="TENDER" localSheetId="2">#REF!</definedName>
    <definedName name="TENDER" localSheetId="1">#REF!</definedName>
    <definedName name="TENDER" localSheetId="0">#REF!</definedName>
    <definedName name="TENDER" localSheetId="4">#REF!</definedName>
    <definedName name="TENDER" localSheetId="3">#REF!</definedName>
    <definedName name="TENDER" localSheetId="5">#REF!</definedName>
    <definedName name="TENDER">#REF!</definedName>
    <definedName name="Tender1" localSheetId="4">#REF!</definedName>
    <definedName name="Tender1" localSheetId="3">#REF!</definedName>
    <definedName name="Tender1" localSheetId="5">#REF!</definedName>
    <definedName name="Tender1">#REF!</definedName>
    <definedName name="TERMS_5KV" localSheetId="2">#REF!</definedName>
    <definedName name="TERMS_5KV" localSheetId="1">#REF!</definedName>
    <definedName name="TERMS_5KV" localSheetId="0">#REF!</definedName>
    <definedName name="TERMS_5KV" localSheetId="4">#REF!</definedName>
    <definedName name="TERMS_5KV" localSheetId="3">#REF!</definedName>
    <definedName name="TERMS_5KV" localSheetId="5">#REF!</definedName>
    <definedName name="TERMS_5KV">#REF!</definedName>
    <definedName name="TERMS_600V" localSheetId="2">#REF!</definedName>
    <definedName name="TERMS_600V" localSheetId="1">#REF!</definedName>
    <definedName name="TERMS_600V" localSheetId="0">#REF!</definedName>
    <definedName name="TERMS_600V" localSheetId="4">#REF!</definedName>
    <definedName name="TERMS_600V" localSheetId="3">#REF!</definedName>
    <definedName name="TERMS_600V" localSheetId="5">#REF!</definedName>
    <definedName name="TERMS_600V">#REF!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hy" localSheetId="2" hidden="1">{"'Break down'!$A$4"}</definedName>
    <definedName name="tghy" localSheetId="1" hidden="1">{"'Break down'!$A$4"}</definedName>
    <definedName name="tghy" localSheetId="0" hidden="1">{"'Break down'!$A$4"}</definedName>
    <definedName name="tghy" localSheetId="4" hidden="1">{"'Break down'!$A$4"}</definedName>
    <definedName name="tghy" localSheetId="3" hidden="1">{"'Break down'!$A$4"}</definedName>
    <definedName name="tghy" localSheetId="5" hidden="1">{"'Break down'!$A$4"}</definedName>
    <definedName name="tghy" hidden="1">{"'Break down'!$A$4"}</definedName>
    <definedName name="tghy_1" localSheetId="2" hidden="1">{"'Break down'!$A$4"}</definedName>
    <definedName name="tghy_1" localSheetId="1" hidden="1">{"'Break down'!$A$4"}</definedName>
    <definedName name="tghy_1" localSheetId="0" hidden="1">{"'Break down'!$A$4"}</definedName>
    <definedName name="tghy_1" localSheetId="4" hidden="1">{"'Break down'!$A$4"}</definedName>
    <definedName name="tghy_1" localSheetId="3" hidden="1">{"'Break down'!$A$4"}</definedName>
    <definedName name="tghy_1" localSheetId="5" hidden="1">{"'Break down'!$A$4"}</definedName>
    <definedName name="tghy_1" hidden="1">{"'Break down'!$A$4"}</definedName>
    <definedName name="tghy_2" localSheetId="2" hidden="1">{"'Break down'!$A$4"}</definedName>
    <definedName name="tghy_2" localSheetId="1" hidden="1">{"'Break down'!$A$4"}</definedName>
    <definedName name="tghy_2" localSheetId="0" hidden="1">{"'Break down'!$A$4"}</definedName>
    <definedName name="tghy_2" localSheetId="4" hidden="1">{"'Break down'!$A$4"}</definedName>
    <definedName name="tghy_2" localSheetId="3" hidden="1">{"'Break down'!$A$4"}</definedName>
    <definedName name="tghy_2" localSheetId="5" hidden="1">{"'Break down'!$A$4"}</definedName>
    <definedName name="tghy_2" hidden="1">{"'Break down'!$A$4"}</definedName>
    <definedName name="THK" localSheetId="2">#REF!</definedName>
    <definedName name="THK" localSheetId="1">#REF!</definedName>
    <definedName name="THK" localSheetId="0">#REF!</definedName>
    <definedName name="THK" localSheetId="4">#REF!</definedName>
    <definedName name="THK" localSheetId="3">#REF!</definedName>
    <definedName name="THK" localSheetId="5">#REF!</definedName>
    <definedName name="THK">#REF!</definedName>
    <definedName name="ThurdaySANG" localSheetId="0">OFFSET(#REF!,0,0,COUNTA(#REF!),COUNTA(#REF!))</definedName>
    <definedName name="ThurdaySANG" localSheetId="4">OFFSET(#REF!,0,0,COUNTA(#REF!),COUNTA(#REF!))</definedName>
    <definedName name="ThurdaySANG" localSheetId="3">OFFSET(#REF!,0,0,COUNTA(#REF!),COUNTA(#REF!))</definedName>
    <definedName name="ThurdaySANG" localSheetId="5">OFFSET(#REF!,0,0,COUNTA(#REF!),COUNTA(#REF!))</definedName>
    <definedName name="ThurdaySANG">OFFSET(#REF!,0,0,COUNTA(#REF!),COUNTA(#REF!))</definedName>
    <definedName name="Thursday_Dynamic_Print_Area" localSheetId="0">OFFSET(#REF!,0,0,COUNTA(#REF!),COUNTA(#REF!))</definedName>
    <definedName name="Thursday_Dynamic_Print_Area" localSheetId="4">OFFSET(#REF!,0,0,COUNTA(#REF!),COUNTA(#REF!))</definedName>
    <definedName name="Thursday_Dynamic_Print_Area" localSheetId="3">OFFSET(#REF!,0,0,COUNTA(#REF!),COUNTA(#REF!))</definedName>
    <definedName name="Thursday_Dynamic_Print_Area" localSheetId="5">OFFSET(#REF!,0,0,COUNTA(#REF!),COUNTA(#REF!))</definedName>
    <definedName name="Thursday_Dynamic_Print_Area">OFFSET(#REF!,0,0,COUNTA(#REF!),COUNTA(#REF!))</definedName>
    <definedName name="TILING" localSheetId="2">#REF!</definedName>
    <definedName name="TILING" localSheetId="1">#REF!</definedName>
    <definedName name="TILING" localSheetId="0">#REF!</definedName>
    <definedName name="TILING" localSheetId="4">#REF!</definedName>
    <definedName name="TILING" localSheetId="3">#REF!</definedName>
    <definedName name="TILING" localSheetId="5">#REF!</definedName>
    <definedName name="TILING">#REF!</definedName>
    <definedName name="TITLE" localSheetId="2">#REF!,#REF!,#REF!,#REF!,#REF!,#REF!,#REF!,#REF!,#REF!,#REF!</definedName>
    <definedName name="TITLE" localSheetId="1">#REF!,#REF!,#REF!,#REF!,#REF!,#REF!,#REF!,#REF!,#REF!,#REF!</definedName>
    <definedName name="TITLE" localSheetId="0">#REF!,#REF!,#REF!,#REF!,#REF!,#REF!,#REF!,#REF!,#REF!,#REF!</definedName>
    <definedName name="TITLE" localSheetId="4">#REF!,#REF!,#REF!,#REF!,#REF!,#REF!,#REF!,#REF!,#REF!,#REF!</definedName>
    <definedName name="TITLE" localSheetId="3">#REF!,#REF!,#REF!,#REF!,#REF!,#REF!,#REF!,#REF!,#REF!,#REF!</definedName>
    <definedName name="TITLE" localSheetId="5">#REF!,#REF!,#REF!,#REF!,#REF!,#REF!,#REF!,#REF!,#REF!,#REF!</definedName>
    <definedName name="TITLE">#REF!,#REF!,#REF!,#REF!,#REF!,#REF!,#REF!,#REF!,#REF!,#REF!</definedName>
    <definedName name="TITLES_A_HRS" localSheetId="4">#REF!</definedName>
    <definedName name="TITLES_A_HRS" localSheetId="3">#REF!</definedName>
    <definedName name="TITLES_A_HRS" localSheetId="5">#REF!</definedName>
    <definedName name="TITLES_A_HRS">#REF!</definedName>
    <definedName name="TITLES_PRINT" localSheetId="4">#REF!</definedName>
    <definedName name="TITLES_PRINT" localSheetId="3">#REF!</definedName>
    <definedName name="TITLES_PRINT" localSheetId="5">#REF!</definedName>
    <definedName name="TITLES_PRINT">#REF!</definedName>
    <definedName name="TL" localSheetId="2">#REF!</definedName>
    <definedName name="TL" localSheetId="1">#REF!</definedName>
    <definedName name="TL" localSheetId="0">#REF!</definedName>
    <definedName name="TL" localSheetId="4">#REF!</definedName>
    <definedName name="TL" localSheetId="3">#REF!</definedName>
    <definedName name="TL" localSheetId="5">#REF!</definedName>
    <definedName name="TL">#REF!</definedName>
    <definedName name="tlo" localSheetId="2">#REF!</definedName>
    <definedName name="tlo" localSheetId="1">#REF!</definedName>
    <definedName name="tlo" localSheetId="0">#REF!</definedName>
    <definedName name="tlo" localSheetId="4">#REF!</definedName>
    <definedName name="tlo" localSheetId="3">#REF!</definedName>
    <definedName name="tlo" localSheetId="5">#REF!</definedName>
    <definedName name="tlo">#REF!</definedName>
    <definedName name="TM" localSheetId="2">#REF!</definedName>
    <definedName name="TM" localSheetId="1">#REF!</definedName>
    <definedName name="TM" localSheetId="0">#REF!</definedName>
    <definedName name="TM" localSheetId="4">#REF!</definedName>
    <definedName name="TM" localSheetId="3">#REF!</definedName>
    <definedName name="TM" localSheetId="5">#REF!</definedName>
    <definedName name="TM">#REF!</definedName>
    <definedName name="tm_1" localSheetId="2" hidden="1">{"'Break down'!$A$4"}</definedName>
    <definedName name="tm_1" localSheetId="1" hidden="1">{"'Break down'!$A$4"}</definedName>
    <definedName name="tm_1" localSheetId="0" hidden="1">{"'Break down'!$A$4"}</definedName>
    <definedName name="tm_1" localSheetId="4" hidden="1">{"'Break down'!$A$4"}</definedName>
    <definedName name="tm_1" localSheetId="3" hidden="1">{"'Break down'!$A$4"}</definedName>
    <definedName name="tm_1" localSheetId="5" hidden="1">{"'Break down'!$A$4"}</definedName>
    <definedName name="tm_1" hidden="1">{"'Break down'!$A$4"}</definedName>
    <definedName name="tm_2" localSheetId="2" hidden="1">{"'Break down'!$A$4"}</definedName>
    <definedName name="tm_2" localSheetId="1" hidden="1">{"'Break down'!$A$4"}</definedName>
    <definedName name="tm_2" localSheetId="0" hidden="1">{"'Break down'!$A$4"}</definedName>
    <definedName name="tm_2" localSheetId="4" hidden="1">{"'Break down'!$A$4"}</definedName>
    <definedName name="tm_2" localSheetId="3" hidden="1">{"'Break down'!$A$4"}</definedName>
    <definedName name="tm_2" localSheetId="5" hidden="1">{"'Break down'!$A$4"}</definedName>
    <definedName name="tm_2" hidden="1">{"'Break down'!$A$4"}</definedName>
    <definedName name="tmp" localSheetId="2" hidden="1">{"'Break down'!$A$4"}</definedName>
    <definedName name="tmp" localSheetId="1" hidden="1">{"'Break down'!$A$4"}</definedName>
    <definedName name="tmp" localSheetId="0" hidden="1">{"'Break down'!$A$4"}</definedName>
    <definedName name="tmp" localSheetId="4" hidden="1">{"'Break down'!$A$4"}</definedName>
    <definedName name="tmp" localSheetId="3" hidden="1">{"'Break down'!$A$4"}</definedName>
    <definedName name="tmp" localSheetId="5" hidden="1">{"'Break down'!$A$4"}</definedName>
    <definedName name="tmp" hidden="1">{"'Break down'!$A$4"}</definedName>
    <definedName name="tmp_1" localSheetId="2" hidden="1">{"'Break down'!$A$4"}</definedName>
    <definedName name="tmp_1" localSheetId="1" hidden="1">{"'Break down'!$A$4"}</definedName>
    <definedName name="tmp_1" localSheetId="0" hidden="1">{"'Break down'!$A$4"}</definedName>
    <definedName name="tmp_1" localSheetId="4" hidden="1">{"'Break down'!$A$4"}</definedName>
    <definedName name="tmp_1" localSheetId="3" hidden="1">{"'Break down'!$A$4"}</definedName>
    <definedName name="tmp_1" localSheetId="5" hidden="1">{"'Break down'!$A$4"}</definedName>
    <definedName name="tmp_1" hidden="1">{"'Break down'!$A$4"}</definedName>
    <definedName name="tmp_2" localSheetId="2" hidden="1">{"'Break down'!$A$4"}</definedName>
    <definedName name="tmp_2" localSheetId="1" hidden="1">{"'Break down'!$A$4"}</definedName>
    <definedName name="tmp_2" localSheetId="0" hidden="1">{"'Break down'!$A$4"}</definedName>
    <definedName name="tmp_2" localSheetId="4" hidden="1">{"'Break down'!$A$4"}</definedName>
    <definedName name="tmp_2" localSheetId="3" hidden="1">{"'Break down'!$A$4"}</definedName>
    <definedName name="tmp_2" localSheetId="5" hidden="1">{"'Break down'!$A$4"}</definedName>
    <definedName name="tmp_2" hidden="1">{"'Break down'!$A$4"}</definedName>
    <definedName name="tno" localSheetId="2" hidden="1">{"'Break down'!$A$4"}</definedName>
    <definedName name="tno" localSheetId="1" hidden="1">{"'Break down'!$A$4"}</definedName>
    <definedName name="tno" localSheetId="0" hidden="1">{"'Break down'!$A$4"}</definedName>
    <definedName name="tno" localSheetId="4" hidden="1">{"'Break down'!$A$4"}</definedName>
    <definedName name="tno" localSheetId="3" hidden="1">{"'Break down'!$A$4"}</definedName>
    <definedName name="tno" localSheetId="5" hidden="1">{"'Break down'!$A$4"}</definedName>
    <definedName name="tno" hidden="1">{"'Break down'!$A$4"}</definedName>
    <definedName name="tno_1" localSheetId="2" hidden="1">{"'Break down'!$A$4"}</definedName>
    <definedName name="tno_1" localSheetId="1" hidden="1">{"'Break down'!$A$4"}</definedName>
    <definedName name="tno_1" localSheetId="0" hidden="1">{"'Break down'!$A$4"}</definedName>
    <definedName name="tno_1" localSheetId="4" hidden="1">{"'Break down'!$A$4"}</definedName>
    <definedName name="tno_1" localSheetId="3" hidden="1">{"'Break down'!$A$4"}</definedName>
    <definedName name="tno_1" localSheetId="5" hidden="1">{"'Break down'!$A$4"}</definedName>
    <definedName name="tno_1" hidden="1">{"'Break down'!$A$4"}</definedName>
    <definedName name="tno_2" localSheetId="2" hidden="1">{"'Break down'!$A$4"}</definedName>
    <definedName name="tno_2" localSheetId="1" hidden="1">{"'Break down'!$A$4"}</definedName>
    <definedName name="tno_2" localSheetId="0" hidden="1">{"'Break down'!$A$4"}</definedName>
    <definedName name="tno_2" localSheetId="4" hidden="1">{"'Break down'!$A$4"}</definedName>
    <definedName name="tno_2" localSheetId="3" hidden="1">{"'Break down'!$A$4"}</definedName>
    <definedName name="tno_2" localSheetId="5" hidden="1">{"'Break down'!$A$4"}</definedName>
    <definedName name="tno_2" hidden="1">{"'Break down'!$A$4"}</definedName>
    <definedName name="TNWWT" localSheetId="2">#REF!</definedName>
    <definedName name="TNWWT" localSheetId="1">#REF!</definedName>
    <definedName name="TNWWT" localSheetId="0">#REF!</definedName>
    <definedName name="TNWWT" localSheetId="4">#REF!</definedName>
    <definedName name="TNWWT" localSheetId="3">#REF!</definedName>
    <definedName name="TNWWT" localSheetId="5">#REF!</definedName>
    <definedName name="TNWWT">#REF!</definedName>
    <definedName name="TOL" localSheetId="2">#REF!</definedName>
    <definedName name="TOL" localSheetId="1">#REF!</definedName>
    <definedName name="TOL" localSheetId="0">#REF!</definedName>
    <definedName name="TOL" localSheetId="4">#REF!</definedName>
    <definedName name="TOL" localSheetId="3">#REF!</definedName>
    <definedName name="TOL" localSheetId="5">#REF!</definedName>
    <definedName name="TOL">#REF!</definedName>
    <definedName name="TOP_DIMS" localSheetId="4">#REF!</definedName>
    <definedName name="TOP_DIMS" localSheetId="3">#REF!</definedName>
    <definedName name="TOP_DIMS" localSheetId="5">#REF!</definedName>
    <definedName name="TOP_DIMS">#REF!</definedName>
    <definedName name="Topcoat" localSheetId="4">#REF!</definedName>
    <definedName name="Topcoat" localSheetId="3">#REF!</definedName>
    <definedName name="Topcoat" localSheetId="5">#REF!</definedName>
    <definedName name="Topcoat">#REF!</definedName>
    <definedName name="TOT_CV" localSheetId="4">#REF!</definedName>
    <definedName name="TOT_CV" localSheetId="3">#REF!</definedName>
    <definedName name="TOT_CV" localSheetId="5">#REF!</definedName>
    <definedName name="TOT_CV">#REF!</definedName>
    <definedName name="TOT_EXP_COND" localSheetId="2">#REF!</definedName>
    <definedName name="TOT_EXP_COND" localSheetId="1">#REF!</definedName>
    <definedName name="TOT_EXP_COND" localSheetId="0">#REF!</definedName>
    <definedName name="TOT_EXP_COND" localSheetId="4">#REF!</definedName>
    <definedName name="TOT_EXP_COND" localSheetId="3">#REF!</definedName>
    <definedName name="TOT_EXP_COND" localSheetId="5">#REF!</definedName>
    <definedName name="TOT_EXP_COND">#REF!</definedName>
    <definedName name="TOT_FIXTURES" localSheetId="2">#REF!</definedName>
    <definedName name="TOT_FIXTURES" localSheetId="1">#REF!</definedName>
    <definedName name="TOT_FIXTURES" localSheetId="0">#REF!</definedName>
    <definedName name="TOT_FIXTURES" localSheetId="4">#REF!</definedName>
    <definedName name="TOT_FIXTURES" localSheetId="3">#REF!</definedName>
    <definedName name="TOT_FIXTURES" localSheetId="5">#REF!</definedName>
    <definedName name="TOT_FIXTURES">#REF!</definedName>
    <definedName name="TOT_PVC_COND" localSheetId="2">#REF!</definedName>
    <definedName name="TOT_PVC_COND" localSheetId="1">#REF!</definedName>
    <definedName name="TOT_PVC_COND" localSheetId="0">#REF!</definedName>
    <definedName name="TOT_PVC_COND" localSheetId="4">#REF!</definedName>
    <definedName name="TOT_PVC_COND" localSheetId="3">#REF!</definedName>
    <definedName name="TOT_PVC_COND" localSheetId="5">#REF!</definedName>
    <definedName name="TOT_PVC_COND">#REF!</definedName>
    <definedName name="TOTAL" localSheetId="2">#REF!</definedName>
    <definedName name="TOTAL" localSheetId="1">#REF!</definedName>
    <definedName name="TOTAL" localSheetId="0">#REF!</definedName>
    <definedName name="TOTAL" localSheetId="4">#REF!</definedName>
    <definedName name="TOTAL" localSheetId="3">#REF!</definedName>
    <definedName name="TOTAL" localSheetId="5">#REF!</definedName>
    <definedName name="TOTAL">#REF!</definedName>
    <definedName name="Total_Burden" localSheetId="4">#REF!</definedName>
    <definedName name="Total_Burden" localSheetId="3">#REF!</definedName>
    <definedName name="Total_Burden" localSheetId="5">#REF!</definedName>
    <definedName name="Total_Burden">#REF!</definedName>
    <definedName name="TOTAL_DIRECTS" localSheetId="2">#REF!</definedName>
    <definedName name="TOTAL_DIRECTS" localSheetId="1">#REF!</definedName>
    <definedName name="TOTAL_DIRECTS" localSheetId="0">#REF!</definedName>
    <definedName name="TOTAL_DIRECTS" localSheetId="4">#REF!</definedName>
    <definedName name="TOTAL_DIRECTS" localSheetId="3">#REF!</definedName>
    <definedName name="TOTAL_DIRECTS" localSheetId="5">#REF!</definedName>
    <definedName name="TOTAL_DIRECTS">#REF!</definedName>
    <definedName name="total_graph" localSheetId="4">#REF!</definedName>
    <definedName name="total_graph" localSheetId="3">#REF!</definedName>
    <definedName name="total_graph" localSheetId="5">#REF!</definedName>
    <definedName name="total_graph">#REF!</definedName>
    <definedName name="TOTAL_INDIRECTS" localSheetId="2">#REF!</definedName>
    <definedName name="TOTAL_INDIRECTS" localSheetId="1">#REF!</definedName>
    <definedName name="TOTAL_INDIRECTS" localSheetId="0">#REF!</definedName>
    <definedName name="TOTAL_INDIRECTS" localSheetId="4">#REF!</definedName>
    <definedName name="TOTAL_INDIRECTS" localSheetId="3">#REF!</definedName>
    <definedName name="TOTAL_INDIRECTS" localSheetId="5">#REF!</definedName>
    <definedName name="TOTAL_INDIRECTS">#REF!</definedName>
    <definedName name="Total_Interest" localSheetId="2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3">#REF!</definedName>
    <definedName name="Total_Interest" localSheetId="5">#REF!</definedName>
    <definedName name="Total_Interest">#REF!</definedName>
    <definedName name="Total_Pay" localSheetId="2">#REF!</definedName>
    <definedName name="Total_Pay" localSheetId="1">#REF!</definedName>
    <definedName name="Total_Pay" localSheetId="0">#REF!</definedName>
    <definedName name="Total_Pay" localSheetId="4">#REF!</definedName>
    <definedName name="Total_Pay" localSheetId="3">#REF!</definedName>
    <definedName name="Total_Pay" localSheetId="5">#REF!</definedName>
    <definedName name="Total_Pay">#REF!</definedName>
    <definedName name="Total_Payment" localSheetId="2">Scheduled_Payment+Extra_Payment</definedName>
    <definedName name="Total_Payment" localSheetId="1">Scheduled_Payment+Extra_Payment</definedName>
    <definedName name="Total_Payment" localSheetId="0">Scheduled_Payment+Extra_Payment</definedName>
    <definedName name="Total_Payment" localSheetId="4">Scheduled_Payment+Extra_Payment</definedName>
    <definedName name="Total_Payment" localSheetId="3">Scheduled_Payment+Extra_Payment</definedName>
    <definedName name="Total_Payment" localSheetId="5">Scheduled_Payment+Extra_Payment</definedName>
    <definedName name="Total_Payment">Scheduled_Payment+Extra_Payment</definedName>
    <definedName name="TOTAL_PRICE_PAYABLE" localSheetId="0">#REF!</definedName>
    <definedName name="TOTAL_PRICE_PAYABLE" localSheetId="4">#REF!</definedName>
    <definedName name="TOTAL_PRICE_PAYABLE" localSheetId="3">#REF!</definedName>
    <definedName name="TOTAL_PRICE_PAYABLE" localSheetId="5">#REF!</definedName>
    <definedName name="TOTAL_PRICE_PAYABLE">#REF!</definedName>
    <definedName name="total_schedule" localSheetId="4">#REF!</definedName>
    <definedName name="total_schedule" localSheetId="3">#REF!</definedName>
    <definedName name="total_schedule" localSheetId="5">#REF!</definedName>
    <definedName name="total_schedule">#REF!</definedName>
    <definedName name="Total_Sell" localSheetId="4">#REF!</definedName>
    <definedName name="Total_Sell" localSheetId="3">#REF!</definedName>
    <definedName name="Total_Sell" localSheetId="5">#REF!</definedName>
    <definedName name="Total_Sell">#REF!</definedName>
    <definedName name="TOTAL1" localSheetId="4">#REF!</definedName>
    <definedName name="TOTAL1" localSheetId="3">#REF!</definedName>
    <definedName name="TOTAL1" localSheetId="5">#REF!</definedName>
    <definedName name="TOTAL1">#REF!</definedName>
    <definedName name="TotalForecastFee" localSheetId="4">#REF!</definedName>
    <definedName name="TotalForecastFee" localSheetId="3">#REF!</definedName>
    <definedName name="TotalForecastFee" localSheetId="5">#REF!</definedName>
    <definedName name="TotalForecastFee">#REF!</definedName>
    <definedName name="TRAY" localSheetId="2">#REF!</definedName>
    <definedName name="TRAY" localSheetId="1">#REF!</definedName>
    <definedName name="TRAY" localSheetId="0">#REF!</definedName>
    <definedName name="TRAY" localSheetId="4">#REF!</definedName>
    <definedName name="TRAY" localSheetId="3">#REF!</definedName>
    <definedName name="TRAY" localSheetId="5">#REF!</definedName>
    <definedName name="TRAY">#REF!</definedName>
    <definedName name="TRAY_PRICING" localSheetId="2">#REF!</definedName>
    <definedName name="TRAY_PRICING" localSheetId="1">#REF!</definedName>
    <definedName name="TRAY_PRICING" localSheetId="0">#REF!</definedName>
    <definedName name="TRAY_PRICING" localSheetId="4">#REF!</definedName>
    <definedName name="TRAY_PRICING" localSheetId="3">#REF!</definedName>
    <definedName name="TRAY_PRICING" localSheetId="5">#REF!</definedName>
    <definedName name="TRAY_PRICING">#REF!</definedName>
    <definedName name="TRAY_TYPE" localSheetId="2">#REF!</definedName>
    <definedName name="TRAY_TYPE" localSheetId="1">#REF!</definedName>
    <definedName name="TRAY_TYPE" localSheetId="0">#REF!</definedName>
    <definedName name="TRAY_TYPE" localSheetId="4">#REF!</definedName>
    <definedName name="TRAY_TYPE" localSheetId="3">#REF!</definedName>
    <definedName name="TRAY_TYPE" localSheetId="5">#REF!</definedName>
    <definedName name="TRAY_TYPE">#REF!</definedName>
    <definedName name="Tray_Width" localSheetId="2">IF(VLOOKUP(#REF!,'A10 Design + Subs fee'!TRAY_PRICING,2,FALSE)=0,0,VLOOKUP(#REF!,'A10 Design + Subs fee'!TRAY_PRICING,2,FALSE))</definedName>
    <definedName name="Tray_Width" localSheetId="1">IF(VLOOKUP(#REF!,'A9 Design + Subs fee '!TRAY_PRICING,2,FALSE)=0,0,VLOOKUP(#REF!,'A9 Design + Subs fee '!TRAY_PRICING,2,FALSE))</definedName>
    <definedName name="Tray_Width" localSheetId="0">IF(VLOOKUP(#REF!,'FEE RECON RAIHAN'!TRAY_PRICING,2,FALSE)=0,0,VLOOKUP(#REF!,'FEE RECON RAIHAN'!TRAY_PRICING,2,FALSE))</definedName>
    <definedName name="Tray_Width" localSheetId="4">IF(VLOOKUP(#REF!,'Mastersheet-Projects'!TRAY_PRICING,2,FALSE)=0,0,VLOOKUP(#REF!,'Mastersheet-Projects'!TRAY_PRICING,2,FALSE))</definedName>
    <definedName name="Tray_Width" localSheetId="3">IF(VLOOKUP(#REF!,'Mastersheet-Resources'!TRAY_PRICING,2,FALSE)=0,0,VLOOKUP(#REF!,'Mastersheet-Resources'!TRAY_PRICING,2,FALSE))</definedName>
    <definedName name="Tray_Width" localSheetId="5">IF(VLOOKUP(#REF!,'Tender List'!TRAY_PRICING,2,FALSE)=0,0,VLOOKUP(#REF!,'Tender List'!TRAY_PRICING,2,FALSE))</definedName>
    <definedName name="Tray_Width">IF(VLOOKUP(#REF!,TRAY_PRICING,2,FALSE)=0,0,VLOOKUP(#REF!,TRAY_PRICING,2,FALSE))</definedName>
    <definedName name="Tray1_Width">#N/A</definedName>
    <definedName name="TRENCHES" localSheetId="2">#REF!</definedName>
    <definedName name="TRENCHES" localSheetId="1">#REF!</definedName>
    <definedName name="TRENCHES" localSheetId="0">#REF!</definedName>
    <definedName name="TRENCHES" localSheetId="4">#REF!</definedName>
    <definedName name="TRENCHES" localSheetId="3">#REF!</definedName>
    <definedName name="TRENCHES" localSheetId="5">#REF!</definedName>
    <definedName name="TRENCHES">#REF!</definedName>
    <definedName name="truty" localSheetId="4">#REF!</definedName>
    <definedName name="truty" localSheetId="3">#REF!</definedName>
    <definedName name="truty" localSheetId="5">#REF!</definedName>
    <definedName name="truty">#REF!</definedName>
    <definedName name="TSC" localSheetId="2">#REF!</definedName>
    <definedName name="TSC" localSheetId="1">#REF!</definedName>
    <definedName name="TSC" localSheetId="0">#REF!</definedName>
    <definedName name="TSC" localSheetId="4">#REF!</definedName>
    <definedName name="TSC" localSheetId="3">#REF!</definedName>
    <definedName name="TSC" localSheetId="5">#REF!</definedName>
    <definedName name="TSC">#REF!</definedName>
    <definedName name="TSD" localSheetId="2">#REF!</definedName>
    <definedName name="TSD" localSheetId="1">#REF!</definedName>
    <definedName name="TSD" localSheetId="0">#REF!</definedName>
    <definedName name="TSD" localSheetId="4">#REF!</definedName>
    <definedName name="TSD" localSheetId="3">#REF!</definedName>
    <definedName name="TSD" localSheetId="5">#REF!</definedName>
    <definedName name="TSD">#REF!</definedName>
    <definedName name="TSK" localSheetId="2">#REF!</definedName>
    <definedName name="TSK" localSheetId="1">#REF!</definedName>
    <definedName name="TSK" localSheetId="0">#REF!</definedName>
    <definedName name="TSK" localSheetId="4">#REF!</definedName>
    <definedName name="TSK" localSheetId="3">#REF!</definedName>
    <definedName name="TSK" localSheetId="5">#REF!</definedName>
    <definedName name="TSK">#REF!</definedName>
    <definedName name="TSktg" localSheetId="4">#REF!</definedName>
    <definedName name="TSktg" localSheetId="3">#REF!</definedName>
    <definedName name="TSktg" localSheetId="5">#REF!</definedName>
    <definedName name="TSktg">#REF!</definedName>
    <definedName name="TSS" localSheetId="4">#REF!</definedName>
    <definedName name="TSS" localSheetId="3">#REF!</definedName>
    <definedName name="TSS" localSheetId="5">#REF!</definedName>
    <definedName name="TSS">#REF!</definedName>
    <definedName name="TTA" localSheetId="4">#REF!</definedName>
    <definedName name="TTA" localSheetId="3">#REF!</definedName>
    <definedName name="TTA" localSheetId="5">#REF!</definedName>
    <definedName name="TTA">#REF!</definedName>
    <definedName name="TTB" localSheetId="4">#REF!</definedName>
    <definedName name="TTB" localSheetId="3">#REF!</definedName>
    <definedName name="TTB" localSheetId="5">#REF!</definedName>
    <definedName name="TTB">#REF!</definedName>
    <definedName name="ttt" localSheetId="2">#REF!</definedName>
    <definedName name="ttt" localSheetId="1">#REF!</definedName>
    <definedName name="ttt" localSheetId="0">#REF!</definedName>
    <definedName name="ttt" localSheetId="4">#REF!</definedName>
    <definedName name="ttt" localSheetId="3">#REF!</definedName>
    <definedName name="ttt" localSheetId="5">#REF!</definedName>
    <definedName name="ttt">#REF!</definedName>
    <definedName name="TTX" localSheetId="4">#REF!</definedName>
    <definedName name="TTX" localSheetId="3">#REF!</definedName>
    <definedName name="TTX" localSheetId="5">#REF!</definedName>
    <definedName name="TTX">#REF!</definedName>
    <definedName name="tube_test_press1_12" localSheetId="2">#REF!</definedName>
    <definedName name="tube_test_press1_12" localSheetId="1">#REF!</definedName>
    <definedName name="tube_test_press1_12" localSheetId="0">#REF!</definedName>
    <definedName name="tube_test_press1_12" localSheetId="4">#REF!</definedName>
    <definedName name="tube_test_press1_12" localSheetId="3">#REF!</definedName>
    <definedName name="tube_test_press1_12" localSheetId="5">#REF!</definedName>
    <definedName name="tube_test_press1_12">#REF!</definedName>
    <definedName name="TUBED_INST" localSheetId="2">#REF!</definedName>
    <definedName name="TUBED_INST" localSheetId="1">#REF!</definedName>
    <definedName name="TUBED_INST" localSheetId="0">#REF!</definedName>
    <definedName name="TUBED_INST" localSheetId="4">#REF!</definedName>
    <definedName name="TUBED_INST" localSheetId="3">#REF!</definedName>
    <definedName name="TUBED_INST" localSheetId="5">#REF!</definedName>
    <definedName name="TUBED_INST">#REF!</definedName>
    <definedName name="TUBE계획" localSheetId="2">#REF!</definedName>
    <definedName name="TUBE계획" localSheetId="1">#REF!</definedName>
    <definedName name="TUBE계획" localSheetId="4">#REF!</definedName>
    <definedName name="TUBE계획" localSheetId="3">#REF!</definedName>
    <definedName name="TUBE계획" localSheetId="5">#REF!</definedName>
    <definedName name="TUBE계획">#REF!</definedName>
    <definedName name="Tuesday_Dynamic_Print_Area" localSheetId="0">OFFSET(#REF!,0,0,COUNTA(#REF!),COUNTA(#REF!))</definedName>
    <definedName name="Tuesday_Dynamic_Print_Area" localSheetId="4">OFFSET(#REF!,0,0,COUNTA(#REF!),COUNTA(#REF!))</definedName>
    <definedName name="Tuesday_Dynamic_Print_Area" localSheetId="3">OFFSET(#REF!,0,0,COUNTA(#REF!),COUNTA(#REF!))</definedName>
    <definedName name="Tuesday_Dynamic_Print_Area" localSheetId="5">OFFSET(#REF!,0,0,COUNTA(#REF!),COUNTA(#REF!))</definedName>
    <definedName name="Tuesday_Dynamic_Print_Area">OFFSET(#REF!,0,0,COUNTA(#REF!),COUNTA(#REF!))</definedName>
    <definedName name="TuesdaySANG_Dynamic_Print_Area" localSheetId="0">OFFSET(#REF!,0,0,COUNTA(#REF!),COUNTA(#REF!))</definedName>
    <definedName name="TuesdaySANG_Dynamic_Print_Area" localSheetId="4">OFFSET(#REF!,0,0,COUNTA(#REF!),COUNTA(#REF!))</definedName>
    <definedName name="TuesdaySANG_Dynamic_Print_Area" localSheetId="3">OFFSET(#REF!,0,0,COUNTA(#REF!),COUNTA(#REF!))</definedName>
    <definedName name="TuesdaySANG_Dynamic_Print_Area" localSheetId="5">OFFSET(#REF!,0,0,COUNTA(#REF!),COUNTA(#REF!))</definedName>
    <definedName name="TuesdaySANG_Dynamic_Print_Area">OFFSET(#REF!,0,0,COUNTA(#REF!),COUNTA(#REF!))</definedName>
    <definedName name="tui" localSheetId="2" hidden="1">{#N/A,#N/A,TRUE,"Cover";#N/A,#N/A,TRUE,"Conts";#N/A,#N/A,TRUE,"VOS";#N/A,#N/A,TRUE,"Warrington";#N/A,#N/A,TRUE,"Widnes"}</definedName>
    <definedName name="tui" localSheetId="1" hidden="1">{#N/A,#N/A,TRUE,"Cover";#N/A,#N/A,TRUE,"Conts";#N/A,#N/A,TRUE,"VOS";#N/A,#N/A,TRUE,"Warrington";#N/A,#N/A,TRUE,"Widnes"}</definedName>
    <definedName name="tui" localSheetId="0" hidden="1">{#N/A,#N/A,TRUE,"Cover";#N/A,#N/A,TRUE,"Conts";#N/A,#N/A,TRUE,"VOS";#N/A,#N/A,TRUE,"Warrington";#N/A,#N/A,TRUE,"Widnes"}</definedName>
    <definedName name="tui" localSheetId="4" hidden="1">{#N/A,#N/A,TRUE,"Cover";#N/A,#N/A,TRUE,"Conts";#N/A,#N/A,TRUE,"VOS";#N/A,#N/A,TRUE,"Warrington";#N/A,#N/A,TRUE,"Widnes"}</definedName>
    <definedName name="tui" localSheetId="3" hidden="1">{#N/A,#N/A,TRUE,"Cover";#N/A,#N/A,TRUE,"Conts";#N/A,#N/A,TRUE,"VOS";#N/A,#N/A,TRUE,"Warrington";#N/A,#N/A,TRUE,"Widnes"}</definedName>
    <definedName name="tui" localSheetId="5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y" localSheetId="2" hidden="1">{#N/A,#N/A,TRUE,"Cover";#N/A,#N/A,TRUE,"Conts";#N/A,#N/A,TRUE,"VOS";#N/A,#N/A,TRUE,"Warrington";#N/A,#N/A,TRUE,"Widnes"}</definedName>
    <definedName name="ty" localSheetId="1" hidden="1">{#N/A,#N/A,TRUE,"Cover";#N/A,#N/A,TRUE,"Conts";#N/A,#N/A,TRUE,"VOS";#N/A,#N/A,TRUE,"Warrington";#N/A,#N/A,TRUE,"Widnes"}</definedName>
    <definedName name="ty" localSheetId="0" hidden="1">{#N/A,#N/A,TRUE,"Cover";#N/A,#N/A,TRUE,"Conts";#N/A,#N/A,TRUE,"VOS";#N/A,#N/A,TRUE,"Warrington";#N/A,#N/A,TRUE,"Widnes"}</definedName>
    <definedName name="ty" localSheetId="4" hidden="1">{#N/A,#N/A,TRUE,"Cover";#N/A,#N/A,TRUE,"Conts";#N/A,#N/A,TRUE,"VOS";#N/A,#N/A,TRUE,"Warrington";#N/A,#N/A,TRUE,"Widnes"}</definedName>
    <definedName name="ty" localSheetId="3" hidden="1">{#N/A,#N/A,TRUE,"Cover";#N/A,#N/A,TRUE,"Conts";#N/A,#N/A,TRUE,"VOS";#N/A,#N/A,TRUE,"Warrington";#N/A,#N/A,TRUE,"Widnes"}</definedName>
    <definedName name="ty" localSheetId="5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 localSheetId="2">#REF!</definedName>
    <definedName name="Type" localSheetId="1">#REF!</definedName>
    <definedName name="Type" localSheetId="0">#REF!</definedName>
    <definedName name="Type" localSheetId="4">#REF!</definedName>
    <definedName name="Type" localSheetId="3">#REF!</definedName>
    <definedName name="Type" localSheetId="5">#REF!</definedName>
    <definedName name="Type">#REF!</definedName>
    <definedName name="u" localSheetId="2" hidden="1">{#N/A,#N/A,TRUE,"Cover";#N/A,#N/A,TRUE,"Conts";#N/A,#N/A,TRUE,"VOS";#N/A,#N/A,TRUE,"Warrington";#N/A,#N/A,TRUE,"Widnes"}</definedName>
    <definedName name="u" localSheetId="1" hidden="1">{#N/A,#N/A,TRUE,"Cover";#N/A,#N/A,TRUE,"Conts";#N/A,#N/A,TRUE,"VOS";#N/A,#N/A,TRUE,"Warrington";#N/A,#N/A,TRUE,"Widnes"}</definedName>
    <definedName name="U" localSheetId="0">#REF!</definedName>
    <definedName name="U" localSheetId="4">#REF!</definedName>
    <definedName name="U" localSheetId="3">#REF!</definedName>
    <definedName name="U" localSheetId="5">#REF!</definedName>
    <definedName name="U">#REF!</definedName>
    <definedName name="U_G" localSheetId="2">#REF!</definedName>
    <definedName name="U_G" localSheetId="1">#REF!</definedName>
    <definedName name="U_G" localSheetId="0">#REF!</definedName>
    <definedName name="U_G" localSheetId="4">#REF!</definedName>
    <definedName name="U_G" localSheetId="3">#REF!</definedName>
    <definedName name="U_G" localSheetId="5">#REF!</definedName>
    <definedName name="U_G">#REF!</definedName>
    <definedName name="UC_Mnhr" localSheetId="2">#REF!</definedName>
    <definedName name="UC_Mnhr" localSheetId="1">#REF!</definedName>
    <definedName name="UC_Mnhr" localSheetId="0">#REF!</definedName>
    <definedName name="UC_Mnhr" localSheetId="4">#REF!</definedName>
    <definedName name="UC_Mnhr" localSheetId="3">#REF!</definedName>
    <definedName name="UC_Mnhr" localSheetId="5">#REF!</definedName>
    <definedName name="UC_Mnhr">#REF!</definedName>
    <definedName name="UHrs_Civil" localSheetId="2">IF(VLOOKUP(#REF!,PRICE_CIVIL,9,FALSE)=0,0,VLOOKUP(#REF!,PRICE_CIVIL,9,FALSE))</definedName>
    <definedName name="UHrs_Civil" localSheetId="1">IF(VLOOKUP(#REF!,PRICE_CIVIL,9,FALSE)=0,0,VLOOKUP(#REF!,PRICE_CIVIL,9,FALSE))</definedName>
    <definedName name="UHrs_Civil" localSheetId="0">IF(VLOOKUP(#REF!,PRICE_CIVIL,9,FALSE)=0,0,VLOOKUP(#REF!,PRICE_CIVIL,9,FALSE))</definedName>
    <definedName name="UHrs_Civil" localSheetId="4">IF(VLOOKUP(#REF!,PRICE_CIVIL,9,FALSE)=0,0,VLOOKUP(#REF!,PRICE_CIVIL,9,FALSE))</definedName>
    <definedName name="UHrs_Civil" localSheetId="3">IF(VLOOKUP(#REF!,PRICE_CIVIL,9,FALSE)=0,0,VLOOKUP(#REF!,PRICE_CIVIL,9,FALSE))</definedName>
    <definedName name="UHrs_Civil" localSheetId="5">IF(VLOOKUP(#REF!,PRICE_CIVIL,9,FALSE)=0,0,VLOOKUP(#REF!,PRICE_CIVIL,9,FALSE))</definedName>
    <definedName name="UHrs_Civil">IF(VLOOKUP(#REF!,PRICE_CIVIL,9,FALSE)=0,0,VLOOKUP(#REF!,PRICE_CIVIL,9,FALSE))</definedName>
    <definedName name="Uhrs_Cntl_Valves" localSheetId="2">ROUND(IF(VLOOKUP(#REF!,'A10 Design + Subs fee'!CNTL_VALVE_PRICE,12,FALSE)=0,0,VLOOKUP(#REF!,'A10 Design + Subs fee'!CNTL_VALVE_PRICE,12,FALSE)),2)</definedName>
    <definedName name="Uhrs_Cntl_Valves" localSheetId="1">ROUND(IF(VLOOKUP(#REF!,'A9 Design + Subs fee '!CNTL_VALVE_PRICE,12,FALSE)=0,0,VLOOKUP(#REF!,'A9 Design + Subs fee '!CNTL_VALVE_PRICE,12,FALSE)),2)</definedName>
    <definedName name="Uhrs_Cntl_Valves" localSheetId="0">ROUND(IF(VLOOKUP(#REF!,'FEE RECON RAIHAN'!CNTL_VALVE_PRICE,12,FALSE)=0,0,VLOOKUP(#REF!,'FEE RECON RAIHAN'!CNTL_VALVE_PRICE,12,FALSE)),2)</definedName>
    <definedName name="Uhrs_Cntl_Valves" localSheetId="4">ROUND(IF(VLOOKUP(#REF!,'Mastersheet-Projects'!CNTL_VALVE_PRICE,12,FALSE)=0,0,VLOOKUP(#REF!,'Mastersheet-Projects'!CNTL_VALVE_PRICE,12,FALSE)),2)</definedName>
    <definedName name="Uhrs_Cntl_Valves" localSheetId="3">ROUND(IF(VLOOKUP(#REF!,'Mastersheet-Resources'!CNTL_VALVE_PRICE,12,FALSE)=0,0,VLOOKUP(#REF!,'Mastersheet-Resources'!CNTL_VALVE_PRICE,12,FALSE)),2)</definedName>
    <definedName name="Uhrs_Cntl_Valves" localSheetId="5">ROUND(IF(VLOOKUP(#REF!,'Tender List'!CNTL_VALVE_PRICE,12,FALSE)=0,0,VLOOKUP(#REF!,'Tender List'!CNTL_VALVE_PRICE,12,FALSE)),2)</definedName>
    <definedName name="Uhrs_Cntl_Valves">ROUND(IF(VLOOKUP(#REF!,CNTL_VALVE_PRICE,12,FALSE)=0,0,VLOOKUP(#REF!,CNTL_VALVE_PRICE,12,FALSE)),2)</definedName>
    <definedName name="UHrs_Conduit" localSheetId="2">IF(VLOOKUP(#REF!,'A10 Design + Subs fee'!COND_PRICING,12,FALSE)=0,0,VLOOKUP(#REF!,'A10 Design + Subs fee'!COND_PRICING,12,FALSE))</definedName>
    <definedName name="UHrs_Conduit" localSheetId="1">IF(VLOOKUP(#REF!,'A9 Design + Subs fee '!COND_PRICING,12,FALSE)=0,0,VLOOKUP(#REF!,'A9 Design + Subs fee '!COND_PRICING,12,FALSE))</definedName>
    <definedName name="UHrs_Conduit" localSheetId="0">IF(VLOOKUP(#REF!,'FEE RECON RAIHAN'!COND_PRICING,12,FALSE)=0,0,VLOOKUP(#REF!,'FEE RECON RAIHAN'!COND_PRICING,12,FALSE))</definedName>
    <definedName name="UHrs_Conduit" localSheetId="4">IF(VLOOKUP(#REF!,'Mastersheet-Projects'!COND_PRICING,12,FALSE)=0,0,VLOOKUP(#REF!,'Mastersheet-Projects'!COND_PRICING,12,FALSE))</definedName>
    <definedName name="UHrs_Conduit" localSheetId="3">IF(VLOOKUP(#REF!,'Mastersheet-Resources'!COND_PRICING,12,FALSE)=0,0,VLOOKUP(#REF!,'Mastersheet-Resources'!COND_PRICING,12,FALSE))</definedName>
    <definedName name="UHrs_Conduit" localSheetId="5">IF(VLOOKUP(#REF!,'Tender List'!COND_PRICING,12,FALSE)=0,0,VLOOKUP(#REF!,'Tender List'!COND_PRICING,12,FALSE))</definedName>
    <definedName name="UHrs_Conduit">IF(VLOOKUP(#REF!,COND_PRICING,12,FALSE)=0,0,VLOOKUP(#REF!,COND_PRICING,12,FALSE))</definedName>
    <definedName name="Uhrs_DB" localSheetId="2">IF(VLOOKUP(#REF!,'A10 Design + Subs fee'!DB_PRICING,12,FALSE)=0,0,VLOOKUP(#REF!,'A10 Design + Subs fee'!DB_PRICING,12,FALSE))</definedName>
    <definedName name="Uhrs_DB" localSheetId="1">IF(VLOOKUP(#REF!,'A9 Design + Subs fee '!DB_PRICING,12,FALSE)=0,0,VLOOKUP(#REF!,'A9 Design + Subs fee '!DB_PRICING,12,FALSE))</definedName>
    <definedName name="Uhrs_DB" localSheetId="0">IF(VLOOKUP(#REF!,'FEE RECON RAIHAN'!DB_PRICING,12,FALSE)=0,0,VLOOKUP(#REF!,'FEE RECON RAIHAN'!DB_PRICING,12,FALSE))</definedName>
    <definedName name="Uhrs_DB" localSheetId="4">IF(VLOOKUP(#REF!,'Mastersheet-Projects'!DB_PRICING,12,FALSE)=0,0,VLOOKUP(#REF!,'Mastersheet-Projects'!DB_PRICING,12,FALSE))</definedName>
    <definedName name="Uhrs_DB" localSheetId="3">IF(VLOOKUP(#REF!,'Mastersheet-Resources'!DB_PRICING,12,FALSE)=0,0,VLOOKUP(#REF!,'Mastersheet-Resources'!DB_PRICING,12,FALSE))</definedName>
    <definedName name="Uhrs_DB" localSheetId="5">IF(VLOOKUP(#REF!,'Tender List'!DB_PRICING,12,FALSE)=0,0,VLOOKUP(#REF!,'Tender List'!DB_PRICING,12,FALSE))</definedName>
    <definedName name="Uhrs_DB">IF(VLOOKUP(#REF!,DB_PRICING,12,FALSE)=0,0,VLOOKUP(#REF!,DB_PRICING,12,FALSE))</definedName>
    <definedName name="UHrs_MV_Cable" localSheetId="2">IF(VLOOKUP(#REF!,'A10 Design + Subs fee'!CABLE_PRICING,10,FALSE)=0,0,VLOOKUP(#REF!,'A10 Design + Subs fee'!CABLE_PRICING,10,FALSE))</definedName>
    <definedName name="UHrs_MV_Cable" localSheetId="1">IF(VLOOKUP(#REF!,'A9 Design + Subs fee '!CABLE_PRICING,10,FALSE)=0,0,VLOOKUP(#REF!,'A9 Design + Subs fee '!CABLE_PRICING,10,FALSE))</definedName>
    <definedName name="UHrs_MV_Cable" localSheetId="0">IF(VLOOKUP(#REF!,'FEE RECON RAIHAN'!CABLE_PRICING,10,FALSE)=0,0,VLOOKUP(#REF!,'FEE RECON RAIHAN'!CABLE_PRICING,10,FALSE))</definedName>
    <definedName name="UHrs_MV_Cable" localSheetId="4">IF(VLOOKUP(#REF!,'Mastersheet-Projects'!CABLE_PRICING,10,FALSE)=0,0,VLOOKUP(#REF!,'Mastersheet-Projects'!CABLE_PRICING,10,FALSE))</definedName>
    <definedName name="UHrs_MV_Cable" localSheetId="3">IF(VLOOKUP(#REF!,'Mastersheet-Resources'!CABLE_PRICING,10,FALSE)=0,0,VLOOKUP(#REF!,'Mastersheet-Resources'!CABLE_PRICING,10,FALSE))</definedName>
    <definedName name="UHrs_MV_Cable" localSheetId="5">IF(VLOOKUP(#REF!,'Tender List'!CABLE_PRICING,10,FALSE)=0,0,VLOOKUP(#REF!,'Tender List'!CABLE_PRICING,10,FALSE))</definedName>
    <definedName name="UHrs_MV_Cable">IF(VLOOKUP(#REF!,CABLE_PRICING,10,FALSE)=0,0,VLOOKUP(#REF!,CABLE_PRICING,10,FALSE))</definedName>
    <definedName name="UHrs_Other" localSheetId="2">IF(VLOOKUP(#REF!,'A10 Design + Subs fee'!OTHER_PRICING,10,FALSE)=0,0,VLOOKUP(#REF!,'A10 Design + Subs fee'!OTHER_PRICING,10,FALSE))</definedName>
    <definedName name="UHrs_Other" localSheetId="1">IF(VLOOKUP(#REF!,'A9 Design + Subs fee '!OTHER_PRICING,10,FALSE)=0,0,VLOOKUP(#REF!,'A9 Design + Subs fee '!OTHER_PRICING,10,FALSE))</definedName>
    <definedName name="UHrs_Other" localSheetId="0">IF(VLOOKUP(#REF!,'FEE RECON RAIHAN'!OTHER_PRICING,10,FALSE)=0,0,VLOOKUP(#REF!,'FEE RECON RAIHAN'!OTHER_PRICING,10,FALSE))</definedName>
    <definedName name="UHrs_Other" localSheetId="4">IF(VLOOKUP(#REF!,'Mastersheet-Projects'!OTHER_PRICING,10,FALSE)=0,0,VLOOKUP(#REF!,'Mastersheet-Projects'!OTHER_PRICING,10,FALSE))</definedName>
    <definedName name="UHrs_Other" localSheetId="3">IF(VLOOKUP(#REF!,'Mastersheet-Resources'!OTHER_PRICING,10,FALSE)=0,0,VLOOKUP(#REF!,'Mastersheet-Resources'!OTHER_PRICING,10,FALSE))</definedName>
    <definedName name="UHrs_Other" localSheetId="5">IF(VLOOKUP(#REF!,'Tender List'!OTHER_PRICING,10,FALSE)=0,0,VLOOKUP(#REF!,'Tender List'!OTHER_PRICING,10,FALSE))</definedName>
    <definedName name="UHrs_Other">IF(VLOOKUP(#REF!,OTHER_PRICING,10,FALSE)=0,0,VLOOKUP(#REF!,OTHER_PRICING,10,FALSE))</definedName>
    <definedName name="UHrs_tray" localSheetId="2">IF(VLOOKUP(#REF!,'A10 Design + Subs fee'!TRAY_PRICING,14,FALSE)=0,0,VLOOKUP(#REF!,'A10 Design + Subs fee'!TRAY_PRICING,14,FALSE))</definedName>
    <definedName name="UHrs_tray" localSheetId="1">IF(VLOOKUP(#REF!,'A9 Design + Subs fee '!TRAY_PRICING,14,FALSE)=0,0,VLOOKUP(#REF!,'A9 Design + Subs fee '!TRAY_PRICING,14,FALSE))</definedName>
    <definedName name="UHrs_tray" localSheetId="0">IF(VLOOKUP(#REF!,'FEE RECON RAIHAN'!TRAY_PRICING,14,FALSE)=0,0,VLOOKUP(#REF!,'FEE RECON RAIHAN'!TRAY_PRICING,14,FALSE))</definedName>
    <definedName name="UHrs_tray" localSheetId="4">IF(VLOOKUP(#REF!,'Mastersheet-Projects'!TRAY_PRICING,14,FALSE)=0,0,VLOOKUP(#REF!,'Mastersheet-Projects'!TRAY_PRICING,14,FALSE))</definedName>
    <definedName name="UHrs_tray" localSheetId="3">IF(VLOOKUP(#REF!,'Mastersheet-Resources'!TRAY_PRICING,14,FALSE)=0,0,VLOOKUP(#REF!,'Mastersheet-Resources'!TRAY_PRICING,14,FALSE))</definedName>
    <definedName name="UHrs_tray" localSheetId="5">IF(VLOOKUP(#REF!,'Tender List'!TRAY_PRICING,14,FALSE)=0,0,VLOOKUP(#REF!,'Tender List'!TRAY_PRICING,14,FALSE))</definedName>
    <definedName name="UHrs_tray">IF(VLOOKUP(#REF!,TRAY_PRICING,14,FALSE)=0,0,VLOOKUP(#REF!,TRAY_PRICING,14,FALSE))</definedName>
    <definedName name="Uhrs1_Civil" localSheetId="2">IF(VLOOKUP(#REF!,PRICE_CIVIL,9,FALSE)=0,0,VLOOKUP(#REF!,PRICE_CIVIL,9,FALSE))</definedName>
    <definedName name="Uhrs1_Civil" localSheetId="1">IF(VLOOKUP(#REF!,PRICE_CIVIL,9,FALSE)=0,0,VLOOKUP(#REF!,PRICE_CIVIL,9,FALSE))</definedName>
    <definedName name="Uhrs1_Civil" localSheetId="0">IF(VLOOKUP(#REF!,PRICE_CIVIL,9,FALSE)=0,0,VLOOKUP(#REF!,PRICE_CIVIL,9,FALSE))</definedName>
    <definedName name="Uhrs1_Civil" localSheetId="4">IF(VLOOKUP(#REF!,PRICE_CIVIL,9,FALSE)=0,0,VLOOKUP(#REF!,PRICE_CIVIL,9,FALSE))</definedName>
    <definedName name="Uhrs1_Civil" localSheetId="3">IF(VLOOKUP(#REF!,PRICE_CIVIL,9,FALSE)=0,0,VLOOKUP(#REF!,PRICE_CIVIL,9,FALSE))</definedName>
    <definedName name="Uhrs1_Civil" localSheetId="5">IF(VLOOKUP(#REF!,PRICE_CIVIL,9,FALSE)=0,0,VLOOKUP(#REF!,PRICE_CIVIL,9,FALSE))</definedName>
    <definedName name="Uhrs1_Civil">IF(VLOOKUP(#REF!,PRICE_CIVIL,9,FALSE)=0,0,VLOOKUP(#REF!,PRICE_CIVIL,9,FALSE))</definedName>
    <definedName name="UHrs1_Conduit">#N/A</definedName>
    <definedName name="UHrs1_MV_Cable">#N/A</definedName>
    <definedName name="UHrs1_Other">#N/A</definedName>
    <definedName name="UHrs1_tray">#N/A</definedName>
    <definedName name="ui" localSheetId="2" hidden="1">{#N/A,#N/A,TRUE,"Cover";#N/A,#N/A,TRUE,"Conts";#N/A,#N/A,TRUE,"VOS";#N/A,#N/A,TRUE,"Warrington";#N/A,#N/A,TRUE,"Widnes"}</definedName>
    <definedName name="ui" localSheetId="1" hidden="1">{#N/A,#N/A,TRUE,"Cover";#N/A,#N/A,TRUE,"Conts";#N/A,#N/A,TRUE,"VOS";#N/A,#N/A,TRUE,"Warrington";#N/A,#N/A,TRUE,"Widnes"}</definedName>
    <definedName name="ui" localSheetId="0" hidden="1">{#N/A,#N/A,TRUE,"Cover";#N/A,#N/A,TRUE,"Conts";#N/A,#N/A,TRUE,"VOS";#N/A,#N/A,TRUE,"Warrington";#N/A,#N/A,TRUE,"Widnes"}</definedName>
    <definedName name="ui" localSheetId="4" hidden="1">{#N/A,#N/A,TRUE,"Cover";#N/A,#N/A,TRUE,"Conts";#N/A,#N/A,TRUE,"VOS";#N/A,#N/A,TRUE,"Warrington";#N/A,#N/A,TRUE,"Widnes"}</definedName>
    <definedName name="ui" localSheetId="3" hidden="1">{#N/A,#N/A,TRUE,"Cover";#N/A,#N/A,TRUE,"Conts";#N/A,#N/A,TRUE,"VOS";#N/A,#N/A,TRUE,"Warrington";#N/A,#N/A,TRUE,"Widnes"}</definedName>
    <definedName name="ui" localSheetId="5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localSheetId="2" hidden="1">{#N/A,#N/A,TRUE,"Cover";#N/A,#N/A,TRUE,"Conts";#N/A,#N/A,TRUE,"VOS";#N/A,#N/A,TRUE,"Warrington";#N/A,#N/A,TRUE,"Widnes"}</definedName>
    <definedName name="uih" localSheetId="1" hidden="1">{#N/A,#N/A,TRUE,"Cover";#N/A,#N/A,TRUE,"Conts";#N/A,#N/A,TRUE,"VOS";#N/A,#N/A,TRUE,"Warrington";#N/A,#N/A,TRUE,"Widnes"}</definedName>
    <definedName name="uih" localSheetId="0" hidden="1">{#N/A,#N/A,TRUE,"Cover";#N/A,#N/A,TRUE,"Conts";#N/A,#N/A,TRUE,"VOS";#N/A,#N/A,TRUE,"Warrington";#N/A,#N/A,TRUE,"Widnes"}</definedName>
    <definedName name="uih" localSheetId="4" hidden="1">{#N/A,#N/A,TRUE,"Cover";#N/A,#N/A,TRUE,"Conts";#N/A,#N/A,TRUE,"VOS";#N/A,#N/A,TRUE,"Warrington";#N/A,#N/A,TRUE,"Widnes"}</definedName>
    <definedName name="uih" localSheetId="3" hidden="1">{#N/A,#N/A,TRUE,"Cover";#N/A,#N/A,TRUE,"Conts";#N/A,#N/A,TRUE,"VOS";#N/A,#N/A,TRUE,"Warrington";#N/A,#N/A,TRUE,"Widnes"}</definedName>
    <definedName name="uih" localSheetId="5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localSheetId="2" hidden="1">{#N/A,#N/A,TRUE,"Cover";#N/A,#N/A,TRUE,"Conts";#N/A,#N/A,TRUE,"VOS";#N/A,#N/A,TRUE,"Warrington";#N/A,#N/A,TRUE,"Widnes"}</definedName>
    <definedName name="uit" localSheetId="1" hidden="1">{#N/A,#N/A,TRUE,"Cover";#N/A,#N/A,TRUE,"Conts";#N/A,#N/A,TRUE,"VOS";#N/A,#N/A,TRUE,"Warrington";#N/A,#N/A,TRUE,"Widnes"}</definedName>
    <definedName name="uit" localSheetId="0" hidden="1">{#N/A,#N/A,TRUE,"Cover";#N/A,#N/A,TRUE,"Conts";#N/A,#N/A,TRUE,"VOS";#N/A,#N/A,TRUE,"Warrington";#N/A,#N/A,TRUE,"Widnes"}</definedName>
    <definedName name="uit" localSheetId="4" hidden="1">{#N/A,#N/A,TRUE,"Cover";#N/A,#N/A,TRUE,"Conts";#N/A,#N/A,TRUE,"VOS";#N/A,#N/A,TRUE,"Warrington";#N/A,#N/A,TRUE,"Widnes"}</definedName>
    <definedName name="uit" localSheetId="3" hidden="1">{#N/A,#N/A,TRUE,"Cover";#N/A,#N/A,TRUE,"Conts";#N/A,#N/A,TRUE,"VOS";#N/A,#N/A,TRUE,"Warrington";#N/A,#N/A,TRUE,"Widnes"}</definedName>
    <definedName name="uit" localSheetId="5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y" localSheetId="2" hidden="1">{#N/A,#N/A,TRUE,"Cover";#N/A,#N/A,TRUE,"Conts";#N/A,#N/A,TRUE,"VOS";#N/A,#N/A,TRUE,"Warrington";#N/A,#N/A,TRUE,"Widnes"}</definedName>
    <definedName name="uiy" localSheetId="1" hidden="1">{#N/A,#N/A,TRUE,"Cover";#N/A,#N/A,TRUE,"Conts";#N/A,#N/A,TRUE,"VOS";#N/A,#N/A,TRUE,"Warrington";#N/A,#N/A,TRUE,"Widnes"}</definedName>
    <definedName name="uiy" localSheetId="0" hidden="1">{#N/A,#N/A,TRUE,"Cover";#N/A,#N/A,TRUE,"Conts";#N/A,#N/A,TRUE,"VOS";#N/A,#N/A,TRUE,"Warrington";#N/A,#N/A,TRUE,"Widnes"}</definedName>
    <definedName name="uiy" localSheetId="4" hidden="1">{#N/A,#N/A,TRUE,"Cover";#N/A,#N/A,TRUE,"Conts";#N/A,#N/A,TRUE,"VOS";#N/A,#N/A,TRUE,"Warrington";#N/A,#N/A,TRUE,"Widnes"}</definedName>
    <definedName name="uiy" localSheetId="3" hidden="1">{#N/A,#N/A,TRUE,"Cover";#N/A,#N/A,TRUE,"Conts";#N/A,#N/A,TRUE,"VOS";#N/A,#N/A,TRUE,"Warrington";#N/A,#N/A,TRUE,"Widnes"}</definedName>
    <definedName name="uiy" localSheetId="5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K" localSheetId="5">#REF!</definedName>
    <definedName name="UK">#REF!</definedName>
    <definedName name="uk_in_uk" localSheetId="4">#REF!</definedName>
    <definedName name="uk_in_uk" localSheetId="3">#REF!</definedName>
    <definedName name="uk_in_uk" localSheetId="5">#REF!</definedName>
    <definedName name="uk_in_uk">#REF!</definedName>
    <definedName name="ULD" localSheetId="2">#REF!</definedName>
    <definedName name="ULD" localSheetId="1">#REF!</definedName>
    <definedName name="ULD" localSheetId="0">#REF!</definedName>
    <definedName name="ULD" localSheetId="4">#REF!</definedName>
    <definedName name="ULD" localSheetId="3">#REF!</definedName>
    <definedName name="ULD" localSheetId="5">#REF!</definedName>
    <definedName name="ULD">#REF!</definedName>
    <definedName name="UMatl_Civil" localSheetId="2">IF(VLOOKUP(#REF!,PRICE_CIVIL,7,FALSE)=0,0,VLOOKUP(#REF!,PRICE_CIVIL,7,FALSE))</definedName>
    <definedName name="UMatl_Civil" localSheetId="1">IF(VLOOKUP(#REF!,PRICE_CIVIL,7,FALSE)=0,0,VLOOKUP(#REF!,PRICE_CIVIL,7,FALSE))</definedName>
    <definedName name="UMatl_Civil" localSheetId="0">IF(VLOOKUP(#REF!,PRICE_CIVIL,7,FALSE)=0,0,VLOOKUP(#REF!,PRICE_CIVIL,7,FALSE))</definedName>
    <definedName name="UMatl_Civil" localSheetId="4">IF(VLOOKUP(#REF!,PRICE_CIVIL,7,FALSE)=0,0,VLOOKUP(#REF!,PRICE_CIVIL,7,FALSE))</definedName>
    <definedName name="UMatl_Civil" localSheetId="3">IF(VLOOKUP(#REF!,PRICE_CIVIL,7,FALSE)=0,0,VLOOKUP(#REF!,PRICE_CIVIL,7,FALSE))</definedName>
    <definedName name="UMatl_Civil" localSheetId="5">IF(VLOOKUP(#REF!,PRICE_CIVIL,7,FALSE)=0,0,VLOOKUP(#REF!,PRICE_CIVIL,7,FALSE))</definedName>
    <definedName name="UMatl_Civil">IF(VLOOKUP(#REF!,PRICE_CIVIL,7,FALSE)=0,0,VLOOKUP(#REF!,PRICE_CIVIL,7,FALSE))</definedName>
    <definedName name="UMatl_Cntl_Valves" localSheetId="2">ROUND(IF(VLOOKUP(#REF!,'A10 Design + Subs fee'!CNTL_VALVE_PRICE,10,FALSE)=0,0,VLOOKUP(#REF!,'A10 Design + Subs fee'!CNTL_VALVE_PRICE,10,FALSE)),-2)</definedName>
    <definedName name="UMatl_Cntl_Valves" localSheetId="1">ROUND(IF(VLOOKUP(#REF!,'A9 Design + Subs fee '!CNTL_VALVE_PRICE,10,FALSE)=0,0,VLOOKUP(#REF!,'A9 Design + Subs fee '!CNTL_VALVE_PRICE,10,FALSE)),-2)</definedName>
    <definedName name="UMatl_Cntl_Valves" localSheetId="0">ROUND(IF(VLOOKUP(#REF!,'FEE RECON RAIHAN'!CNTL_VALVE_PRICE,10,FALSE)=0,0,VLOOKUP(#REF!,'FEE RECON RAIHAN'!CNTL_VALVE_PRICE,10,FALSE)),-2)</definedName>
    <definedName name="UMatl_Cntl_Valves" localSheetId="4">ROUND(IF(VLOOKUP(#REF!,'Mastersheet-Projects'!CNTL_VALVE_PRICE,10,FALSE)=0,0,VLOOKUP(#REF!,'Mastersheet-Projects'!CNTL_VALVE_PRICE,10,FALSE)),-2)</definedName>
    <definedName name="UMatl_Cntl_Valves" localSheetId="3">ROUND(IF(VLOOKUP(#REF!,'Mastersheet-Resources'!CNTL_VALVE_PRICE,10,FALSE)=0,0,VLOOKUP(#REF!,'Mastersheet-Resources'!CNTL_VALVE_PRICE,10,FALSE)),-2)</definedName>
    <definedName name="UMatl_Cntl_Valves" localSheetId="5">ROUND(IF(VLOOKUP(#REF!,'Tender List'!CNTL_VALVE_PRICE,10,FALSE)=0,0,VLOOKUP(#REF!,'Tender List'!CNTL_VALVE_PRICE,10,FALSE)),-2)</definedName>
    <definedName name="UMatl_Cntl_Valves">ROUND(IF(VLOOKUP(#REF!,CNTL_VALVE_PRICE,10,FALSE)=0,0,VLOOKUP(#REF!,CNTL_VALVE_PRICE,10,FALSE)),-2)</definedName>
    <definedName name="UMatl_Conduit" localSheetId="2">IF(VLOOKUP(#REF!,'A10 Design + Subs fee'!COND_PRICING,11,FALSE)=0,0,VLOOKUP(#REF!,'A10 Design + Subs fee'!COND_PRICING,11,FALSE))</definedName>
    <definedName name="UMatl_Conduit" localSheetId="1">IF(VLOOKUP(#REF!,'A9 Design + Subs fee '!COND_PRICING,11,FALSE)=0,0,VLOOKUP(#REF!,'A9 Design + Subs fee '!COND_PRICING,11,FALSE))</definedName>
    <definedName name="UMatl_Conduit" localSheetId="0">IF(VLOOKUP(#REF!,'FEE RECON RAIHAN'!COND_PRICING,11,FALSE)=0,0,VLOOKUP(#REF!,'FEE RECON RAIHAN'!COND_PRICING,11,FALSE))</definedName>
    <definedName name="UMatl_Conduit" localSheetId="4">IF(VLOOKUP(#REF!,'Mastersheet-Projects'!COND_PRICING,11,FALSE)=0,0,VLOOKUP(#REF!,'Mastersheet-Projects'!COND_PRICING,11,FALSE))</definedName>
    <definedName name="UMatl_Conduit" localSheetId="3">IF(VLOOKUP(#REF!,'Mastersheet-Resources'!COND_PRICING,11,FALSE)=0,0,VLOOKUP(#REF!,'Mastersheet-Resources'!COND_PRICING,11,FALSE))</definedName>
    <definedName name="UMatl_Conduit" localSheetId="5">IF(VLOOKUP(#REF!,'Tender List'!COND_PRICING,11,FALSE)=0,0,VLOOKUP(#REF!,'Tender List'!COND_PRICING,11,FALSE))</definedName>
    <definedName name="UMatl_Conduit">IF(VLOOKUP(#REF!,COND_PRICING,11,FALSE)=0,0,VLOOKUP(#REF!,COND_PRICING,11,FALSE))</definedName>
    <definedName name="UMatl_DB" localSheetId="2">IF(VLOOKUP(#REF!,'A10 Design + Subs fee'!DB_PRICING,11,FALSE)=0,0,VLOOKUP(#REF!,'A10 Design + Subs fee'!DB_PRICING,11,FALSE))</definedName>
    <definedName name="UMatl_DB" localSheetId="1">IF(VLOOKUP(#REF!,'A9 Design + Subs fee '!DB_PRICING,11,FALSE)=0,0,VLOOKUP(#REF!,'A9 Design + Subs fee '!DB_PRICING,11,FALSE))</definedName>
    <definedName name="UMatl_DB" localSheetId="0">IF(VLOOKUP(#REF!,'FEE RECON RAIHAN'!DB_PRICING,11,FALSE)=0,0,VLOOKUP(#REF!,'FEE RECON RAIHAN'!DB_PRICING,11,FALSE))</definedName>
    <definedName name="UMatl_DB" localSheetId="4">IF(VLOOKUP(#REF!,'Mastersheet-Projects'!DB_PRICING,11,FALSE)=0,0,VLOOKUP(#REF!,'Mastersheet-Projects'!DB_PRICING,11,FALSE))</definedName>
    <definedName name="UMatl_DB" localSheetId="3">IF(VLOOKUP(#REF!,'Mastersheet-Resources'!DB_PRICING,11,FALSE)=0,0,VLOOKUP(#REF!,'Mastersheet-Resources'!DB_PRICING,11,FALSE))</definedName>
    <definedName name="UMatl_DB" localSheetId="5">IF(VLOOKUP(#REF!,'Tender List'!DB_PRICING,11,FALSE)=0,0,VLOOKUP(#REF!,'Tender List'!DB_PRICING,11,FALSE))</definedName>
    <definedName name="UMatl_DB">IF(VLOOKUP(#REF!,DB_PRICING,11,FALSE)=0,0,VLOOKUP(#REF!,DB_PRICING,11,FALSE))</definedName>
    <definedName name="UMatl_MV_Cable" localSheetId="2">IF(VLOOKUP(#REF!,'A10 Design + Subs fee'!CABLE_PRICING,9,FALSE)=0,0,VLOOKUP(#REF!,'A10 Design + Subs fee'!CABLE_PRICING,9,FALSE))</definedName>
    <definedName name="UMatl_MV_Cable" localSheetId="1">IF(VLOOKUP(#REF!,'A9 Design + Subs fee '!CABLE_PRICING,9,FALSE)=0,0,VLOOKUP(#REF!,'A9 Design + Subs fee '!CABLE_PRICING,9,FALSE))</definedName>
    <definedName name="UMatl_MV_Cable" localSheetId="0">IF(VLOOKUP(#REF!,'FEE RECON RAIHAN'!CABLE_PRICING,9,FALSE)=0,0,VLOOKUP(#REF!,'FEE RECON RAIHAN'!CABLE_PRICING,9,FALSE))</definedName>
    <definedName name="UMatl_MV_Cable" localSheetId="4">IF(VLOOKUP(#REF!,'Mastersheet-Projects'!CABLE_PRICING,9,FALSE)=0,0,VLOOKUP(#REF!,'Mastersheet-Projects'!CABLE_PRICING,9,FALSE))</definedName>
    <definedName name="UMatl_MV_Cable" localSheetId="3">IF(VLOOKUP(#REF!,'Mastersheet-Resources'!CABLE_PRICING,9,FALSE)=0,0,VLOOKUP(#REF!,'Mastersheet-Resources'!CABLE_PRICING,9,FALSE))</definedName>
    <definedName name="UMatl_MV_Cable" localSheetId="5">IF(VLOOKUP(#REF!,'Tender List'!CABLE_PRICING,9,FALSE)=0,0,VLOOKUP(#REF!,'Tender List'!CABLE_PRICING,9,FALSE))</definedName>
    <definedName name="UMatl_MV_Cable">IF(VLOOKUP(#REF!,CABLE_PRICING,9,FALSE)=0,0,VLOOKUP(#REF!,CABLE_PRICING,9,FALSE))</definedName>
    <definedName name="UMatl_Other" localSheetId="2">IF(VLOOKUP(#REF!,'A10 Design + Subs fee'!OTHER_PRICING,9,FALSE)=0,0,VLOOKUP(#REF!,'A10 Design + Subs fee'!OTHER_PRICING,9,FALSE))</definedName>
    <definedName name="UMatl_Other" localSheetId="1">IF(VLOOKUP(#REF!,'A9 Design + Subs fee '!OTHER_PRICING,9,FALSE)=0,0,VLOOKUP(#REF!,'A9 Design + Subs fee '!OTHER_PRICING,9,FALSE))</definedName>
    <definedName name="UMatl_Other" localSheetId="0">IF(VLOOKUP(#REF!,'FEE RECON RAIHAN'!OTHER_PRICING,9,FALSE)=0,0,VLOOKUP(#REF!,'FEE RECON RAIHAN'!OTHER_PRICING,9,FALSE))</definedName>
    <definedName name="UMatl_Other" localSheetId="4">IF(VLOOKUP(#REF!,'Mastersheet-Projects'!OTHER_PRICING,9,FALSE)=0,0,VLOOKUP(#REF!,'Mastersheet-Projects'!OTHER_PRICING,9,FALSE))</definedName>
    <definedName name="UMatl_Other" localSheetId="3">IF(VLOOKUP(#REF!,'Mastersheet-Resources'!OTHER_PRICING,9,FALSE)=0,0,VLOOKUP(#REF!,'Mastersheet-Resources'!OTHER_PRICING,9,FALSE))</definedName>
    <definedName name="UMatl_Other" localSheetId="5">IF(VLOOKUP(#REF!,'Tender List'!OTHER_PRICING,9,FALSE)=0,0,VLOOKUP(#REF!,'Tender List'!OTHER_PRICING,9,FALSE))</definedName>
    <definedName name="UMatl_Other">IF(VLOOKUP(#REF!,OTHER_PRICING,9,FALSE)=0,0,VLOOKUP(#REF!,OTHER_PRICING,9,FALSE))</definedName>
    <definedName name="UMatl_Tray" localSheetId="2">IF(VLOOKUP(#REF!,'A10 Design + Subs fee'!TRAY_PRICING,13,FALSE)=0,0,VLOOKUP(#REF!,'A10 Design + Subs fee'!TRAY_PRICING,13,FALSE))</definedName>
    <definedName name="UMatl_Tray" localSheetId="1">IF(VLOOKUP(#REF!,'A9 Design + Subs fee '!TRAY_PRICING,13,FALSE)=0,0,VLOOKUP(#REF!,'A9 Design + Subs fee '!TRAY_PRICING,13,FALSE))</definedName>
    <definedName name="UMatl_Tray" localSheetId="0">IF(VLOOKUP(#REF!,'FEE RECON RAIHAN'!TRAY_PRICING,13,FALSE)=0,0,VLOOKUP(#REF!,'FEE RECON RAIHAN'!TRAY_PRICING,13,FALSE))</definedName>
    <definedName name="UMatl_Tray" localSheetId="4">IF(VLOOKUP(#REF!,'Mastersheet-Projects'!TRAY_PRICING,13,FALSE)=0,0,VLOOKUP(#REF!,'Mastersheet-Projects'!TRAY_PRICING,13,FALSE))</definedName>
    <definedName name="UMatl_Tray" localSheetId="3">IF(VLOOKUP(#REF!,'Mastersheet-Resources'!TRAY_PRICING,13,FALSE)=0,0,VLOOKUP(#REF!,'Mastersheet-Resources'!TRAY_PRICING,13,FALSE))</definedName>
    <definedName name="UMatl_Tray" localSheetId="5">IF(VLOOKUP(#REF!,'Tender List'!TRAY_PRICING,13,FALSE)=0,0,VLOOKUP(#REF!,'Tender List'!TRAY_PRICING,13,FALSE))</definedName>
    <definedName name="UMatl_Tray">IF(VLOOKUP(#REF!,TRAY_PRICING,13,FALSE)=0,0,VLOOKUP(#REF!,TRAY_PRICING,13,FALSE))</definedName>
    <definedName name="UMatl1_Civil" localSheetId="2">IF(VLOOKUP(#REF!,PRICE_CIVIL,7,FALSE)=0,0,VLOOKUP(#REF!,PRICE_CIVIL,7,FALSE))</definedName>
    <definedName name="UMatl1_Civil" localSheetId="1">IF(VLOOKUP(#REF!,PRICE_CIVIL,7,FALSE)=0,0,VLOOKUP(#REF!,PRICE_CIVIL,7,FALSE))</definedName>
    <definedName name="UMatl1_Civil" localSheetId="0">IF(VLOOKUP(#REF!,PRICE_CIVIL,7,FALSE)=0,0,VLOOKUP(#REF!,PRICE_CIVIL,7,FALSE))</definedName>
    <definedName name="UMatl1_Civil" localSheetId="4">IF(VLOOKUP(#REF!,PRICE_CIVIL,7,FALSE)=0,0,VLOOKUP(#REF!,PRICE_CIVIL,7,FALSE))</definedName>
    <definedName name="UMatl1_Civil" localSheetId="3">IF(VLOOKUP(#REF!,PRICE_CIVIL,7,FALSE)=0,0,VLOOKUP(#REF!,PRICE_CIVIL,7,FALSE))</definedName>
    <definedName name="UMatl1_Civil" localSheetId="5">IF(VLOOKUP(#REF!,PRICE_CIVIL,7,FALSE)=0,0,VLOOKUP(#REF!,PRICE_CIVIL,7,FALSE))</definedName>
    <definedName name="UMatl1_Civil">IF(VLOOKUP(#REF!,PRICE_CIVIL,7,FALSE)=0,0,VLOOKUP(#REF!,PRICE_CIVIL,7,FALSE))</definedName>
    <definedName name="UMatl1_Conduit">#N/A</definedName>
    <definedName name="UMatl1_MV_Cable">#N/A</definedName>
    <definedName name="UMatl1_Other">#N/A</definedName>
    <definedName name="UMatl1_Tray">#N/A</definedName>
    <definedName name="UNFIXED" localSheetId="2">#REF!</definedName>
    <definedName name="UNFIXED" localSheetId="1">#REF!</definedName>
    <definedName name="UNFIXED" localSheetId="0">#REF!</definedName>
    <definedName name="UNFIXED" localSheetId="4">#REF!</definedName>
    <definedName name="UNFIXED" localSheetId="3">#REF!</definedName>
    <definedName name="UNFIXED" localSheetId="5">#REF!</definedName>
    <definedName name="UNFIXED">#REF!</definedName>
    <definedName name="uniformat" localSheetId="2">#REF!</definedName>
    <definedName name="uniformat" localSheetId="1">#REF!</definedName>
    <definedName name="uniformat" localSheetId="0">#REF!</definedName>
    <definedName name="uniformat" localSheetId="4">#REF!</definedName>
    <definedName name="uniformat" localSheetId="3">#REF!</definedName>
    <definedName name="uniformat" localSheetId="5">#REF!</definedName>
    <definedName name="uniformat">#REF!</definedName>
    <definedName name="UNION" localSheetId="2">#REF!</definedName>
    <definedName name="UNION" localSheetId="1">#REF!</definedName>
    <definedName name="UNION" localSheetId="0">#REF!</definedName>
    <definedName name="UNION" localSheetId="4">#REF!</definedName>
    <definedName name="UNION" localSheetId="3">#REF!</definedName>
    <definedName name="UNION" localSheetId="5">#REF!</definedName>
    <definedName name="UNION">#REF!</definedName>
    <definedName name="UNIT" localSheetId="2">IF('A10 Design + Subs fee'!UOM=1,VLOOKUP(#REF!,'A10 Design + Subs fee'!Conv,3),VLOOKUP(#REF!,'A10 Design + Subs fee'!Conv,4))</definedName>
    <definedName name="UNIT" localSheetId="1">IF('A9 Design + Subs fee '!UOM=1,VLOOKUP(#REF!,'A9 Design + Subs fee '!Conv,3),VLOOKUP(#REF!,'A9 Design + Subs fee '!Conv,4))</definedName>
    <definedName name="UNIT" localSheetId="0">IF('FEE RECON RAIHAN'!UOM=1,VLOOKUP(#REF!,'FEE RECON RAIHAN'!Conv,3),VLOOKUP(#REF!,'FEE RECON RAIHAN'!Conv,4))</definedName>
    <definedName name="UNIT" localSheetId="4">IF('Mastersheet-Projects'!UOM=1,VLOOKUP(#REF!,'Mastersheet-Projects'!Conv,3),VLOOKUP(#REF!,'Mastersheet-Projects'!Conv,4))</definedName>
    <definedName name="UNIT" localSheetId="3">IF('Mastersheet-Resources'!UOM=1,VLOOKUP(#REF!,'Mastersheet-Resources'!Conv,3),VLOOKUP(#REF!,'Mastersheet-Resources'!Conv,4))</definedName>
    <definedName name="UNIT" localSheetId="5">IF('Tender List'!UOM=1,VLOOKUP(#REF!,'Tender List'!Conv,3),VLOOKUP(#REF!,'Tender List'!Conv,4))</definedName>
    <definedName name="UNIT">IF(UOM=1,VLOOKUP(#REF!,Conv,3),VLOOKUP(#REF!,Conv,4))</definedName>
    <definedName name="UNIT_TYPES" localSheetId="2">#REF!</definedName>
    <definedName name="UNIT_TYPES" localSheetId="1">#REF!</definedName>
    <definedName name="UNIT_TYPES" localSheetId="0">#REF!</definedName>
    <definedName name="UNIT_TYPES" localSheetId="4">#REF!</definedName>
    <definedName name="UNIT_TYPES" localSheetId="3">#REF!</definedName>
    <definedName name="UNIT_TYPES" localSheetId="5">#REF!</definedName>
    <definedName name="UNIT_TYPES">#REF!</definedName>
    <definedName name="UNIT1">#N/A</definedName>
    <definedName name="UnitName" localSheetId="2">#REF!</definedName>
    <definedName name="UnitName" localSheetId="1">#REF!</definedName>
    <definedName name="UnitName" localSheetId="0">#REF!</definedName>
    <definedName name="UnitName" localSheetId="4">#REF!</definedName>
    <definedName name="UnitName" localSheetId="3">#REF!</definedName>
    <definedName name="UnitName" localSheetId="5">#REF!</definedName>
    <definedName name="UnitName">#REF!</definedName>
    <definedName name="units" localSheetId="4">#REF!</definedName>
    <definedName name="units" localSheetId="3">#REF!</definedName>
    <definedName name="units" localSheetId="5">#REF!</definedName>
    <definedName name="units">#REF!</definedName>
    <definedName name="unmsdareas" localSheetId="4">#REF!</definedName>
    <definedName name="unmsdareas" localSheetId="3">#REF!</definedName>
    <definedName name="unmsdareas" localSheetId="5">#REF!</definedName>
    <definedName name="unmsdareas">#REF!</definedName>
    <definedName name="UNSKILLEDCARP" localSheetId="4">#REF!</definedName>
    <definedName name="UNSKILLEDCARP" localSheetId="3">#REF!</definedName>
    <definedName name="UNSKILLEDCARP" localSheetId="5">#REF!</definedName>
    <definedName name="UNSKILLEDCARP">#REF!</definedName>
    <definedName name="UNSKSTEEL" localSheetId="4">#REF!</definedName>
    <definedName name="UNSKSTEEL" localSheetId="3">#REF!</definedName>
    <definedName name="UNSKSTEEL" localSheetId="5">#REF!</definedName>
    <definedName name="UNSKSTEEL">#REF!</definedName>
    <definedName name="UOM" localSheetId="2">#REF!</definedName>
    <definedName name="UOM" localSheetId="1">#REF!</definedName>
    <definedName name="UOM" localSheetId="0">#REF!</definedName>
    <definedName name="UOM" localSheetId="4">#REF!</definedName>
    <definedName name="UOM" localSheetId="3">#REF!</definedName>
    <definedName name="UOM" localSheetId="5">#REF!</definedName>
    <definedName name="UOM">#REF!</definedName>
    <definedName name="UPS_system" localSheetId="4">#REF!</definedName>
    <definedName name="UPS_system" localSheetId="3">#REF!</definedName>
    <definedName name="UPS_system" localSheetId="5">#REF!</definedName>
    <definedName name="UPS_system">#REF!</definedName>
    <definedName name="uPVC_water_piping" localSheetId="4">#REF!</definedName>
    <definedName name="uPVC_water_piping" localSheetId="3">#REF!</definedName>
    <definedName name="uPVC_water_piping" localSheetId="5">#REF!</definedName>
    <definedName name="uPVC_water_piping">#REF!</definedName>
    <definedName name="UR_STATUS_DRGS" localSheetId="4">#REF!</definedName>
    <definedName name="UR_STATUS_DRGS" localSheetId="3">#REF!</definedName>
    <definedName name="UR_STATUS_DRGS" localSheetId="5">#REF!</definedName>
    <definedName name="UR_STATUS_DRGS">#REF!</definedName>
    <definedName name="UR_STATUS_NUMBER" localSheetId="4">#REF!</definedName>
    <definedName name="UR_STATUS_NUMBER" localSheetId="3">#REF!</definedName>
    <definedName name="UR_STATUS_NUMBER" localSheetId="5">#REF!</definedName>
    <definedName name="UR_STATUS_NUMBER">#REF!</definedName>
    <definedName name="US_C_Civil" localSheetId="2">IF(VLOOKUP(#REF!,PRICE_CIVIL,8,FALSE)=0,0,VLOOKUP(#REF!,PRICE_CIVIL,8,FALSE))</definedName>
    <definedName name="US_C_Civil" localSheetId="1">IF(VLOOKUP(#REF!,PRICE_CIVIL,8,FALSE)=0,0,VLOOKUP(#REF!,PRICE_CIVIL,8,FALSE))</definedName>
    <definedName name="US_C_Civil" localSheetId="0">IF(VLOOKUP(#REF!,PRICE_CIVIL,8,FALSE)=0,0,VLOOKUP(#REF!,PRICE_CIVIL,8,FALSE))</definedName>
    <definedName name="US_C_Civil" localSheetId="4">IF(VLOOKUP(#REF!,PRICE_CIVIL,8,FALSE)=0,0,VLOOKUP(#REF!,PRICE_CIVIL,8,FALSE))</definedName>
    <definedName name="US_C_Civil" localSheetId="3">IF(VLOOKUP(#REF!,PRICE_CIVIL,8,FALSE)=0,0,VLOOKUP(#REF!,PRICE_CIVIL,8,FALSE))</definedName>
    <definedName name="US_C_Civil" localSheetId="5">IF(VLOOKUP(#REF!,PRICE_CIVIL,8,FALSE)=0,0,VLOOKUP(#REF!,PRICE_CIVIL,8,FALSE))</definedName>
    <definedName name="US_C_Civil">IF(VLOOKUP(#REF!,PRICE_CIVIL,8,FALSE)=0,0,VLOOKUP(#REF!,PRICE_CIVIL,8,FALSE))</definedName>
    <definedName name="US_C1_Civil" localSheetId="2">IF(VLOOKUP(#REF!,PRICE_CIVIL,8)=0,0,VLOOKUP(#REF!,PRICE_CIVIL,8))</definedName>
    <definedName name="US_C1_Civil" localSheetId="1">IF(VLOOKUP(#REF!,PRICE_CIVIL,8)=0,0,VLOOKUP(#REF!,PRICE_CIVIL,8))</definedName>
    <definedName name="US_C1_Civil" localSheetId="0">IF(VLOOKUP(#REF!,PRICE_CIVIL,8)=0,0,VLOOKUP(#REF!,PRICE_CIVIL,8))</definedName>
    <definedName name="US_C1_Civil" localSheetId="4">IF(VLOOKUP(#REF!,PRICE_CIVIL,8)=0,0,VLOOKUP(#REF!,PRICE_CIVIL,8))</definedName>
    <definedName name="US_C1_Civil" localSheetId="3">IF(VLOOKUP(#REF!,PRICE_CIVIL,8)=0,0,VLOOKUP(#REF!,PRICE_CIVIL,8))</definedName>
    <definedName name="US_C1_Civil" localSheetId="5">IF(VLOOKUP(#REF!,PRICE_CIVIL,8)=0,0,VLOOKUP(#REF!,PRICE_CIVIL,8))</definedName>
    <definedName name="US_C1_Civil">IF(VLOOKUP(#REF!,PRICE_CIVIL,8)=0,0,VLOOKUP(#REF!,PRICE_CIVIL,8))</definedName>
    <definedName name="USC_Cntl_Valves" localSheetId="2">ROUND(IF(VLOOKUP(#REF!,'A10 Design + Subs fee'!CNTL_VALVE_PRICE,11,FALSE)=0,0,VLOOKUP(#REF!,'A10 Design + Subs fee'!CNTL_VALVE_PRICE,11,FALSE)),0)</definedName>
    <definedName name="USC_Cntl_Valves" localSheetId="1">ROUND(IF(VLOOKUP(#REF!,'A9 Design + Subs fee '!CNTL_VALVE_PRICE,11,FALSE)=0,0,VLOOKUP(#REF!,'A9 Design + Subs fee '!CNTL_VALVE_PRICE,11,FALSE)),0)</definedName>
    <definedName name="USC_Cntl_Valves" localSheetId="0">ROUND(IF(VLOOKUP(#REF!,'FEE RECON RAIHAN'!CNTL_VALVE_PRICE,11,FALSE)=0,0,VLOOKUP(#REF!,'FEE RECON RAIHAN'!CNTL_VALVE_PRICE,11,FALSE)),0)</definedName>
    <definedName name="USC_Cntl_Valves" localSheetId="4">ROUND(IF(VLOOKUP(#REF!,'Mastersheet-Projects'!CNTL_VALVE_PRICE,11,FALSE)=0,0,VLOOKUP(#REF!,'Mastersheet-Projects'!CNTL_VALVE_PRICE,11,FALSE)),0)</definedName>
    <definedName name="USC_Cntl_Valves" localSheetId="3">ROUND(IF(VLOOKUP(#REF!,'Mastersheet-Resources'!CNTL_VALVE_PRICE,11,FALSE)=0,0,VLOOKUP(#REF!,'Mastersheet-Resources'!CNTL_VALVE_PRICE,11,FALSE)),0)</definedName>
    <definedName name="USC_Cntl_Valves" localSheetId="5">ROUND(IF(VLOOKUP(#REF!,'Tender List'!CNTL_VALVE_PRICE,11,FALSE)=0,0,VLOOKUP(#REF!,'Tender List'!CNTL_VALVE_PRICE,11,FALSE)),0)</definedName>
    <definedName name="USC_Cntl_Valves">ROUND(IF(VLOOKUP(#REF!,CNTL_VALVE_PRICE,11,FALSE)=0,0,VLOOKUP(#REF!,CNTL_VALVE_PRICE,11,FALSE)),0)</definedName>
    <definedName name="USC_Conduit" localSheetId="2">ROUND(IF(VLOOKUP(#REF!,'A10 Design + Subs fee'!COND_PRICING,19,FALSE)=0,0,VLOOKUP(#REF!,'A10 Design + Subs fee'!COND_PRICING,19,FALSE)),0)</definedName>
    <definedName name="USC_Conduit" localSheetId="1">ROUND(IF(VLOOKUP(#REF!,'A9 Design + Subs fee '!COND_PRICING,19,FALSE)=0,0,VLOOKUP(#REF!,'A9 Design + Subs fee '!COND_PRICING,19,FALSE)),0)</definedName>
    <definedName name="USC_Conduit" localSheetId="0">ROUND(IF(VLOOKUP(#REF!,'FEE RECON RAIHAN'!COND_PRICING,19,FALSE)=0,0,VLOOKUP(#REF!,'FEE RECON RAIHAN'!COND_PRICING,19,FALSE)),0)</definedName>
    <definedName name="USC_Conduit" localSheetId="4">ROUND(IF(VLOOKUP(#REF!,'Mastersheet-Projects'!COND_PRICING,19,FALSE)=0,0,VLOOKUP(#REF!,'Mastersheet-Projects'!COND_PRICING,19,FALSE)),0)</definedName>
    <definedName name="USC_Conduit" localSheetId="3">ROUND(IF(VLOOKUP(#REF!,'Mastersheet-Resources'!COND_PRICING,19,FALSE)=0,0,VLOOKUP(#REF!,'Mastersheet-Resources'!COND_PRICING,19,FALSE)),0)</definedName>
    <definedName name="USC_Conduit" localSheetId="5">ROUND(IF(VLOOKUP(#REF!,'Tender List'!COND_PRICING,19,FALSE)=0,0,VLOOKUP(#REF!,'Tender List'!COND_PRICING,19,FALSE)),0)</definedName>
    <definedName name="USC_Conduit">ROUND(IF(VLOOKUP(#REF!,COND_PRICING,19,FALSE)=0,0,VLOOKUP(#REF!,COND_PRICING,19,FALSE)),0)</definedName>
    <definedName name="USC_DB" localSheetId="2">ROUND(IF(VLOOKUP(#REF!,'A10 Design + Subs fee'!DB_PRICING,17,FALSE)=0,0,VLOOKUP(#REF!,'A10 Design + Subs fee'!DB_PRICING,17,FALSE)),0)</definedName>
    <definedName name="USC_DB" localSheetId="1">ROUND(IF(VLOOKUP(#REF!,'A9 Design + Subs fee '!DB_PRICING,17,FALSE)=0,0,VLOOKUP(#REF!,'A9 Design + Subs fee '!DB_PRICING,17,FALSE)),0)</definedName>
    <definedName name="USC_DB" localSheetId="0">ROUND(IF(VLOOKUP(#REF!,'FEE RECON RAIHAN'!DB_PRICING,17,FALSE)=0,0,VLOOKUP(#REF!,'FEE RECON RAIHAN'!DB_PRICING,17,FALSE)),0)</definedName>
    <definedName name="USC_DB" localSheetId="4">ROUND(IF(VLOOKUP(#REF!,'Mastersheet-Projects'!DB_PRICING,17,FALSE)=0,0,VLOOKUP(#REF!,'Mastersheet-Projects'!DB_PRICING,17,FALSE)),0)</definedName>
    <definedName name="USC_DB" localSheetId="3">ROUND(IF(VLOOKUP(#REF!,'Mastersheet-Resources'!DB_PRICING,17,FALSE)=0,0,VLOOKUP(#REF!,'Mastersheet-Resources'!DB_PRICING,17,FALSE)),0)</definedName>
    <definedName name="USC_DB" localSheetId="5">ROUND(IF(VLOOKUP(#REF!,'Tender List'!DB_PRICING,17,FALSE)=0,0,VLOOKUP(#REF!,'Tender List'!DB_PRICING,17,FALSE)),0)</definedName>
    <definedName name="USC_DB">ROUND(IF(VLOOKUP(#REF!,DB_PRICING,17,FALSE)=0,0,VLOOKUP(#REF!,DB_PRICING,17,FALSE)),0)</definedName>
    <definedName name="USC_MV_Cable" localSheetId="2">ROUND(IF(VLOOKUP(#REF!,'A10 Design + Subs fee'!CABLE_PRICING,15,FALSE)=0,0,VLOOKUP(#REF!,'A10 Design + Subs fee'!CABLE_PRICING,15,FALSE)),0)</definedName>
    <definedName name="USC_MV_Cable" localSheetId="1">ROUND(IF(VLOOKUP(#REF!,'A9 Design + Subs fee '!CABLE_PRICING,15,FALSE)=0,0,VLOOKUP(#REF!,'A9 Design + Subs fee '!CABLE_PRICING,15,FALSE)),0)</definedName>
    <definedName name="USC_MV_Cable" localSheetId="0">ROUND(IF(VLOOKUP(#REF!,'FEE RECON RAIHAN'!CABLE_PRICING,15,FALSE)=0,0,VLOOKUP(#REF!,'FEE RECON RAIHAN'!CABLE_PRICING,15,FALSE)),0)</definedName>
    <definedName name="USC_MV_Cable" localSheetId="4">ROUND(IF(VLOOKUP(#REF!,'Mastersheet-Projects'!CABLE_PRICING,15,FALSE)=0,0,VLOOKUP(#REF!,'Mastersheet-Projects'!CABLE_PRICING,15,FALSE)),0)</definedName>
    <definedName name="USC_MV_Cable" localSheetId="3">ROUND(IF(VLOOKUP(#REF!,'Mastersheet-Resources'!CABLE_PRICING,15,FALSE)=0,0,VLOOKUP(#REF!,'Mastersheet-Resources'!CABLE_PRICING,15,FALSE)),0)</definedName>
    <definedName name="USC_MV_Cable" localSheetId="5">ROUND(IF(VLOOKUP(#REF!,'Tender List'!CABLE_PRICING,15,FALSE)=0,0,VLOOKUP(#REF!,'Tender List'!CABLE_PRICING,15,FALSE)),0)</definedName>
    <definedName name="USC_MV_Cable">ROUND(IF(VLOOKUP(#REF!,CABLE_PRICING,15,FALSE)=0,0,VLOOKUP(#REF!,CABLE_PRICING,15,FALSE)),0)</definedName>
    <definedName name="USC_Other" localSheetId="2">ROUND(IF(VLOOKUP(#REF!,'A10 Design + Subs fee'!OTHER_PRICING,15,FALSE)=0,0,VLOOKUP(#REF!,'A10 Design + Subs fee'!OTHER_PRICING,15,FALSE)),0)</definedName>
    <definedName name="USC_Other" localSheetId="1">ROUND(IF(VLOOKUP(#REF!,'A9 Design + Subs fee '!OTHER_PRICING,15,FALSE)=0,0,VLOOKUP(#REF!,'A9 Design + Subs fee '!OTHER_PRICING,15,FALSE)),0)</definedName>
    <definedName name="USC_Other" localSheetId="0">ROUND(IF(VLOOKUP(#REF!,'FEE RECON RAIHAN'!OTHER_PRICING,15,FALSE)=0,0,VLOOKUP(#REF!,'FEE RECON RAIHAN'!OTHER_PRICING,15,FALSE)),0)</definedName>
    <definedName name="USC_Other" localSheetId="4">ROUND(IF(VLOOKUP(#REF!,'Mastersheet-Projects'!OTHER_PRICING,15,FALSE)=0,0,VLOOKUP(#REF!,'Mastersheet-Projects'!OTHER_PRICING,15,FALSE)),0)</definedName>
    <definedName name="USC_Other" localSheetId="3">ROUND(IF(VLOOKUP(#REF!,'Mastersheet-Resources'!OTHER_PRICING,15,FALSE)=0,0,VLOOKUP(#REF!,'Mastersheet-Resources'!OTHER_PRICING,15,FALSE)),0)</definedName>
    <definedName name="USC_Other" localSheetId="5">ROUND(IF(VLOOKUP(#REF!,'Tender List'!OTHER_PRICING,15,FALSE)=0,0,VLOOKUP(#REF!,'Tender List'!OTHER_PRICING,15,FALSE)),0)</definedName>
    <definedName name="USC_Other">ROUND(IF(VLOOKUP(#REF!,OTHER_PRICING,15,FALSE)=0,0,VLOOKUP(#REF!,OTHER_PRICING,15,FALSE)),0)</definedName>
    <definedName name="USC_Tray" localSheetId="2">ROUND(IF(VLOOKUP(#REF!,'A10 Design + Subs fee'!TRAY_PRICING,21,FALSE)=0,0,VLOOKUP(#REF!,'A10 Design + Subs fee'!TRAY_PRICING,21,FALSE)),0)</definedName>
    <definedName name="USC_Tray" localSheetId="1">ROUND(IF(VLOOKUP(#REF!,'A9 Design + Subs fee '!TRAY_PRICING,21,FALSE)=0,0,VLOOKUP(#REF!,'A9 Design + Subs fee '!TRAY_PRICING,21,FALSE)),0)</definedName>
    <definedName name="USC_Tray" localSheetId="0">ROUND(IF(VLOOKUP(#REF!,'FEE RECON RAIHAN'!TRAY_PRICING,21,FALSE)=0,0,VLOOKUP(#REF!,'FEE RECON RAIHAN'!TRAY_PRICING,21,FALSE)),0)</definedName>
    <definedName name="USC_Tray" localSheetId="4">ROUND(IF(VLOOKUP(#REF!,'Mastersheet-Projects'!TRAY_PRICING,21,FALSE)=0,0,VLOOKUP(#REF!,'Mastersheet-Projects'!TRAY_PRICING,21,FALSE)),0)</definedName>
    <definedName name="USC_Tray" localSheetId="3">ROUND(IF(VLOOKUP(#REF!,'Mastersheet-Resources'!TRAY_PRICING,21,FALSE)=0,0,VLOOKUP(#REF!,'Mastersheet-Resources'!TRAY_PRICING,21,FALSE)),0)</definedName>
    <definedName name="USC_Tray" localSheetId="5">ROUND(IF(VLOOKUP(#REF!,'Tender List'!TRAY_PRICING,21,FALSE)=0,0,VLOOKUP(#REF!,'Tender List'!TRAY_PRICING,21,FALSE)),0)</definedName>
    <definedName name="USC_Tray">ROUND(IF(VLOOKUP(#REF!,TRAY_PRICING,21,FALSE)=0,0,VLOOKUP(#REF!,TRAY_PRICING,21,FALSE)),0)</definedName>
    <definedName name="USC1_Conduit">#N/A</definedName>
    <definedName name="USC1_MV_Cable">#N/A</definedName>
    <definedName name="USC1_Other">#N/A</definedName>
    <definedName name="USC1_Tray">#N/A</definedName>
    <definedName name="USCHrs_Civil" localSheetId="2">IF(VLOOKUP(#REF!,PRICE_CIVIL,10,FALSE)=0,0,VLOOKUP(#REF!,PRICE_CIVIL,10,FALSE))</definedName>
    <definedName name="USCHrs_Civil" localSheetId="1">IF(VLOOKUP(#REF!,PRICE_CIVIL,10,FALSE)=0,0,VLOOKUP(#REF!,PRICE_CIVIL,10,FALSE))</definedName>
    <definedName name="USCHrs_Civil" localSheetId="0">IF(VLOOKUP(#REF!,PRICE_CIVIL,10,FALSE)=0,0,VLOOKUP(#REF!,PRICE_CIVIL,10,FALSE))</definedName>
    <definedName name="USCHrs_Civil" localSheetId="4">IF(VLOOKUP(#REF!,PRICE_CIVIL,10,FALSE)=0,0,VLOOKUP(#REF!,PRICE_CIVIL,10,FALSE))</definedName>
    <definedName name="USCHrs_Civil" localSheetId="3">IF(VLOOKUP(#REF!,PRICE_CIVIL,10,FALSE)=0,0,VLOOKUP(#REF!,PRICE_CIVIL,10,FALSE))</definedName>
    <definedName name="USCHrs_Civil" localSheetId="5">IF(VLOOKUP(#REF!,PRICE_CIVIL,10,FALSE)=0,0,VLOOKUP(#REF!,PRICE_CIVIL,10,FALSE))</definedName>
    <definedName name="USCHrs_Civil">IF(VLOOKUP(#REF!,PRICE_CIVIL,10,FALSE)=0,0,VLOOKUP(#REF!,PRICE_CIVIL,10,FALSE))</definedName>
    <definedName name="USChrs_Cntl_Valves" localSheetId="2">ROUND(IF(VLOOKUP(#REF!,'A10 Design + Subs fee'!CNTL_VALVE_PRICE,13,FALSE)=0,0,VLOOKUP(#REF!,'A10 Design + Subs fee'!CNTL_VALVE_PRICE,13,FALSE)),2)</definedName>
    <definedName name="USChrs_Cntl_Valves" localSheetId="1">ROUND(IF(VLOOKUP(#REF!,'A9 Design + Subs fee '!CNTL_VALVE_PRICE,13,FALSE)=0,0,VLOOKUP(#REF!,'A9 Design + Subs fee '!CNTL_VALVE_PRICE,13,FALSE)),2)</definedName>
    <definedName name="USChrs_Cntl_Valves" localSheetId="0">ROUND(IF(VLOOKUP(#REF!,'FEE RECON RAIHAN'!CNTL_VALVE_PRICE,13,FALSE)=0,0,VLOOKUP(#REF!,'FEE RECON RAIHAN'!CNTL_VALVE_PRICE,13,FALSE)),2)</definedName>
    <definedName name="USChrs_Cntl_Valves" localSheetId="4">ROUND(IF(VLOOKUP(#REF!,'Mastersheet-Projects'!CNTL_VALVE_PRICE,13,FALSE)=0,0,VLOOKUP(#REF!,'Mastersheet-Projects'!CNTL_VALVE_PRICE,13,FALSE)),2)</definedName>
    <definedName name="USChrs_Cntl_Valves" localSheetId="3">ROUND(IF(VLOOKUP(#REF!,'Mastersheet-Resources'!CNTL_VALVE_PRICE,13,FALSE)=0,0,VLOOKUP(#REF!,'Mastersheet-Resources'!CNTL_VALVE_PRICE,13,FALSE)),2)</definedName>
    <definedName name="USChrs_Cntl_Valves" localSheetId="5">ROUND(IF(VLOOKUP(#REF!,'Tender List'!CNTL_VALVE_PRICE,13,FALSE)=0,0,VLOOKUP(#REF!,'Tender List'!CNTL_VALVE_PRICE,13,FALSE)),2)</definedName>
    <definedName name="USChrs_Cntl_Valves">ROUND(IF(VLOOKUP(#REF!,CNTL_VALVE_PRICE,13,FALSE)=0,0,VLOOKUP(#REF!,CNTL_VALVE_PRICE,13,FALSE)),2)</definedName>
    <definedName name="USChrs_Conduit" localSheetId="2">IF(VLOOKUP(#REF!,'A10 Design + Subs fee'!COND_PRICING,18,FALSE)=0,0,VLOOKUP(#REF!,'A10 Design + Subs fee'!COND_PRICING,18,FALSE))</definedName>
    <definedName name="USChrs_Conduit" localSheetId="1">IF(VLOOKUP(#REF!,'A9 Design + Subs fee '!COND_PRICING,18,FALSE)=0,0,VLOOKUP(#REF!,'A9 Design + Subs fee '!COND_PRICING,18,FALSE))</definedName>
    <definedName name="USChrs_Conduit" localSheetId="0">IF(VLOOKUP(#REF!,'FEE RECON RAIHAN'!COND_PRICING,18,FALSE)=0,0,VLOOKUP(#REF!,'FEE RECON RAIHAN'!COND_PRICING,18,FALSE))</definedName>
    <definedName name="USChrs_Conduit" localSheetId="4">IF(VLOOKUP(#REF!,'Mastersheet-Projects'!COND_PRICING,18,FALSE)=0,0,VLOOKUP(#REF!,'Mastersheet-Projects'!COND_PRICING,18,FALSE))</definedName>
    <definedName name="USChrs_Conduit" localSheetId="3">IF(VLOOKUP(#REF!,'Mastersheet-Resources'!COND_PRICING,18,FALSE)=0,0,VLOOKUP(#REF!,'Mastersheet-Resources'!COND_PRICING,18,FALSE))</definedName>
    <definedName name="USChrs_Conduit" localSheetId="5">IF(VLOOKUP(#REF!,'Tender List'!COND_PRICING,18,FALSE)=0,0,VLOOKUP(#REF!,'Tender List'!COND_PRICING,18,FALSE))</definedName>
    <definedName name="USChrs_Conduit">IF(VLOOKUP(#REF!,COND_PRICING,18,FALSE)=0,0,VLOOKUP(#REF!,COND_PRICING,18,FALSE))</definedName>
    <definedName name="USChrs_DB" localSheetId="2">ROUND(IF(VLOOKUP(#REF!,'A10 Design + Subs fee'!DB_PRICING,18,FALSE)=0,0,VLOOKUP(#REF!,'A10 Design + Subs fee'!DB_PRICING,18,FALSE)),2)</definedName>
    <definedName name="USChrs_DB" localSheetId="1">ROUND(IF(VLOOKUP(#REF!,'A9 Design + Subs fee '!DB_PRICING,18,FALSE)=0,0,VLOOKUP(#REF!,'A9 Design + Subs fee '!DB_PRICING,18,FALSE)),2)</definedName>
    <definedName name="USChrs_DB" localSheetId="0">ROUND(IF(VLOOKUP(#REF!,'FEE RECON RAIHAN'!DB_PRICING,18,FALSE)=0,0,VLOOKUP(#REF!,'FEE RECON RAIHAN'!DB_PRICING,18,FALSE)),2)</definedName>
    <definedName name="USChrs_DB" localSheetId="4">ROUND(IF(VLOOKUP(#REF!,'Mastersheet-Projects'!DB_PRICING,18,FALSE)=0,0,VLOOKUP(#REF!,'Mastersheet-Projects'!DB_PRICING,18,FALSE)),2)</definedName>
    <definedName name="USChrs_DB" localSheetId="3">ROUND(IF(VLOOKUP(#REF!,'Mastersheet-Resources'!DB_PRICING,18,FALSE)=0,0,VLOOKUP(#REF!,'Mastersheet-Resources'!DB_PRICING,18,FALSE)),2)</definedName>
    <definedName name="USChrs_DB" localSheetId="5">ROUND(IF(VLOOKUP(#REF!,'Tender List'!DB_PRICING,18,FALSE)=0,0,VLOOKUP(#REF!,'Tender List'!DB_PRICING,18,FALSE)),2)</definedName>
    <definedName name="USChrs_DB">ROUND(IF(VLOOKUP(#REF!,DB_PRICING,18,FALSE)=0,0,VLOOKUP(#REF!,DB_PRICING,18,FALSE)),2)</definedName>
    <definedName name="USChrs_MV_Cable" localSheetId="2">IF(VLOOKUP(#REF!,'A10 Design + Subs fee'!CABLE_PRICING,16,FALSE)=0,0,VLOOKUP(#REF!,'A10 Design + Subs fee'!CABLE_PRICING,16,FALSE))</definedName>
    <definedName name="USChrs_MV_Cable" localSheetId="1">IF(VLOOKUP(#REF!,'A9 Design + Subs fee '!CABLE_PRICING,16,FALSE)=0,0,VLOOKUP(#REF!,'A9 Design + Subs fee '!CABLE_PRICING,16,FALSE))</definedName>
    <definedName name="USChrs_MV_Cable" localSheetId="0">IF(VLOOKUP(#REF!,'FEE RECON RAIHAN'!CABLE_PRICING,16,FALSE)=0,0,VLOOKUP(#REF!,'FEE RECON RAIHAN'!CABLE_PRICING,16,FALSE))</definedName>
    <definedName name="USChrs_MV_Cable" localSheetId="4">IF(VLOOKUP(#REF!,'Mastersheet-Projects'!CABLE_PRICING,16,FALSE)=0,0,VLOOKUP(#REF!,'Mastersheet-Projects'!CABLE_PRICING,16,FALSE))</definedName>
    <definedName name="USChrs_MV_Cable" localSheetId="3">IF(VLOOKUP(#REF!,'Mastersheet-Resources'!CABLE_PRICING,16,FALSE)=0,0,VLOOKUP(#REF!,'Mastersheet-Resources'!CABLE_PRICING,16,FALSE))</definedName>
    <definedName name="USChrs_MV_Cable" localSheetId="5">IF(VLOOKUP(#REF!,'Tender List'!CABLE_PRICING,16,FALSE)=0,0,VLOOKUP(#REF!,'Tender List'!CABLE_PRICING,16,FALSE))</definedName>
    <definedName name="USChrs_MV_Cable">IF(VLOOKUP(#REF!,CABLE_PRICING,16,FALSE)=0,0,VLOOKUP(#REF!,CABLE_PRICING,16,FALSE))</definedName>
    <definedName name="USChrs_Other" localSheetId="2">IF(VLOOKUP(#REF!,'A10 Design + Subs fee'!OTHER_PRICING,16,FALSE)=0,0,VLOOKUP(#REF!,'A10 Design + Subs fee'!OTHER_PRICING,16,FALSE))</definedName>
    <definedName name="USChrs_Other" localSheetId="1">IF(VLOOKUP(#REF!,'A9 Design + Subs fee '!OTHER_PRICING,16,FALSE)=0,0,VLOOKUP(#REF!,'A9 Design + Subs fee '!OTHER_PRICING,16,FALSE))</definedName>
    <definedName name="USChrs_Other" localSheetId="0">IF(VLOOKUP(#REF!,'FEE RECON RAIHAN'!OTHER_PRICING,16,FALSE)=0,0,VLOOKUP(#REF!,'FEE RECON RAIHAN'!OTHER_PRICING,16,FALSE))</definedName>
    <definedName name="USChrs_Other" localSheetId="4">IF(VLOOKUP(#REF!,'Mastersheet-Projects'!OTHER_PRICING,16,FALSE)=0,0,VLOOKUP(#REF!,'Mastersheet-Projects'!OTHER_PRICING,16,FALSE))</definedName>
    <definedName name="USChrs_Other" localSheetId="3">IF(VLOOKUP(#REF!,'Mastersheet-Resources'!OTHER_PRICING,16,FALSE)=0,0,VLOOKUP(#REF!,'Mastersheet-Resources'!OTHER_PRICING,16,FALSE))</definedName>
    <definedName name="USChrs_Other" localSheetId="5">IF(VLOOKUP(#REF!,'Tender List'!OTHER_PRICING,16,FALSE)=0,0,VLOOKUP(#REF!,'Tender List'!OTHER_PRICING,16,FALSE))</definedName>
    <definedName name="USChrs_Other">IF(VLOOKUP(#REF!,OTHER_PRICING,16,FALSE)=0,0,VLOOKUP(#REF!,OTHER_PRICING,16,FALSE))</definedName>
    <definedName name="USChrs_tray" localSheetId="2">IF(VLOOKUP(#REF!,'A10 Design + Subs fee'!TRAY_PRICING,20,FALSE)=0,0,VLOOKUP(#REF!,'A10 Design + Subs fee'!TRAY_PRICING,20,FALSE))</definedName>
    <definedName name="USChrs_tray" localSheetId="1">IF(VLOOKUP(#REF!,'A9 Design + Subs fee '!TRAY_PRICING,20,FALSE)=0,0,VLOOKUP(#REF!,'A9 Design + Subs fee '!TRAY_PRICING,20,FALSE))</definedName>
    <definedName name="USChrs_tray" localSheetId="0">IF(VLOOKUP(#REF!,'FEE RECON RAIHAN'!TRAY_PRICING,20,FALSE)=0,0,VLOOKUP(#REF!,'FEE RECON RAIHAN'!TRAY_PRICING,20,FALSE))</definedName>
    <definedName name="USChrs_tray" localSheetId="4">IF(VLOOKUP(#REF!,'Mastersheet-Projects'!TRAY_PRICING,20,FALSE)=0,0,VLOOKUP(#REF!,'Mastersheet-Projects'!TRAY_PRICING,20,FALSE))</definedName>
    <definedName name="USChrs_tray" localSheetId="3">IF(VLOOKUP(#REF!,'Mastersheet-Resources'!TRAY_PRICING,20,FALSE)=0,0,VLOOKUP(#REF!,'Mastersheet-Resources'!TRAY_PRICING,20,FALSE))</definedName>
    <definedName name="USChrs_tray" localSheetId="5">IF(VLOOKUP(#REF!,'Tender List'!TRAY_PRICING,20,FALSE)=0,0,VLOOKUP(#REF!,'Tender List'!TRAY_PRICING,20,FALSE))</definedName>
    <definedName name="USChrs_tray">IF(VLOOKUP(#REF!,TRAY_PRICING,20,FALSE)=0,0,VLOOKUP(#REF!,TRAY_PRICING,20,FALSE))</definedName>
    <definedName name="USChrs1_Civil" localSheetId="2">IF(VLOOKUP(#REF!,PRICE_CIVIL,10,FALSE)=0,0,VLOOKUP(#REF!,PRICE_CIVIL,10,FALSE))</definedName>
    <definedName name="USChrs1_Civil" localSheetId="1">IF(VLOOKUP(#REF!,PRICE_CIVIL,10,FALSE)=0,0,VLOOKUP(#REF!,PRICE_CIVIL,10,FALSE))</definedName>
    <definedName name="USChrs1_Civil" localSheetId="0">IF(VLOOKUP(#REF!,PRICE_CIVIL,10,FALSE)=0,0,VLOOKUP(#REF!,PRICE_CIVIL,10,FALSE))</definedName>
    <definedName name="USChrs1_Civil" localSheetId="4">IF(VLOOKUP(#REF!,PRICE_CIVIL,10,FALSE)=0,0,VLOOKUP(#REF!,PRICE_CIVIL,10,FALSE))</definedName>
    <definedName name="USChrs1_Civil" localSheetId="3">IF(VLOOKUP(#REF!,PRICE_CIVIL,10,FALSE)=0,0,VLOOKUP(#REF!,PRICE_CIVIL,10,FALSE))</definedName>
    <definedName name="USChrs1_Civil" localSheetId="5">IF(VLOOKUP(#REF!,PRICE_CIVIL,10,FALSE)=0,0,VLOOKUP(#REF!,PRICE_CIVIL,10,FALSE))</definedName>
    <definedName name="USChrs1_Civil">IF(VLOOKUP(#REF!,PRICE_CIVIL,10,FALSE)=0,0,VLOOKUP(#REF!,PRICE_CIVIL,10,FALSE))</definedName>
    <definedName name="USChrs1_Conduit">#N/A</definedName>
    <definedName name="USChrs1_MV_Cable">#N/A</definedName>
    <definedName name="USChrs1_Other">#N/A</definedName>
    <definedName name="USChrs1_tray">#N/A</definedName>
    <definedName name="USD" localSheetId="2">#REF!</definedName>
    <definedName name="USD" localSheetId="1">#REF!</definedName>
    <definedName name="USD" localSheetId="0">#REF!</definedName>
    <definedName name="USD" localSheetId="4">#REF!</definedName>
    <definedName name="USD" localSheetId="3">#REF!</definedName>
    <definedName name="USD" localSheetId="5">#REF!</definedName>
    <definedName name="USD">#REF!</definedName>
    <definedName name="USERDATA" localSheetId="2">#REF!</definedName>
    <definedName name="USERDATA" localSheetId="1">#REF!</definedName>
    <definedName name="USERDATA" localSheetId="0">#REF!</definedName>
    <definedName name="USERDATA" localSheetId="4">#REF!</definedName>
    <definedName name="USERDATA" localSheetId="3">#REF!</definedName>
    <definedName name="USERDATA" localSheetId="5">#REF!</definedName>
    <definedName name="USERDATA">#REF!</definedName>
    <definedName name="uuuu" localSheetId="2" hidden="1">{"'Break down'!$A$4"}</definedName>
    <definedName name="uuuu" localSheetId="1" hidden="1">{"'Break down'!$A$4"}</definedName>
    <definedName name="uuuu" localSheetId="0" hidden="1">{"'Break down'!$A$4"}</definedName>
    <definedName name="uuuu" localSheetId="4" hidden="1">{"'Break down'!$A$4"}</definedName>
    <definedName name="uuuu" localSheetId="3" hidden="1">{"'Break down'!$A$4"}</definedName>
    <definedName name="uuuu" localSheetId="5" hidden="1">{"'Break down'!$A$4"}</definedName>
    <definedName name="uuuu" hidden="1">{"'Break down'!$A$4"}</definedName>
    <definedName name="uuuu_1" localSheetId="2" hidden="1">{"'Break down'!$A$4"}</definedName>
    <definedName name="uuuu_1" localSheetId="1" hidden="1">{"'Break down'!$A$4"}</definedName>
    <definedName name="uuuu_1" localSheetId="0" hidden="1">{"'Break down'!$A$4"}</definedName>
    <definedName name="uuuu_1" localSheetId="4" hidden="1">{"'Break down'!$A$4"}</definedName>
    <definedName name="uuuu_1" localSheetId="3" hidden="1">{"'Break down'!$A$4"}</definedName>
    <definedName name="uuuu_1" localSheetId="5" hidden="1">{"'Break down'!$A$4"}</definedName>
    <definedName name="uuuu_1" hidden="1">{"'Break down'!$A$4"}</definedName>
    <definedName name="uuuu_2" localSheetId="2" hidden="1">{"'Break down'!$A$4"}</definedName>
    <definedName name="uuuu_2" localSheetId="1" hidden="1">{"'Break down'!$A$4"}</definedName>
    <definedName name="uuuu_2" localSheetId="0" hidden="1">{"'Break down'!$A$4"}</definedName>
    <definedName name="uuuu_2" localSheetId="4" hidden="1">{"'Break down'!$A$4"}</definedName>
    <definedName name="uuuu_2" localSheetId="3" hidden="1">{"'Break down'!$A$4"}</definedName>
    <definedName name="uuuu_2" localSheetId="5" hidden="1">{"'Break down'!$A$4"}</definedName>
    <definedName name="uuuu_2" hidden="1">{"'Break down'!$A$4"}</definedName>
    <definedName name="uuuyi" localSheetId="2" hidden="1">{"'Break down'!$A$4"}</definedName>
    <definedName name="uuuyi" localSheetId="1" hidden="1">{"'Break down'!$A$4"}</definedName>
    <definedName name="uuuyi" localSheetId="0" hidden="1">{"'Break down'!$A$4"}</definedName>
    <definedName name="uuuyi" localSheetId="4" hidden="1">{"'Break down'!$A$4"}</definedName>
    <definedName name="uuuyi" localSheetId="3" hidden="1">{"'Break down'!$A$4"}</definedName>
    <definedName name="uuuyi" localSheetId="5" hidden="1">{"'Break down'!$A$4"}</definedName>
    <definedName name="uuuyi" hidden="1">{"'Break down'!$A$4"}</definedName>
    <definedName name="uuuyi_1" localSheetId="2" hidden="1">{"'Break down'!$A$4"}</definedName>
    <definedName name="uuuyi_1" localSheetId="1" hidden="1">{"'Break down'!$A$4"}</definedName>
    <definedName name="uuuyi_1" localSheetId="0" hidden="1">{"'Break down'!$A$4"}</definedName>
    <definedName name="uuuyi_1" localSheetId="4" hidden="1">{"'Break down'!$A$4"}</definedName>
    <definedName name="uuuyi_1" localSheetId="3" hidden="1">{"'Break down'!$A$4"}</definedName>
    <definedName name="uuuyi_1" localSheetId="5" hidden="1">{"'Break down'!$A$4"}</definedName>
    <definedName name="uuuyi_1" hidden="1">{"'Break down'!$A$4"}</definedName>
    <definedName name="uuuyi_2" localSheetId="2" hidden="1">{"'Break down'!$A$4"}</definedName>
    <definedName name="uuuyi_2" localSheetId="1" hidden="1">{"'Break down'!$A$4"}</definedName>
    <definedName name="uuuyi_2" localSheetId="0" hidden="1">{"'Break down'!$A$4"}</definedName>
    <definedName name="uuuyi_2" localSheetId="4" hidden="1">{"'Break down'!$A$4"}</definedName>
    <definedName name="uuuyi_2" localSheetId="3" hidden="1">{"'Break down'!$A$4"}</definedName>
    <definedName name="uuuyi_2" localSheetId="5" hidden="1">{"'Break down'!$A$4"}</definedName>
    <definedName name="uuuyi_2" hidden="1">{"'Break down'!$A$4"}</definedName>
    <definedName name="uy" localSheetId="2" hidden="1">{#N/A,#N/A,TRUE,"Cover";#N/A,#N/A,TRUE,"Conts";#N/A,#N/A,TRUE,"VOS";#N/A,#N/A,TRUE,"Warrington";#N/A,#N/A,TRUE,"Widnes"}</definedName>
    <definedName name="uy" localSheetId="1" hidden="1">{#N/A,#N/A,TRUE,"Cover";#N/A,#N/A,TRUE,"Conts";#N/A,#N/A,TRUE,"VOS";#N/A,#N/A,TRUE,"Warrington";#N/A,#N/A,TRUE,"Widnes"}</definedName>
    <definedName name="UY" localSheetId="0">#REF!</definedName>
    <definedName name="UY" localSheetId="4">#REF!</definedName>
    <definedName name="UY" localSheetId="3">#REF!</definedName>
    <definedName name="UY" localSheetId="5">#REF!</definedName>
    <definedName name="UY">#REF!</definedName>
    <definedName name="v" localSheetId="2" hidden="1">{#N/A,#N/A,TRUE,"Cover";#N/A,#N/A,TRUE,"Conts";#N/A,#N/A,TRUE,"VOS";#N/A,#N/A,TRUE,"Warrington";#N/A,#N/A,TRUE,"Widnes"}</definedName>
    <definedName name="v" localSheetId="1" hidden="1">{#N/A,#N/A,TRUE,"Cover";#N/A,#N/A,TRUE,"Conts";#N/A,#N/A,TRUE,"VOS";#N/A,#N/A,TRUE,"Warrington";#N/A,#N/A,TRUE,"Widnes"}</definedName>
    <definedName name="V" localSheetId="0">#REF!</definedName>
    <definedName name="V" localSheetId="4">#REF!</definedName>
    <definedName name="V" localSheetId="3">#REF!</definedName>
    <definedName name="V" localSheetId="5">#REF!</definedName>
    <definedName name="V">#REF!</definedName>
    <definedName name="ValidContract" localSheetId="4">#REF!</definedName>
    <definedName name="ValidContract" localSheetId="3">#REF!</definedName>
    <definedName name="ValidContract" localSheetId="5">#REF!</definedName>
    <definedName name="ValidContract">#REF!</definedName>
    <definedName name="ValidProject" localSheetId="4">#REF!</definedName>
    <definedName name="ValidProject" localSheetId="3">#REF!</definedName>
    <definedName name="ValidProject" localSheetId="5">#REF!</definedName>
    <definedName name="ValidProject">#REF!</definedName>
    <definedName name="Values_Entered" localSheetId="2">IF('A10 Design + Subs fee'!Loan_Amount*'A10 Design + Subs fee'!Interest_Rate*'A10 Design + Subs fee'!Loan_Years*'A10 Design + Subs fee'!Loan_Start&gt;0,1,0)</definedName>
    <definedName name="Values_Entered" localSheetId="1">IF('A9 Design + Subs fee '!Loan_Amount*'A9 Design + Subs fee '!Interest_Rate*'A9 Design + Subs fee '!Loan_Years*'A9 Design + Subs fee '!Loan_Start&gt;0,1,0)</definedName>
    <definedName name="Values_Entered" localSheetId="0">IF('FEE RECON RAIHAN'!Loan_Amount*'FEE RECON RAIHAN'!Interest_Rate*'FEE RECON RAIHAN'!Loan_Years*'FEE RECON RAIHAN'!Loan_Start&gt;0,1,0)</definedName>
    <definedName name="Values_Entered" localSheetId="4">IF('Mastersheet-Projects'!Loan_Amount*'Mastersheet-Projects'!Interest_Rate*'Mastersheet-Projects'!Loan_Years*'Mastersheet-Projects'!Loan_Start&gt;0,1,0)</definedName>
    <definedName name="Values_Entered" localSheetId="3">IF('Mastersheet-Resources'!Loan_Amount*'Mastersheet-Resources'!Interest_Rate*'Mastersheet-Resources'!Loan_Years*'Mastersheet-Resources'!Loan_Start&gt;0,1,0)</definedName>
    <definedName name="Values_Entered" localSheetId="5">IF('Tender List'!Loan_Amount*'Tender List'!Interest_Rate*'Tender List'!Loan_Years*'Tender List'!Loan_Start&gt;0,1,0)</definedName>
    <definedName name="Values_Entered">IF(Loan_Amount*Interest_Rate*Loan_Years*Loan_Start&gt;0,1,0)</definedName>
    <definedName name="valuevx">42.314159</definedName>
    <definedName name="VALVE" localSheetId="2">#REF!</definedName>
    <definedName name="VALVE" localSheetId="1">#REF!</definedName>
    <definedName name="VALVE" localSheetId="0">#REF!</definedName>
    <definedName name="VALVE" localSheetId="4">#REF!</definedName>
    <definedName name="VALVE" localSheetId="3">#REF!</definedName>
    <definedName name="VALVE" localSheetId="5">#REF!</definedName>
    <definedName name="VALVE">#REF!</definedName>
    <definedName name="Valves___automatic_air_vent" localSheetId="4">#REF!</definedName>
    <definedName name="Valves___automatic_air_vent" localSheetId="3">#REF!</definedName>
    <definedName name="Valves___automatic_air_vent" localSheetId="5">#REF!</definedName>
    <definedName name="Valves___automatic_air_vent">#REF!</definedName>
    <definedName name="Valves_AC" localSheetId="4">#REF!</definedName>
    <definedName name="Valves_AC" localSheetId="3">#REF!</definedName>
    <definedName name="Valves_AC" localSheetId="5">#REF!</definedName>
    <definedName name="Valves_AC">#REF!</definedName>
    <definedName name="Valves_WS" localSheetId="4">#REF!</definedName>
    <definedName name="Valves_WS" localSheetId="3">#REF!</definedName>
    <definedName name="Valves_WS" localSheetId="5">#REF!</definedName>
    <definedName name="Valves_WS">#REF!</definedName>
    <definedName name="VarianceSign" localSheetId="2">#REF!</definedName>
    <definedName name="VarianceSign" localSheetId="1">#REF!</definedName>
    <definedName name="VarianceSign" localSheetId="0">#REF!</definedName>
    <definedName name="VarianceSign" localSheetId="4">#REF!</definedName>
    <definedName name="VarianceSign" localSheetId="3">#REF!</definedName>
    <definedName name="VarianceSign" localSheetId="5">#REF!</definedName>
    <definedName name="VarianceSign">#REF!</definedName>
    <definedName name="Variatio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s" localSheetId="2">#REF!</definedName>
    <definedName name="Variations" localSheetId="1">#REF!</definedName>
    <definedName name="Variations" localSheetId="0">#REF!</definedName>
    <definedName name="Variations" localSheetId="4">#REF!</definedName>
    <definedName name="Variations" localSheetId="3">#REF!</definedName>
    <definedName name="Variations" localSheetId="5">#REF!</definedName>
    <definedName name="Variations">#REF!</definedName>
    <definedName name="Various_01" localSheetId="2">#REF!</definedName>
    <definedName name="Various_01" localSheetId="1">#REF!</definedName>
    <definedName name="Various_01" localSheetId="0">#REF!</definedName>
    <definedName name="Various_01" localSheetId="4">#REF!</definedName>
    <definedName name="Various_01" localSheetId="3">#REF!</definedName>
    <definedName name="Various_01" localSheetId="5">#REF!</definedName>
    <definedName name="Various_01">#REF!</definedName>
    <definedName name="Various_02" localSheetId="2">#REF!</definedName>
    <definedName name="Various_02" localSheetId="1">#REF!</definedName>
    <definedName name="Various_02" localSheetId="0">#REF!</definedName>
    <definedName name="Various_02" localSheetId="4">#REF!</definedName>
    <definedName name="Various_02" localSheetId="3">#REF!</definedName>
    <definedName name="Various_02" localSheetId="5">#REF!</definedName>
    <definedName name="Various_02">#REF!</definedName>
    <definedName name="Various_03" localSheetId="2">#REF!</definedName>
    <definedName name="Various_03" localSheetId="1">#REF!</definedName>
    <definedName name="Various_03" localSheetId="0">#REF!</definedName>
    <definedName name="Various_03" localSheetId="4">#REF!</definedName>
    <definedName name="Various_03" localSheetId="3">#REF!</definedName>
    <definedName name="Various_03" localSheetId="5">#REF!</definedName>
    <definedName name="Various_03">#REF!</definedName>
    <definedName name="VAT" localSheetId="4">#REF!</definedName>
    <definedName name="VAT" localSheetId="3">#REF!</definedName>
    <definedName name="VAT" localSheetId="5">#REF!</definedName>
    <definedName name="VAT">#REF!</definedName>
    <definedName name="vc" localSheetId="4">#REF!</definedName>
    <definedName name="vc" localSheetId="3">#REF!</definedName>
    <definedName name="vc" localSheetId="5">#REF!</definedName>
    <definedName name="vc">#REF!</definedName>
    <definedName name="VCD" localSheetId="2">#REF!</definedName>
    <definedName name="VCD" localSheetId="1">#REF!</definedName>
    <definedName name="VCD" localSheetId="0">#REF!</definedName>
    <definedName name="VCD" localSheetId="4">#REF!</definedName>
    <definedName name="VCD" localSheetId="3">#REF!</definedName>
    <definedName name="VCD" localSheetId="5">#REF!</definedName>
    <definedName name="VCD">#REF!</definedName>
    <definedName name="vdgdfgdf" localSheetId="0">#REF!</definedName>
    <definedName name="vdgdfgdf" localSheetId="4">#REF!</definedName>
    <definedName name="vdgdfgdf" localSheetId="3">#REF!</definedName>
    <definedName name="vdgdfgdf" localSheetId="5">#REF!</definedName>
    <definedName name="vdgdfgdf">#REF!</definedName>
    <definedName name="Vela" localSheetId="4">#REF!</definedName>
    <definedName name="Vela" localSheetId="3">#REF!</definedName>
    <definedName name="Vela" localSheetId="5">#REF!</definedName>
    <definedName name="Vela">#REF!</definedName>
    <definedName name="Velu" localSheetId="4">#REF!</definedName>
    <definedName name="Velu" localSheetId="3">#REF!</definedName>
    <definedName name="Velu" localSheetId="5">#REF!</definedName>
    <definedName name="Velu">#REF!</definedName>
    <definedName name="Vendor" localSheetId="4">#REF!</definedName>
    <definedName name="Vendor" localSheetId="3">#REF!</definedName>
    <definedName name="Vendor" localSheetId="5">#REF!</definedName>
    <definedName name="Vendor">#REF!</definedName>
    <definedName name="VIEW" localSheetId="2">#REF!</definedName>
    <definedName name="VIEW" localSheetId="1">#REF!</definedName>
    <definedName name="VIEW" localSheetId="0">#REF!</definedName>
    <definedName name="VIEW" localSheetId="4">#REF!</definedName>
    <definedName name="VIEW" localSheetId="3">#REF!</definedName>
    <definedName name="VIEW" localSheetId="5">#REF!</definedName>
    <definedName name="VIEW">#REF!</definedName>
    <definedName name="VLV_DESUP_HTRS" localSheetId="2">#REF!</definedName>
    <definedName name="VLV_DESUP_HTRS" localSheetId="1">#REF!</definedName>
    <definedName name="VLV_DESUP_HTRS" localSheetId="0">#REF!</definedName>
    <definedName name="VLV_DESUP_HTRS" localSheetId="4">#REF!</definedName>
    <definedName name="VLV_DESUP_HTRS" localSheetId="3">#REF!</definedName>
    <definedName name="VLV_DESUP_HTRS" localSheetId="5">#REF!</definedName>
    <definedName name="VLV_DESUP_HTRS">#REF!</definedName>
    <definedName name="voidsprinkler" localSheetId="4">#REF!</definedName>
    <definedName name="voidsprinkler" localSheetId="3">#REF!</definedName>
    <definedName name="voidsprinkler" localSheetId="5">#REF!</definedName>
    <definedName name="voidsprinkler">#REF!</definedName>
    <definedName name="VOLUME_FV1_GF__Damp_Proofing" localSheetId="2">#REF!</definedName>
    <definedName name="VOLUME_FV1_GF__Damp_Proofing" localSheetId="1">#REF!</definedName>
    <definedName name="VOLUME_FV1_GF__Damp_Proofing" localSheetId="0">#REF!</definedName>
    <definedName name="VOLUME_FV1_GF__Damp_Proofing" localSheetId="4">#REF!</definedName>
    <definedName name="VOLUME_FV1_GF__Damp_Proofing" localSheetId="3">#REF!</definedName>
    <definedName name="VOLUME_FV1_GF__Damp_Proofing" localSheetId="5">#REF!</definedName>
    <definedName name="VOLUME_FV1_GF__Damp_Proofing">#REF!</definedName>
    <definedName name="VOLUME_FV1_Mez__Damp_Proofing" localSheetId="2">#REF!</definedName>
    <definedName name="VOLUME_FV1_Mez__Damp_Proofing" localSheetId="1">#REF!</definedName>
    <definedName name="VOLUME_FV1_Mez__Damp_Proofing" localSheetId="0">#REF!</definedName>
    <definedName name="VOLUME_FV1_Mez__Damp_Proofing" localSheetId="4">#REF!</definedName>
    <definedName name="VOLUME_FV1_Mez__Damp_Proofing" localSheetId="3">#REF!</definedName>
    <definedName name="VOLUME_FV1_Mez__Damp_Proofing" localSheetId="5">#REF!</definedName>
    <definedName name="VOLUME_FV1_Mez__Damp_Proofing">#REF!</definedName>
    <definedName name="VOLUME_FV1_P01__Damp_Proofing" localSheetId="2">#REF!</definedName>
    <definedName name="VOLUME_FV1_P01__Damp_Proofing" localSheetId="1">#REF!</definedName>
    <definedName name="VOLUME_FV1_P01__Damp_Proofing" localSheetId="0">#REF!</definedName>
    <definedName name="VOLUME_FV1_P01__Damp_Proofing" localSheetId="4">#REF!</definedName>
    <definedName name="VOLUME_FV1_P01__Damp_Proofing" localSheetId="3">#REF!</definedName>
    <definedName name="VOLUME_FV1_P01__Damp_Proofing" localSheetId="5">#REF!</definedName>
    <definedName name="VOLUME_FV1_P01__Damp_Proofing">#REF!</definedName>
    <definedName name="VOLUME_FV1_P02__Damp_Proofing___Omission" localSheetId="2">#REF!</definedName>
    <definedName name="VOLUME_FV1_P02__Damp_Proofing___Omission" localSheetId="1">#REF!</definedName>
    <definedName name="VOLUME_FV1_P02__Damp_Proofing___Omission" localSheetId="0">#REF!</definedName>
    <definedName name="VOLUME_FV1_P02__Damp_Proofing___Omission" localSheetId="4">#REF!</definedName>
    <definedName name="VOLUME_FV1_P02__Damp_Proofing___Omission" localSheetId="3">#REF!</definedName>
    <definedName name="VOLUME_FV1_P02__Damp_Proofing___Omission" localSheetId="5">#REF!</definedName>
    <definedName name="VOLUME_FV1_P02__Damp_Proofing___Omission">#REF!</definedName>
    <definedName name="VOLUME_FV1_P03__Damp_Proofing___Omission" localSheetId="2">#REF!</definedName>
    <definedName name="VOLUME_FV1_P03__Damp_Proofing___Omission" localSheetId="1">#REF!</definedName>
    <definedName name="VOLUME_FV1_P03__Damp_Proofing___Omission" localSheetId="0">#REF!</definedName>
    <definedName name="VOLUME_FV1_P03__Damp_Proofing___Omission" localSheetId="4">#REF!</definedName>
    <definedName name="VOLUME_FV1_P03__Damp_Proofing___Omission" localSheetId="3">#REF!</definedName>
    <definedName name="VOLUME_FV1_P03__Damp_Proofing___Omission" localSheetId="5">#REF!</definedName>
    <definedName name="VOLUME_FV1_P03__Damp_Proofing___Omission">#REF!</definedName>
    <definedName name="VOLUME_FV1_P04__Damp_Proofing___Omission" localSheetId="2">#REF!</definedName>
    <definedName name="VOLUME_FV1_P04__Damp_Proofing___Omission" localSheetId="1">#REF!</definedName>
    <definedName name="VOLUME_FV1_P04__Damp_Proofing___Omission" localSheetId="0">#REF!</definedName>
    <definedName name="VOLUME_FV1_P04__Damp_Proofing___Omission" localSheetId="4">#REF!</definedName>
    <definedName name="VOLUME_FV1_P04__Damp_Proofing___Omission" localSheetId="3">#REF!</definedName>
    <definedName name="VOLUME_FV1_P04__Damp_Proofing___Omission" localSheetId="5">#REF!</definedName>
    <definedName name="VOLUME_FV1_P04__Damp_Proofing___Omission">#REF!</definedName>
    <definedName name="VOLUME_FV1_P05__Damp_Proofing___Omission" localSheetId="2">#REF!</definedName>
    <definedName name="VOLUME_FV1_P05__Damp_Proofing___Omission" localSheetId="1">#REF!</definedName>
    <definedName name="VOLUME_FV1_P05__Damp_Proofing___Omission" localSheetId="0">#REF!</definedName>
    <definedName name="VOLUME_FV1_P05__Damp_Proofing___Omission" localSheetId="4">#REF!</definedName>
    <definedName name="VOLUME_FV1_P05__Damp_Proofing___Omission" localSheetId="3">#REF!</definedName>
    <definedName name="VOLUME_FV1_P05__Damp_Proofing___Omission" localSheetId="5">#REF!</definedName>
    <definedName name="VOLUME_FV1_P05__Damp_Proofing___Omission">#REF!</definedName>
    <definedName name="VOLUME_FV1_P10__Damp_Proofing" localSheetId="2">#REF!</definedName>
    <definedName name="VOLUME_FV1_P10__Damp_Proofing" localSheetId="1">#REF!</definedName>
    <definedName name="VOLUME_FV1_P10__Damp_Proofing" localSheetId="0">#REF!</definedName>
    <definedName name="VOLUME_FV1_P10__Damp_Proofing" localSheetId="4">#REF!</definedName>
    <definedName name="VOLUME_FV1_P10__Damp_Proofing" localSheetId="3">#REF!</definedName>
    <definedName name="VOLUME_FV1_P10__Damp_Proofing" localSheetId="5">#REF!</definedName>
    <definedName name="VOLUME_FV1_P10__Damp_Proofing">#REF!</definedName>
    <definedName name="VOLUME_FV2_GF__Damp_Proofing" localSheetId="2">#REF!</definedName>
    <definedName name="VOLUME_FV2_GF__Damp_Proofing" localSheetId="1">#REF!</definedName>
    <definedName name="VOLUME_FV2_GF__Damp_Proofing" localSheetId="0">#REF!</definedName>
    <definedName name="VOLUME_FV2_GF__Damp_Proofing" localSheetId="4">#REF!</definedName>
    <definedName name="VOLUME_FV2_GF__Damp_Proofing" localSheetId="3">#REF!</definedName>
    <definedName name="VOLUME_FV2_GF__Damp_Proofing" localSheetId="5">#REF!</definedName>
    <definedName name="VOLUME_FV2_GF__Damp_Proofing">#REF!</definedName>
    <definedName name="VOLUME_FV2_Mez__Damp_Proofing" localSheetId="2">#REF!</definedName>
    <definedName name="VOLUME_FV2_Mez__Damp_Proofing" localSheetId="1">#REF!</definedName>
    <definedName name="VOLUME_FV2_Mez__Damp_Proofing" localSheetId="0">#REF!</definedName>
    <definedName name="VOLUME_FV2_Mez__Damp_Proofing" localSheetId="4">#REF!</definedName>
    <definedName name="VOLUME_FV2_Mez__Damp_Proofing" localSheetId="3">#REF!</definedName>
    <definedName name="VOLUME_FV2_Mez__Damp_Proofing" localSheetId="5">#REF!</definedName>
    <definedName name="VOLUME_FV2_Mez__Damp_Proofing">#REF!</definedName>
    <definedName name="VOLUME_FV2_P01__Damp_Proofing" localSheetId="2">#REF!</definedName>
    <definedName name="VOLUME_FV2_P01__Damp_Proofing" localSheetId="1">#REF!</definedName>
    <definedName name="VOLUME_FV2_P01__Damp_Proofing" localSheetId="0">#REF!</definedName>
    <definedName name="VOLUME_FV2_P01__Damp_Proofing" localSheetId="4">#REF!</definedName>
    <definedName name="VOLUME_FV2_P01__Damp_Proofing" localSheetId="3">#REF!</definedName>
    <definedName name="VOLUME_FV2_P01__Damp_Proofing" localSheetId="5">#REF!</definedName>
    <definedName name="VOLUME_FV2_P01__Damp_Proofing">#REF!</definedName>
    <definedName name="VOLUME_FV2_P02__Damp_Proofing" localSheetId="2">#REF!</definedName>
    <definedName name="VOLUME_FV2_P02__Damp_Proofing" localSheetId="1">#REF!</definedName>
    <definedName name="VOLUME_FV2_P02__Damp_Proofing" localSheetId="0">#REF!</definedName>
    <definedName name="VOLUME_FV2_P02__Damp_Proofing" localSheetId="4">#REF!</definedName>
    <definedName name="VOLUME_FV2_P02__Damp_Proofing" localSheetId="3">#REF!</definedName>
    <definedName name="VOLUME_FV2_P02__Damp_Proofing" localSheetId="5">#REF!</definedName>
    <definedName name="VOLUME_FV2_P02__Damp_Proofing">#REF!</definedName>
    <definedName name="VOLUME_FV2_P02__Damp_Proofing___Omission" localSheetId="2">#REF!</definedName>
    <definedName name="VOLUME_FV2_P02__Damp_Proofing___Omission" localSheetId="1">#REF!</definedName>
    <definedName name="VOLUME_FV2_P02__Damp_Proofing___Omission" localSheetId="0">#REF!</definedName>
    <definedName name="VOLUME_FV2_P02__Damp_Proofing___Omission" localSheetId="4">#REF!</definedName>
    <definedName name="VOLUME_FV2_P02__Damp_Proofing___Omission" localSheetId="3">#REF!</definedName>
    <definedName name="VOLUME_FV2_P02__Damp_Proofing___Omission" localSheetId="5">#REF!</definedName>
    <definedName name="VOLUME_FV2_P02__Damp_Proofing___Omission">#REF!</definedName>
    <definedName name="VOLUME_FV2_P03__Damp_Proofing" localSheetId="2">#REF!</definedName>
    <definedName name="VOLUME_FV2_P03__Damp_Proofing" localSheetId="1">#REF!</definedName>
    <definedName name="VOLUME_FV2_P03__Damp_Proofing" localSheetId="0">#REF!</definedName>
    <definedName name="VOLUME_FV2_P03__Damp_Proofing" localSheetId="4">#REF!</definedName>
    <definedName name="VOLUME_FV2_P03__Damp_Proofing" localSheetId="3">#REF!</definedName>
    <definedName name="VOLUME_FV2_P03__Damp_Proofing" localSheetId="5">#REF!</definedName>
    <definedName name="VOLUME_FV2_P03__Damp_Proofing">#REF!</definedName>
    <definedName name="VOLUME_FV2_P03__Damp_Proofing___Omission" localSheetId="2">#REF!</definedName>
    <definedName name="VOLUME_FV2_P03__Damp_Proofing___Omission" localSheetId="1">#REF!</definedName>
    <definedName name="VOLUME_FV2_P03__Damp_Proofing___Omission" localSheetId="0">#REF!</definedName>
    <definedName name="VOLUME_FV2_P03__Damp_Proofing___Omission" localSheetId="4">#REF!</definedName>
    <definedName name="VOLUME_FV2_P03__Damp_Proofing___Omission" localSheetId="3">#REF!</definedName>
    <definedName name="VOLUME_FV2_P03__Damp_Proofing___Omission" localSheetId="5">#REF!</definedName>
    <definedName name="VOLUME_FV2_P03__Damp_Proofing___Omission">#REF!</definedName>
    <definedName name="VOLUME_FV2_P04__Damp_Proofing" localSheetId="2">#REF!</definedName>
    <definedName name="VOLUME_FV2_P04__Damp_Proofing" localSheetId="1">#REF!</definedName>
    <definedName name="VOLUME_FV2_P04__Damp_Proofing" localSheetId="0">#REF!</definedName>
    <definedName name="VOLUME_FV2_P04__Damp_Proofing" localSheetId="4">#REF!</definedName>
    <definedName name="VOLUME_FV2_P04__Damp_Proofing" localSheetId="3">#REF!</definedName>
    <definedName name="VOLUME_FV2_P04__Damp_Proofing" localSheetId="5">#REF!</definedName>
    <definedName name="VOLUME_FV2_P04__Damp_Proofing">#REF!</definedName>
    <definedName name="VOLUME_FV2_P04__Damp_Proofing___Omission" localSheetId="2">#REF!</definedName>
    <definedName name="VOLUME_FV2_P04__Damp_Proofing___Omission" localSheetId="1">#REF!</definedName>
    <definedName name="VOLUME_FV2_P04__Damp_Proofing___Omission" localSheetId="0">#REF!</definedName>
    <definedName name="VOLUME_FV2_P04__Damp_Proofing___Omission" localSheetId="4">#REF!</definedName>
    <definedName name="VOLUME_FV2_P04__Damp_Proofing___Omission" localSheetId="3">#REF!</definedName>
    <definedName name="VOLUME_FV2_P04__Damp_Proofing___Omission" localSheetId="5">#REF!</definedName>
    <definedName name="VOLUME_FV2_P04__Damp_Proofing___Omission">#REF!</definedName>
    <definedName name="VOLUME_FV2_P05__Damp_Proofing" localSheetId="2">#REF!</definedName>
    <definedName name="VOLUME_FV2_P05__Damp_Proofing" localSheetId="1">#REF!</definedName>
    <definedName name="VOLUME_FV2_P05__Damp_Proofing" localSheetId="0">#REF!</definedName>
    <definedName name="VOLUME_FV2_P05__Damp_Proofing" localSheetId="4">#REF!</definedName>
    <definedName name="VOLUME_FV2_P05__Damp_Proofing" localSheetId="3">#REF!</definedName>
    <definedName name="VOLUME_FV2_P05__Damp_Proofing" localSheetId="5">#REF!</definedName>
    <definedName name="VOLUME_FV2_P05__Damp_Proofing">#REF!</definedName>
    <definedName name="VOLUME_FV2_P05__Damp_Proofing___Omission" localSheetId="2">#REF!</definedName>
    <definedName name="VOLUME_FV2_P05__Damp_Proofing___Omission" localSheetId="1">#REF!</definedName>
    <definedName name="VOLUME_FV2_P05__Damp_Proofing___Omission" localSheetId="0">#REF!</definedName>
    <definedName name="VOLUME_FV2_P05__Damp_Proofing___Omission" localSheetId="4">#REF!</definedName>
    <definedName name="VOLUME_FV2_P05__Damp_Proofing___Omission" localSheetId="3">#REF!</definedName>
    <definedName name="VOLUME_FV2_P05__Damp_Proofing___Omission" localSheetId="5">#REF!</definedName>
    <definedName name="VOLUME_FV2_P05__Damp_Proofing___Omission">#REF!</definedName>
    <definedName name="VOLUME_FV2_P06__Damp_Proofing" localSheetId="2">#REF!</definedName>
    <definedName name="VOLUME_FV2_P06__Damp_Proofing" localSheetId="1">#REF!</definedName>
    <definedName name="VOLUME_FV2_P06__Damp_Proofing" localSheetId="0">#REF!</definedName>
    <definedName name="VOLUME_FV2_P06__Damp_Proofing" localSheetId="4">#REF!</definedName>
    <definedName name="VOLUME_FV2_P06__Damp_Proofing" localSheetId="3">#REF!</definedName>
    <definedName name="VOLUME_FV2_P06__Damp_Proofing" localSheetId="5">#REF!</definedName>
    <definedName name="VOLUME_FV2_P06__Damp_Proofing">#REF!</definedName>
    <definedName name="VOLUME_FV2_P06__Damp_Proofing___Omission" localSheetId="2">#REF!</definedName>
    <definedName name="VOLUME_FV2_P06__Damp_Proofing___Omission" localSheetId="1">#REF!</definedName>
    <definedName name="VOLUME_FV2_P06__Damp_Proofing___Omission" localSheetId="0">#REF!</definedName>
    <definedName name="VOLUME_FV2_P06__Damp_Proofing___Omission" localSheetId="4">#REF!</definedName>
    <definedName name="VOLUME_FV2_P06__Damp_Proofing___Omission" localSheetId="3">#REF!</definedName>
    <definedName name="VOLUME_FV2_P06__Damp_Proofing___Omission" localSheetId="5">#REF!</definedName>
    <definedName name="VOLUME_FV2_P06__Damp_Proofing___Omission">#REF!</definedName>
    <definedName name="VOLUME_FV2_P07__Damp_Proofing" localSheetId="2">#REF!</definedName>
    <definedName name="VOLUME_FV2_P07__Damp_Proofing" localSheetId="1">#REF!</definedName>
    <definedName name="VOLUME_FV2_P07__Damp_Proofing" localSheetId="0">#REF!</definedName>
    <definedName name="VOLUME_FV2_P07__Damp_Proofing" localSheetId="4">#REF!</definedName>
    <definedName name="VOLUME_FV2_P07__Damp_Proofing" localSheetId="3">#REF!</definedName>
    <definedName name="VOLUME_FV2_P07__Damp_Proofing" localSheetId="5">#REF!</definedName>
    <definedName name="VOLUME_FV2_P07__Damp_Proofing">#REF!</definedName>
    <definedName name="VOLUME_FV2_P07__Damp_Proofing___Omission" localSheetId="2">#REF!</definedName>
    <definedName name="VOLUME_FV2_P07__Damp_Proofing___Omission" localSheetId="1">#REF!</definedName>
    <definedName name="VOLUME_FV2_P07__Damp_Proofing___Omission" localSheetId="0">#REF!</definedName>
    <definedName name="VOLUME_FV2_P07__Damp_Proofing___Omission" localSheetId="4">#REF!</definedName>
    <definedName name="VOLUME_FV2_P07__Damp_Proofing___Omission" localSheetId="3">#REF!</definedName>
    <definedName name="VOLUME_FV2_P07__Damp_Proofing___Omission" localSheetId="5">#REF!</definedName>
    <definedName name="VOLUME_FV2_P07__Damp_Proofing___Omission">#REF!</definedName>
    <definedName name="VOLUME_FV2_P08__Damp_Proofing" localSheetId="2">#REF!</definedName>
    <definedName name="VOLUME_FV2_P08__Damp_Proofing" localSheetId="1">#REF!</definedName>
    <definedName name="VOLUME_FV2_P08__Damp_Proofing" localSheetId="0">#REF!</definedName>
    <definedName name="VOLUME_FV2_P08__Damp_Proofing" localSheetId="4">#REF!</definedName>
    <definedName name="VOLUME_FV2_P08__Damp_Proofing" localSheetId="3">#REF!</definedName>
    <definedName name="VOLUME_FV2_P08__Damp_Proofing" localSheetId="5">#REF!</definedName>
    <definedName name="VOLUME_FV2_P08__Damp_Proofing">#REF!</definedName>
    <definedName name="VOLUME_FV2_P08__Damp_Proofing___Omission" localSheetId="2">#REF!</definedName>
    <definedName name="VOLUME_FV2_P08__Damp_Proofing___Omission" localSheetId="1">#REF!</definedName>
    <definedName name="VOLUME_FV2_P08__Damp_Proofing___Omission" localSheetId="0">#REF!</definedName>
    <definedName name="VOLUME_FV2_P08__Damp_Proofing___Omission" localSheetId="4">#REF!</definedName>
    <definedName name="VOLUME_FV2_P08__Damp_Proofing___Omission" localSheetId="3">#REF!</definedName>
    <definedName name="VOLUME_FV2_P08__Damp_Proofing___Omission" localSheetId="5">#REF!</definedName>
    <definedName name="VOLUME_FV2_P08__Damp_Proofing___Omission">#REF!</definedName>
    <definedName name="VOLUME_FV2_P09__Damp_Proofing" localSheetId="2">#REF!</definedName>
    <definedName name="VOLUME_FV2_P09__Damp_Proofing" localSheetId="1">#REF!</definedName>
    <definedName name="VOLUME_FV2_P09__Damp_Proofing" localSheetId="0">#REF!</definedName>
    <definedName name="VOLUME_FV2_P09__Damp_Proofing" localSheetId="4">#REF!</definedName>
    <definedName name="VOLUME_FV2_P09__Damp_Proofing" localSheetId="3">#REF!</definedName>
    <definedName name="VOLUME_FV2_P09__Damp_Proofing" localSheetId="5">#REF!</definedName>
    <definedName name="VOLUME_FV2_P09__Damp_Proofing">#REF!</definedName>
    <definedName name="VOLUME_FV2_P10__Damp_Proofing" localSheetId="2">#REF!</definedName>
    <definedName name="VOLUME_FV2_P10__Damp_Proofing" localSheetId="1">#REF!</definedName>
    <definedName name="VOLUME_FV2_P10__Damp_Proofing" localSheetId="0">#REF!</definedName>
    <definedName name="VOLUME_FV2_P10__Damp_Proofing" localSheetId="4">#REF!</definedName>
    <definedName name="VOLUME_FV2_P10__Damp_Proofing" localSheetId="3">#REF!</definedName>
    <definedName name="VOLUME_FV2_P10__Damp_Proofing" localSheetId="5">#REF!</definedName>
    <definedName name="VOLUME_FV2_P10__Damp_Proofing">#REF!</definedName>
    <definedName name="VOLUME_FV3_GF__Damp_Proofing" localSheetId="2">#REF!</definedName>
    <definedName name="VOLUME_FV3_GF__Damp_Proofing" localSheetId="1">#REF!</definedName>
    <definedName name="VOLUME_FV3_GF__Damp_Proofing" localSheetId="0">#REF!</definedName>
    <definedName name="VOLUME_FV3_GF__Damp_Proofing" localSheetId="4">#REF!</definedName>
    <definedName name="VOLUME_FV3_GF__Damp_Proofing" localSheetId="3">#REF!</definedName>
    <definedName name="VOLUME_FV3_GF__Damp_Proofing" localSheetId="5">#REF!</definedName>
    <definedName name="VOLUME_FV3_GF__Damp_Proofing">#REF!</definedName>
    <definedName name="VOLUME_FV3_Mez__Damp_Proofing" localSheetId="2">#REF!</definedName>
    <definedName name="VOLUME_FV3_Mez__Damp_Proofing" localSheetId="1">#REF!</definedName>
    <definedName name="VOLUME_FV3_Mez__Damp_Proofing" localSheetId="0">#REF!</definedName>
    <definedName name="VOLUME_FV3_Mez__Damp_Proofing" localSheetId="4">#REF!</definedName>
    <definedName name="VOLUME_FV3_Mez__Damp_Proofing" localSheetId="3">#REF!</definedName>
    <definedName name="VOLUME_FV3_Mez__Damp_Proofing" localSheetId="5">#REF!</definedName>
    <definedName name="VOLUME_FV3_Mez__Damp_Proofing">#REF!</definedName>
    <definedName name="VOLUME_FV3_P02__Damp_Proofing" localSheetId="2">#REF!</definedName>
    <definedName name="VOLUME_FV3_P02__Damp_Proofing" localSheetId="1">#REF!</definedName>
    <definedName name="VOLUME_FV3_P02__Damp_Proofing" localSheetId="0">#REF!</definedName>
    <definedName name="VOLUME_FV3_P02__Damp_Proofing" localSheetId="4">#REF!</definedName>
    <definedName name="VOLUME_FV3_P02__Damp_Proofing" localSheetId="3">#REF!</definedName>
    <definedName name="VOLUME_FV3_P02__Damp_Proofing" localSheetId="5">#REF!</definedName>
    <definedName name="VOLUME_FV3_P02__Damp_Proofing">#REF!</definedName>
    <definedName name="VOLUME_FV3_P02__Damp_Proofing___Omission" localSheetId="2">#REF!</definedName>
    <definedName name="VOLUME_FV3_P02__Damp_Proofing___Omission" localSheetId="1">#REF!</definedName>
    <definedName name="VOLUME_FV3_P02__Damp_Proofing___Omission" localSheetId="0">#REF!</definedName>
    <definedName name="VOLUME_FV3_P02__Damp_Proofing___Omission" localSheetId="4">#REF!</definedName>
    <definedName name="VOLUME_FV3_P02__Damp_Proofing___Omission" localSheetId="3">#REF!</definedName>
    <definedName name="VOLUME_FV3_P02__Damp_Proofing___Omission" localSheetId="5">#REF!</definedName>
    <definedName name="VOLUME_FV3_P02__Damp_Proofing___Omission">#REF!</definedName>
    <definedName name="VOLUME_FV3_P03__Damp_Proofing___Omission" localSheetId="2">#REF!</definedName>
    <definedName name="VOLUME_FV3_P03__Damp_Proofing___Omission" localSheetId="1">#REF!</definedName>
    <definedName name="VOLUME_FV3_P03__Damp_Proofing___Omission" localSheetId="0">#REF!</definedName>
    <definedName name="VOLUME_FV3_P03__Damp_Proofing___Omission" localSheetId="4">#REF!</definedName>
    <definedName name="VOLUME_FV3_P03__Damp_Proofing___Omission" localSheetId="3">#REF!</definedName>
    <definedName name="VOLUME_FV3_P03__Damp_Proofing___Omission" localSheetId="5">#REF!</definedName>
    <definedName name="VOLUME_FV3_P03__Damp_Proofing___Omission">#REF!</definedName>
    <definedName name="VOLUME_FV3_P04__Damp_Proofing___Omission" localSheetId="2">#REF!</definedName>
    <definedName name="VOLUME_FV3_P04__Damp_Proofing___Omission" localSheetId="1">#REF!</definedName>
    <definedName name="VOLUME_FV3_P04__Damp_Proofing___Omission" localSheetId="0">#REF!</definedName>
    <definedName name="VOLUME_FV3_P04__Damp_Proofing___Omission" localSheetId="4">#REF!</definedName>
    <definedName name="VOLUME_FV3_P04__Damp_Proofing___Omission" localSheetId="3">#REF!</definedName>
    <definedName name="VOLUME_FV3_P04__Damp_Proofing___Omission" localSheetId="5">#REF!</definedName>
    <definedName name="VOLUME_FV3_P04__Damp_Proofing___Omission">#REF!</definedName>
    <definedName name="VOLUME_FV3_P05__Damp_Proofing___Omission" localSheetId="2">#REF!</definedName>
    <definedName name="VOLUME_FV3_P05__Damp_Proofing___Omission" localSheetId="1">#REF!</definedName>
    <definedName name="VOLUME_FV3_P05__Damp_Proofing___Omission" localSheetId="0">#REF!</definedName>
    <definedName name="VOLUME_FV3_P05__Damp_Proofing___Omission" localSheetId="4">#REF!</definedName>
    <definedName name="VOLUME_FV3_P05__Damp_Proofing___Omission" localSheetId="3">#REF!</definedName>
    <definedName name="VOLUME_FV3_P05__Damp_Proofing___Omission" localSheetId="5">#REF!</definedName>
    <definedName name="VOLUME_FV3_P05__Damp_Proofing___Omission">#REF!</definedName>
    <definedName name="VOLUME_FV3_P06__Damp_Proofing___Omission" localSheetId="2">#REF!</definedName>
    <definedName name="VOLUME_FV3_P06__Damp_Proofing___Omission" localSheetId="1">#REF!</definedName>
    <definedName name="VOLUME_FV3_P06__Damp_Proofing___Omission" localSheetId="0">#REF!</definedName>
    <definedName name="VOLUME_FV3_P06__Damp_Proofing___Omission" localSheetId="4">#REF!</definedName>
    <definedName name="VOLUME_FV3_P06__Damp_Proofing___Omission" localSheetId="3">#REF!</definedName>
    <definedName name="VOLUME_FV3_P06__Damp_Proofing___Omission" localSheetId="5">#REF!</definedName>
    <definedName name="VOLUME_FV3_P06__Damp_Proofing___Omission">#REF!</definedName>
    <definedName name="VOLUME_FV3_P07__Damp_Proofing___Omission" localSheetId="2">#REF!</definedName>
    <definedName name="VOLUME_FV3_P07__Damp_Proofing___Omission" localSheetId="1">#REF!</definedName>
    <definedName name="VOLUME_FV3_P07__Damp_Proofing___Omission" localSheetId="0">#REF!</definedName>
    <definedName name="VOLUME_FV3_P07__Damp_Proofing___Omission" localSheetId="4">#REF!</definedName>
    <definedName name="VOLUME_FV3_P07__Damp_Proofing___Omission" localSheetId="3">#REF!</definedName>
    <definedName name="VOLUME_FV3_P07__Damp_Proofing___Omission" localSheetId="5">#REF!</definedName>
    <definedName name="VOLUME_FV3_P07__Damp_Proofing___Omission">#REF!</definedName>
    <definedName name="VOLUME_FV3_P08__Damp_Proofing___Omission" localSheetId="2">#REF!</definedName>
    <definedName name="VOLUME_FV3_P08__Damp_Proofing___Omission" localSheetId="1">#REF!</definedName>
    <definedName name="VOLUME_FV3_P08__Damp_Proofing___Omission" localSheetId="0">#REF!</definedName>
    <definedName name="VOLUME_FV3_P08__Damp_Proofing___Omission" localSheetId="4">#REF!</definedName>
    <definedName name="VOLUME_FV3_P08__Damp_Proofing___Omission" localSheetId="3">#REF!</definedName>
    <definedName name="VOLUME_FV3_P08__Damp_Proofing___Omission" localSheetId="5">#REF!</definedName>
    <definedName name="VOLUME_FV3_P08__Damp_Proofing___Omission">#REF!</definedName>
    <definedName name="VOLUME_FV3_P09__Damp_Proofing" localSheetId="2">#REF!</definedName>
    <definedName name="VOLUME_FV3_P09__Damp_Proofing" localSheetId="1">#REF!</definedName>
    <definedName name="VOLUME_FV3_P09__Damp_Proofing" localSheetId="0">#REF!</definedName>
    <definedName name="VOLUME_FV3_P09__Damp_Proofing" localSheetId="4">#REF!</definedName>
    <definedName name="VOLUME_FV3_P09__Damp_Proofing" localSheetId="3">#REF!</definedName>
    <definedName name="VOLUME_FV3_P09__Damp_Proofing" localSheetId="5">#REF!</definedName>
    <definedName name="VOLUME_FV3_P09__Damp_Proofing">#REF!</definedName>
    <definedName name="VOLUME_FV3_P09__Damp_Proofing___Omission" localSheetId="2">#REF!</definedName>
    <definedName name="VOLUME_FV3_P09__Damp_Proofing___Omission" localSheetId="1">#REF!</definedName>
    <definedName name="VOLUME_FV3_P09__Damp_Proofing___Omission" localSheetId="0">#REF!</definedName>
    <definedName name="VOLUME_FV3_P09__Damp_Proofing___Omission" localSheetId="4">#REF!</definedName>
    <definedName name="VOLUME_FV3_P09__Damp_Proofing___Omission" localSheetId="3">#REF!</definedName>
    <definedName name="VOLUME_FV3_P09__Damp_Proofing___Omission" localSheetId="5">#REF!</definedName>
    <definedName name="VOLUME_FV3_P09__Damp_Proofing___Omission">#REF!</definedName>
    <definedName name="VOLUME_FV3_P10__Damp_Proofing" localSheetId="2">#REF!</definedName>
    <definedName name="VOLUME_FV3_P10__Damp_Proofing" localSheetId="1">#REF!</definedName>
    <definedName name="VOLUME_FV3_P10__Damp_Proofing" localSheetId="0">#REF!</definedName>
    <definedName name="VOLUME_FV3_P10__Damp_Proofing" localSheetId="4">#REF!</definedName>
    <definedName name="VOLUME_FV3_P10__Damp_Proofing" localSheetId="3">#REF!</definedName>
    <definedName name="VOLUME_FV3_P10__Damp_Proofing" localSheetId="5">#REF!</definedName>
    <definedName name="VOLUME_FV3_P10__Damp_Proofing">#REF!</definedName>
    <definedName name="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" localSheetId="2" hidden="1">#REF!</definedName>
    <definedName name="w" localSheetId="1" hidden="1">#REF!</definedName>
    <definedName name="W" localSheetId="0">#REF!</definedName>
    <definedName name="W" localSheetId="4">#REF!</definedName>
    <definedName name="W" localSheetId="3">#REF!</definedName>
    <definedName name="W" localSheetId="5">#REF!</definedName>
    <definedName name="W">#REF!</definedName>
    <definedName name="wall" localSheetId="2">#REF!</definedName>
    <definedName name="wall" localSheetId="1">#REF!</definedName>
    <definedName name="wall" localSheetId="0">#REF!</definedName>
    <definedName name="wall" localSheetId="4">#REF!</definedName>
    <definedName name="wall" localSheetId="3">#REF!</definedName>
    <definedName name="wall" localSheetId="5">#REF!</definedName>
    <definedName name="wall">#REF!</definedName>
    <definedName name="WALL420" localSheetId="4">#REF!</definedName>
    <definedName name="WALL420" localSheetId="3">#REF!</definedName>
    <definedName name="WALL420" localSheetId="5">#REF!</definedName>
    <definedName name="WALL420">#REF!</definedName>
    <definedName name="WALLAREA_FV1_GF__Damp_Proofing" localSheetId="2">#REF!</definedName>
    <definedName name="WALLAREA_FV1_GF__Damp_Proofing" localSheetId="1">#REF!</definedName>
    <definedName name="WALLAREA_FV1_GF__Damp_Proofing" localSheetId="0">#REF!</definedName>
    <definedName name="WALLAREA_FV1_GF__Damp_Proofing" localSheetId="4">#REF!</definedName>
    <definedName name="WALLAREA_FV1_GF__Damp_Proofing" localSheetId="3">#REF!</definedName>
    <definedName name="WALLAREA_FV1_GF__Damp_Proofing" localSheetId="5">#REF!</definedName>
    <definedName name="WALLAREA_FV1_GF__Damp_Proofing">#REF!</definedName>
    <definedName name="WALLAREA_FV1_Mez__Damp_Proofing" localSheetId="2">#REF!</definedName>
    <definedName name="WALLAREA_FV1_Mez__Damp_Proofing" localSheetId="1">#REF!</definedName>
    <definedName name="WALLAREA_FV1_Mez__Damp_Proofing" localSheetId="0">#REF!</definedName>
    <definedName name="WALLAREA_FV1_Mez__Damp_Proofing" localSheetId="4">#REF!</definedName>
    <definedName name="WALLAREA_FV1_Mez__Damp_Proofing" localSheetId="3">#REF!</definedName>
    <definedName name="WALLAREA_FV1_Mez__Damp_Proofing" localSheetId="5">#REF!</definedName>
    <definedName name="WALLAREA_FV1_Mez__Damp_Proofing">#REF!</definedName>
    <definedName name="WALLAREA_FV1_P01__Damp_Proofing" localSheetId="2">#REF!</definedName>
    <definedName name="WALLAREA_FV1_P01__Damp_Proofing" localSheetId="1">#REF!</definedName>
    <definedName name="WALLAREA_FV1_P01__Damp_Proofing" localSheetId="0">#REF!</definedName>
    <definedName name="WALLAREA_FV1_P01__Damp_Proofing" localSheetId="4">#REF!</definedName>
    <definedName name="WALLAREA_FV1_P01__Damp_Proofing" localSheetId="3">#REF!</definedName>
    <definedName name="WALLAREA_FV1_P01__Damp_Proofing" localSheetId="5">#REF!</definedName>
    <definedName name="WALLAREA_FV1_P01__Damp_Proofing">#REF!</definedName>
    <definedName name="WALLAREA_FV1_P02__Damp_Proofing___Omission" localSheetId="2">#REF!</definedName>
    <definedName name="WALLAREA_FV1_P02__Damp_Proofing___Omission" localSheetId="1">#REF!</definedName>
    <definedName name="WALLAREA_FV1_P02__Damp_Proofing___Omission" localSheetId="0">#REF!</definedName>
    <definedName name="WALLAREA_FV1_P02__Damp_Proofing___Omission" localSheetId="4">#REF!</definedName>
    <definedName name="WALLAREA_FV1_P02__Damp_Proofing___Omission" localSheetId="3">#REF!</definedName>
    <definedName name="WALLAREA_FV1_P02__Damp_Proofing___Omission" localSheetId="5">#REF!</definedName>
    <definedName name="WALLAREA_FV1_P02__Damp_Proofing___Omission">#REF!</definedName>
    <definedName name="WALLAREA_FV1_P03__Damp_Proofing___Omission" localSheetId="2">#REF!</definedName>
    <definedName name="WALLAREA_FV1_P03__Damp_Proofing___Omission" localSheetId="1">#REF!</definedName>
    <definedName name="WALLAREA_FV1_P03__Damp_Proofing___Omission" localSheetId="0">#REF!</definedName>
    <definedName name="WALLAREA_FV1_P03__Damp_Proofing___Omission" localSheetId="4">#REF!</definedName>
    <definedName name="WALLAREA_FV1_P03__Damp_Proofing___Omission" localSheetId="3">#REF!</definedName>
    <definedName name="WALLAREA_FV1_P03__Damp_Proofing___Omission" localSheetId="5">#REF!</definedName>
    <definedName name="WALLAREA_FV1_P03__Damp_Proofing___Omission">#REF!</definedName>
    <definedName name="WALLAREA_FV1_P04__Damp_Proofing___Omission" localSheetId="2">#REF!</definedName>
    <definedName name="WALLAREA_FV1_P04__Damp_Proofing___Omission" localSheetId="1">#REF!</definedName>
    <definedName name="WALLAREA_FV1_P04__Damp_Proofing___Omission" localSheetId="0">#REF!</definedName>
    <definedName name="WALLAREA_FV1_P04__Damp_Proofing___Omission" localSheetId="4">#REF!</definedName>
    <definedName name="WALLAREA_FV1_P04__Damp_Proofing___Omission" localSheetId="3">#REF!</definedName>
    <definedName name="WALLAREA_FV1_P04__Damp_Proofing___Omission" localSheetId="5">#REF!</definedName>
    <definedName name="WALLAREA_FV1_P04__Damp_Proofing___Omission">#REF!</definedName>
    <definedName name="WALLAREA_FV1_P05__Damp_Proofing___Omission" localSheetId="2">#REF!</definedName>
    <definedName name="WALLAREA_FV1_P05__Damp_Proofing___Omission" localSheetId="1">#REF!</definedName>
    <definedName name="WALLAREA_FV1_P05__Damp_Proofing___Omission" localSheetId="0">#REF!</definedName>
    <definedName name="WALLAREA_FV1_P05__Damp_Proofing___Omission" localSheetId="4">#REF!</definedName>
    <definedName name="WALLAREA_FV1_P05__Damp_Proofing___Omission" localSheetId="3">#REF!</definedName>
    <definedName name="WALLAREA_FV1_P05__Damp_Proofing___Omission" localSheetId="5">#REF!</definedName>
    <definedName name="WALLAREA_FV1_P05__Damp_Proofing___Omission">#REF!</definedName>
    <definedName name="WALLAREA_FV1_P10__Damp_Proofing" localSheetId="2">#REF!</definedName>
    <definedName name="WALLAREA_FV1_P10__Damp_Proofing" localSheetId="1">#REF!</definedName>
    <definedName name="WALLAREA_FV1_P10__Damp_Proofing" localSheetId="0">#REF!</definedName>
    <definedName name="WALLAREA_FV1_P10__Damp_Proofing" localSheetId="4">#REF!</definedName>
    <definedName name="WALLAREA_FV1_P10__Damp_Proofing" localSheetId="3">#REF!</definedName>
    <definedName name="WALLAREA_FV1_P10__Damp_Proofing" localSheetId="5">#REF!</definedName>
    <definedName name="WALLAREA_FV1_P10__Damp_Proofing">#REF!</definedName>
    <definedName name="WALLAREA_FV2_GF__Damp_Proofing" localSheetId="2">#REF!</definedName>
    <definedName name="WALLAREA_FV2_GF__Damp_Proofing" localSheetId="1">#REF!</definedName>
    <definedName name="WALLAREA_FV2_GF__Damp_Proofing" localSheetId="0">#REF!</definedName>
    <definedName name="WALLAREA_FV2_GF__Damp_Proofing" localSheetId="4">#REF!</definedName>
    <definedName name="WALLAREA_FV2_GF__Damp_Proofing" localSheetId="3">#REF!</definedName>
    <definedName name="WALLAREA_FV2_GF__Damp_Proofing" localSheetId="5">#REF!</definedName>
    <definedName name="WALLAREA_FV2_GF__Damp_Proofing">#REF!</definedName>
    <definedName name="WALLAREA_FV2_Mez__Damp_Proofing" localSheetId="2">#REF!</definedName>
    <definedName name="WALLAREA_FV2_Mez__Damp_Proofing" localSheetId="1">#REF!</definedName>
    <definedName name="WALLAREA_FV2_Mez__Damp_Proofing" localSheetId="0">#REF!</definedName>
    <definedName name="WALLAREA_FV2_Mez__Damp_Proofing" localSheetId="4">#REF!</definedName>
    <definedName name="WALLAREA_FV2_Mez__Damp_Proofing" localSheetId="3">#REF!</definedName>
    <definedName name="WALLAREA_FV2_Mez__Damp_Proofing" localSheetId="5">#REF!</definedName>
    <definedName name="WALLAREA_FV2_Mez__Damp_Proofing">#REF!</definedName>
    <definedName name="WALLAREA_FV2_P01__Damp_Proofing" localSheetId="2">#REF!</definedName>
    <definedName name="WALLAREA_FV2_P01__Damp_Proofing" localSheetId="1">#REF!</definedName>
    <definedName name="WALLAREA_FV2_P01__Damp_Proofing" localSheetId="0">#REF!</definedName>
    <definedName name="WALLAREA_FV2_P01__Damp_Proofing" localSheetId="4">#REF!</definedName>
    <definedName name="WALLAREA_FV2_P01__Damp_Proofing" localSheetId="3">#REF!</definedName>
    <definedName name="WALLAREA_FV2_P01__Damp_Proofing" localSheetId="5">#REF!</definedName>
    <definedName name="WALLAREA_FV2_P01__Damp_Proofing">#REF!</definedName>
    <definedName name="WALLAREA_FV2_P02__Damp_Proofing" localSheetId="2">#REF!</definedName>
    <definedName name="WALLAREA_FV2_P02__Damp_Proofing" localSheetId="1">#REF!</definedName>
    <definedName name="WALLAREA_FV2_P02__Damp_Proofing" localSheetId="0">#REF!</definedName>
    <definedName name="WALLAREA_FV2_P02__Damp_Proofing" localSheetId="4">#REF!</definedName>
    <definedName name="WALLAREA_FV2_P02__Damp_Proofing" localSheetId="3">#REF!</definedName>
    <definedName name="WALLAREA_FV2_P02__Damp_Proofing" localSheetId="5">#REF!</definedName>
    <definedName name="WALLAREA_FV2_P02__Damp_Proofing">#REF!</definedName>
    <definedName name="WALLAREA_FV2_P02__Damp_Proofing___Omission" localSheetId="2">#REF!</definedName>
    <definedName name="WALLAREA_FV2_P02__Damp_Proofing___Omission" localSheetId="1">#REF!</definedName>
    <definedName name="WALLAREA_FV2_P02__Damp_Proofing___Omission" localSheetId="0">#REF!</definedName>
    <definedName name="WALLAREA_FV2_P02__Damp_Proofing___Omission" localSheetId="4">#REF!</definedName>
    <definedName name="WALLAREA_FV2_P02__Damp_Proofing___Omission" localSheetId="3">#REF!</definedName>
    <definedName name="WALLAREA_FV2_P02__Damp_Proofing___Omission" localSheetId="5">#REF!</definedName>
    <definedName name="WALLAREA_FV2_P02__Damp_Proofing___Omission">#REF!</definedName>
    <definedName name="WALLAREA_FV2_P03__Damp_Proofing" localSheetId="2">#REF!</definedName>
    <definedName name="WALLAREA_FV2_P03__Damp_Proofing" localSheetId="1">#REF!</definedName>
    <definedName name="WALLAREA_FV2_P03__Damp_Proofing" localSheetId="0">#REF!</definedName>
    <definedName name="WALLAREA_FV2_P03__Damp_Proofing" localSheetId="4">#REF!</definedName>
    <definedName name="WALLAREA_FV2_P03__Damp_Proofing" localSheetId="3">#REF!</definedName>
    <definedName name="WALLAREA_FV2_P03__Damp_Proofing" localSheetId="5">#REF!</definedName>
    <definedName name="WALLAREA_FV2_P03__Damp_Proofing">#REF!</definedName>
    <definedName name="WALLAREA_FV2_P03__Damp_Proofing___Omission" localSheetId="2">#REF!</definedName>
    <definedName name="WALLAREA_FV2_P03__Damp_Proofing___Omission" localSheetId="1">#REF!</definedName>
    <definedName name="WALLAREA_FV2_P03__Damp_Proofing___Omission" localSheetId="0">#REF!</definedName>
    <definedName name="WALLAREA_FV2_P03__Damp_Proofing___Omission" localSheetId="4">#REF!</definedName>
    <definedName name="WALLAREA_FV2_P03__Damp_Proofing___Omission" localSheetId="3">#REF!</definedName>
    <definedName name="WALLAREA_FV2_P03__Damp_Proofing___Omission" localSheetId="5">#REF!</definedName>
    <definedName name="WALLAREA_FV2_P03__Damp_Proofing___Omission">#REF!</definedName>
    <definedName name="WALLAREA_FV2_P04__Damp_Proofing" localSheetId="2">#REF!</definedName>
    <definedName name="WALLAREA_FV2_P04__Damp_Proofing" localSheetId="1">#REF!</definedName>
    <definedName name="WALLAREA_FV2_P04__Damp_Proofing" localSheetId="0">#REF!</definedName>
    <definedName name="WALLAREA_FV2_P04__Damp_Proofing" localSheetId="4">#REF!</definedName>
    <definedName name="WALLAREA_FV2_P04__Damp_Proofing" localSheetId="3">#REF!</definedName>
    <definedName name="WALLAREA_FV2_P04__Damp_Proofing" localSheetId="5">#REF!</definedName>
    <definedName name="WALLAREA_FV2_P04__Damp_Proofing">#REF!</definedName>
    <definedName name="WALLAREA_FV2_P04__Damp_Proofing___Omission" localSheetId="2">#REF!</definedName>
    <definedName name="WALLAREA_FV2_P04__Damp_Proofing___Omission" localSheetId="1">#REF!</definedName>
    <definedName name="WALLAREA_FV2_P04__Damp_Proofing___Omission" localSheetId="0">#REF!</definedName>
    <definedName name="WALLAREA_FV2_P04__Damp_Proofing___Omission" localSheetId="4">#REF!</definedName>
    <definedName name="WALLAREA_FV2_P04__Damp_Proofing___Omission" localSheetId="3">#REF!</definedName>
    <definedName name="WALLAREA_FV2_P04__Damp_Proofing___Omission" localSheetId="5">#REF!</definedName>
    <definedName name="WALLAREA_FV2_P04__Damp_Proofing___Omission">#REF!</definedName>
    <definedName name="WALLAREA_FV2_P05__Damp_Proofing" localSheetId="2">#REF!</definedName>
    <definedName name="WALLAREA_FV2_P05__Damp_Proofing" localSheetId="1">#REF!</definedName>
    <definedName name="WALLAREA_FV2_P05__Damp_Proofing" localSheetId="0">#REF!</definedName>
    <definedName name="WALLAREA_FV2_P05__Damp_Proofing" localSheetId="4">#REF!</definedName>
    <definedName name="WALLAREA_FV2_P05__Damp_Proofing" localSheetId="3">#REF!</definedName>
    <definedName name="WALLAREA_FV2_P05__Damp_Proofing" localSheetId="5">#REF!</definedName>
    <definedName name="WALLAREA_FV2_P05__Damp_Proofing">#REF!</definedName>
    <definedName name="WALLAREA_FV2_P05__Damp_Proofing___Omission" localSheetId="2">#REF!</definedName>
    <definedName name="WALLAREA_FV2_P05__Damp_Proofing___Omission" localSheetId="1">#REF!</definedName>
    <definedName name="WALLAREA_FV2_P05__Damp_Proofing___Omission" localSheetId="0">#REF!</definedName>
    <definedName name="WALLAREA_FV2_P05__Damp_Proofing___Omission" localSheetId="4">#REF!</definedName>
    <definedName name="WALLAREA_FV2_P05__Damp_Proofing___Omission" localSheetId="3">#REF!</definedName>
    <definedName name="WALLAREA_FV2_P05__Damp_Proofing___Omission" localSheetId="5">#REF!</definedName>
    <definedName name="WALLAREA_FV2_P05__Damp_Proofing___Omission">#REF!</definedName>
    <definedName name="WALLAREA_FV2_P06__Damp_Proofing" localSheetId="2">#REF!</definedName>
    <definedName name="WALLAREA_FV2_P06__Damp_Proofing" localSheetId="1">#REF!</definedName>
    <definedName name="WALLAREA_FV2_P06__Damp_Proofing" localSheetId="0">#REF!</definedName>
    <definedName name="WALLAREA_FV2_P06__Damp_Proofing" localSheetId="4">#REF!</definedName>
    <definedName name="WALLAREA_FV2_P06__Damp_Proofing" localSheetId="3">#REF!</definedName>
    <definedName name="WALLAREA_FV2_P06__Damp_Proofing" localSheetId="5">#REF!</definedName>
    <definedName name="WALLAREA_FV2_P06__Damp_Proofing">#REF!</definedName>
    <definedName name="WALLAREA_FV2_P06__Damp_Proofing___Omission" localSheetId="2">#REF!</definedName>
    <definedName name="WALLAREA_FV2_P06__Damp_Proofing___Omission" localSheetId="1">#REF!</definedName>
    <definedName name="WALLAREA_FV2_P06__Damp_Proofing___Omission" localSheetId="0">#REF!</definedName>
    <definedName name="WALLAREA_FV2_P06__Damp_Proofing___Omission" localSheetId="4">#REF!</definedName>
    <definedName name="WALLAREA_FV2_P06__Damp_Proofing___Omission" localSheetId="3">#REF!</definedName>
    <definedName name="WALLAREA_FV2_P06__Damp_Proofing___Omission" localSheetId="5">#REF!</definedName>
    <definedName name="WALLAREA_FV2_P06__Damp_Proofing___Omission">#REF!</definedName>
    <definedName name="WALLAREA_FV2_P07__Damp_Proofing" localSheetId="2">#REF!</definedName>
    <definedName name="WALLAREA_FV2_P07__Damp_Proofing" localSheetId="1">#REF!</definedName>
    <definedName name="WALLAREA_FV2_P07__Damp_Proofing" localSheetId="0">#REF!</definedName>
    <definedName name="WALLAREA_FV2_P07__Damp_Proofing" localSheetId="4">#REF!</definedName>
    <definedName name="WALLAREA_FV2_P07__Damp_Proofing" localSheetId="3">#REF!</definedName>
    <definedName name="WALLAREA_FV2_P07__Damp_Proofing" localSheetId="5">#REF!</definedName>
    <definedName name="WALLAREA_FV2_P07__Damp_Proofing">#REF!</definedName>
    <definedName name="WALLAREA_FV2_P07__Damp_Proofing___Omission" localSheetId="2">#REF!</definedName>
    <definedName name="WALLAREA_FV2_P07__Damp_Proofing___Omission" localSheetId="1">#REF!</definedName>
    <definedName name="WALLAREA_FV2_P07__Damp_Proofing___Omission" localSheetId="0">#REF!</definedName>
    <definedName name="WALLAREA_FV2_P07__Damp_Proofing___Omission" localSheetId="4">#REF!</definedName>
    <definedName name="WALLAREA_FV2_P07__Damp_Proofing___Omission" localSheetId="3">#REF!</definedName>
    <definedName name="WALLAREA_FV2_P07__Damp_Proofing___Omission" localSheetId="5">#REF!</definedName>
    <definedName name="WALLAREA_FV2_P07__Damp_Proofing___Omission">#REF!</definedName>
    <definedName name="WALLAREA_FV2_P08__Damp_Proofing" localSheetId="2">#REF!</definedName>
    <definedName name="WALLAREA_FV2_P08__Damp_Proofing" localSheetId="1">#REF!</definedName>
    <definedName name="WALLAREA_FV2_P08__Damp_Proofing" localSheetId="0">#REF!</definedName>
    <definedName name="WALLAREA_FV2_P08__Damp_Proofing" localSheetId="4">#REF!</definedName>
    <definedName name="WALLAREA_FV2_P08__Damp_Proofing" localSheetId="3">#REF!</definedName>
    <definedName name="WALLAREA_FV2_P08__Damp_Proofing" localSheetId="5">#REF!</definedName>
    <definedName name="WALLAREA_FV2_P08__Damp_Proofing">#REF!</definedName>
    <definedName name="WALLAREA_FV2_P08__Damp_Proofing___Omission" localSheetId="2">#REF!</definedName>
    <definedName name="WALLAREA_FV2_P08__Damp_Proofing___Omission" localSheetId="1">#REF!</definedName>
    <definedName name="WALLAREA_FV2_P08__Damp_Proofing___Omission" localSheetId="0">#REF!</definedName>
    <definedName name="WALLAREA_FV2_P08__Damp_Proofing___Omission" localSheetId="4">#REF!</definedName>
    <definedName name="WALLAREA_FV2_P08__Damp_Proofing___Omission" localSheetId="3">#REF!</definedName>
    <definedName name="WALLAREA_FV2_P08__Damp_Proofing___Omission" localSheetId="5">#REF!</definedName>
    <definedName name="WALLAREA_FV2_P08__Damp_Proofing___Omission">#REF!</definedName>
    <definedName name="WALLAREA_FV2_P09__Damp_Proofing" localSheetId="2">#REF!</definedName>
    <definedName name="WALLAREA_FV2_P09__Damp_Proofing" localSheetId="1">#REF!</definedName>
    <definedName name="WALLAREA_FV2_P09__Damp_Proofing" localSheetId="0">#REF!</definedName>
    <definedName name="WALLAREA_FV2_P09__Damp_Proofing" localSheetId="4">#REF!</definedName>
    <definedName name="WALLAREA_FV2_P09__Damp_Proofing" localSheetId="3">#REF!</definedName>
    <definedName name="WALLAREA_FV2_P09__Damp_Proofing" localSheetId="5">#REF!</definedName>
    <definedName name="WALLAREA_FV2_P09__Damp_Proofing">#REF!</definedName>
    <definedName name="WALLAREA_FV2_P10__Damp_Proofing" localSheetId="2">#REF!</definedName>
    <definedName name="WALLAREA_FV2_P10__Damp_Proofing" localSheetId="1">#REF!</definedName>
    <definedName name="WALLAREA_FV2_P10__Damp_Proofing" localSheetId="0">#REF!</definedName>
    <definedName name="WALLAREA_FV2_P10__Damp_Proofing" localSheetId="4">#REF!</definedName>
    <definedName name="WALLAREA_FV2_P10__Damp_Proofing" localSheetId="3">#REF!</definedName>
    <definedName name="WALLAREA_FV2_P10__Damp_Proofing" localSheetId="5">#REF!</definedName>
    <definedName name="WALLAREA_FV2_P10__Damp_Proofing">#REF!</definedName>
    <definedName name="WALLAREA_FV3_GF__Damp_Proofing" localSheetId="2">#REF!</definedName>
    <definedName name="WALLAREA_FV3_GF__Damp_Proofing" localSheetId="1">#REF!</definedName>
    <definedName name="WALLAREA_FV3_GF__Damp_Proofing" localSheetId="0">#REF!</definedName>
    <definedName name="WALLAREA_FV3_GF__Damp_Proofing" localSheetId="4">#REF!</definedName>
    <definedName name="WALLAREA_FV3_GF__Damp_Proofing" localSheetId="3">#REF!</definedName>
    <definedName name="WALLAREA_FV3_GF__Damp_Proofing" localSheetId="5">#REF!</definedName>
    <definedName name="WALLAREA_FV3_GF__Damp_Proofing">#REF!</definedName>
    <definedName name="WALLAREA_FV3_Mez__Damp_Proofing" localSheetId="2">#REF!</definedName>
    <definedName name="WALLAREA_FV3_Mez__Damp_Proofing" localSheetId="1">#REF!</definedName>
    <definedName name="WALLAREA_FV3_Mez__Damp_Proofing" localSheetId="0">#REF!</definedName>
    <definedName name="WALLAREA_FV3_Mez__Damp_Proofing" localSheetId="4">#REF!</definedName>
    <definedName name="WALLAREA_FV3_Mez__Damp_Proofing" localSheetId="3">#REF!</definedName>
    <definedName name="WALLAREA_FV3_Mez__Damp_Proofing" localSheetId="5">#REF!</definedName>
    <definedName name="WALLAREA_FV3_Mez__Damp_Proofing">#REF!</definedName>
    <definedName name="WALLAREA_FV3_P02__Damp_Proofing" localSheetId="2">#REF!</definedName>
    <definedName name="WALLAREA_FV3_P02__Damp_Proofing" localSheetId="1">#REF!</definedName>
    <definedName name="WALLAREA_FV3_P02__Damp_Proofing" localSheetId="0">#REF!</definedName>
    <definedName name="WALLAREA_FV3_P02__Damp_Proofing" localSheetId="4">#REF!</definedName>
    <definedName name="WALLAREA_FV3_P02__Damp_Proofing" localSheetId="3">#REF!</definedName>
    <definedName name="WALLAREA_FV3_P02__Damp_Proofing" localSheetId="5">#REF!</definedName>
    <definedName name="WALLAREA_FV3_P02__Damp_Proofing">#REF!</definedName>
    <definedName name="WALLAREA_FV3_P02__Damp_Proofing___Omission" localSheetId="2">#REF!</definedName>
    <definedName name="WALLAREA_FV3_P02__Damp_Proofing___Omission" localSheetId="1">#REF!</definedName>
    <definedName name="WALLAREA_FV3_P02__Damp_Proofing___Omission" localSheetId="0">#REF!</definedName>
    <definedName name="WALLAREA_FV3_P02__Damp_Proofing___Omission" localSheetId="4">#REF!</definedName>
    <definedName name="WALLAREA_FV3_P02__Damp_Proofing___Omission" localSheetId="3">#REF!</definedName>
    <definedName name="WALLAREA_FV3_P02__Damp_Proofing___Omission" localSheetId="5">#REF!</definedName>
    <definedName name="WALLAREA_FV3_P02__Damp_Proofing___Omission">#REF!</definedName>
    <definedName name="WALLAREA_FV3_P03__Damp_Proofing___Omission" localSheetId="2">#REF!</definedName>
    <definedName name="WALLAREA_FV3_P03__Damp_Proofing___Omission" localSheetId="1">#REF!</definedName>
    <definedName name="WALLAREA_FV3_P03__Damp_Proofing___Omission" localSheetId="0">#REF!</definedName>
    <definedName name="WALLAREA_FV3_P03__Damp_Proofing___Omission" localSheetId="4">#REF!</definedName>
    <definedName name="WALLAREA_FV3_P03__Damp_Proofing___Omission" localSheetId="3">#REF!</definedName>
    <definedName name="WALLAREA_FV3_P03__Damp_Proofing___Omission" localSheetId="5">#REF!</definedName>
    <definedName name="WALLAREA_FV3_P03__Damp_Proofing___Omission">#REF!</definedName>
    <definedName name="WALLAREA_FV3_P04__Damp_Proofing___Omission" localSheetId="2">#REF!</definedName>
    <definedName name="WALLAREA_FV3_P04__Damp_Proofing___Omission" localSheetId="1">#REF!</definedName>
    <definedName name="WALLAREA_FV3_P04__Damp_Proofing___Omission" localSheetId="0">#REF!</definedName>
    <definedName name="WALLAREA_FV3_P04__Damp_Proofing___Omission" localSheetId="4">#REF!</definedName>
    <definedName name="WALLAREA_FV3_P04__Damp_Proofing___Omission" localSheetId="3">#REF!</definedName>
    <definedName name="WALLAREA_FV3_P04__Damp_Proofing___Omission" localSheetId="5">#REF!</definedName>
    <definedName name="WALLAREA_FV3_P04__Damp_Proofing___Omission">#REF!</definedName>
    <definedName name="WALLAREA_FV3_P05__Damp_Proofing___Omission" localSheetId="2">#REF!</definedName>
    <definedName name="WALLAREA_FV3_P05__Damp_Proofing___Omission" localSheetId="1">#REF!</definedName>
    <definedName name="WALLAREA_FV3_P05__Damp_Proofing___Omission" localSheetId="0">#REF!</definedName>
    <definedName name="WALLAREA_FV3_P05__Damp_Proofing___Omission" localSheetId="4">#REF!</definedName>
    <definedName name="WALLAREA_FV3_P05__Damp_Proofing___Omission" localSheetId="3">#REF!</definedName>
    <definedName name="WALLAREA_FV3_P05__Damp_Proofing___Omission" localSheetId="5">#REF!</definedName>
    <definedName name="WALLAREA_FV3_P05__Damp_Proofing___Omission">#REF!</definedName>
    <definedName name="WALLAREA_FV3_P06__Damp_Proofing___Omission" localSheetId="2">#REF!</definedName>
    <definedName name="WALLAREA_FV3_P06__Damp_Proofing___Omission" localSheetId="1">#REF!</definedName>
    <definedName name="WALLAREA_FV3_P06__Damp_Proofing___Omission" localSheetId="0">#REF!</definedName>
    <definedName name="WALLAREA_FV3_P06__Damp_Proofing___Omission" localSheetId="4">#REF!</definedName>
    <definedName name="WALLAREA_FV3_P06__Damp_Proofing___Omission" localSheetId="3">#REF!</definedName>
    <definedName name="WALLAREA_FV3_P06__Damp_Proofing___Omission" localSheetId="5">#REF!</definedName>
    <definedName name="WALLAREA_FV3_P06__Damp_Proofing___Omission">#REF!</definedName>
    <definedName name="WALLAREA_FV3_P07__Damp_Proofing___Omission" localSheetId="2">#REF!</definedName>
    <definedName name="WALLAREA_FV3_P07__Damp_Proofing___Omission" localSheetId="1">#REF!</definedName>
    <definedName name="WALLAREA_FV3_P07__Damp_Proofing___Omission" localSheetId="0">#REF!</definedName>
    <definedName name="WALLAREA_FV3_P07__Damp_Proofing___Omission" localSheetId="4">#REF!</definedName>
    <definedName name="WALLAREA_FV3_P07__Damp_Proofing___Omission" localSheetId="3">#REF!</definedName>
    <definedName name="WALLAREA_FV3_P07__Damp_Proofing___Omission" localSheetId="5">#REF!</definedName>
    <definedName name="WALLAREA_FV3_P07__Damp_Proofing___Omission">#REF!</definedName>
    <definedName name="WALLAREA_FV3_P08__Damp_Proofing___Omission" localSheetId="2">#REF!</definedName>
    <definedName name="WALLAREA_FV3_P08__Damp_Proofing___Omission" localSheetId="1">#REF!</definedName>
    <definedName name="WALLAREA_FV3_P08__Damp_Proofing___Omission" localSheetId="0">#REF!</definedName>
    <definedName name="WALLAREA_FV3_P08__Damp_Proofing___Omission" localSheetId="4">#REF!</definedName>
    <definedName name="WALLAREA_FV3_P08__Damp_Proofing___Omission" localSheetId="3">#REF!</definedName>
    <definedName name="WALLAREA_FV3_P08__Damp_Proofing___Omission" localSheetId="5">#REF!</definedName>
    <definedName name="WALLAREA_FV3_P08__Damp_Proofing___Omission">#REF!</definedName>
    <definedName name="WALLAREA_FV3_P09__Damp_Proofing" localSheetId="2">#REF!</definedName>
    <definedName name="WALLAREA_FV3_P09__Damp_Proofing" localSheetId="1">#REF!</definedName>
    <definedName name="WALLAREA_FV3_P09__Damp_Proofing" localSheetId="0">#REF!</definedName>
    <definedName name="WALLAREA_FV3_P09__Damp_Proofing" localSheetId="4">#REF!</definedName>
    <definedName name="WALLAREA_FV3_P09__Damp_Proofing" localSheetId="3">#REF!</definedName>
    <definedName name="WALLAREA_FV3_P09__Damp_Proofing" localSheetId="5">#REF!</definedName>
    <definedName name="WALLAREA_FV3_P09__Damp_Proofing">#REF!</definedName>
    <definedName name="WALLAREA_FV3_P09__Damp_Proofing___Omission" localSheetId="2">#REF!</definedName>
    <definedName name="WALLAREA_FV3_P09__Damp_Proofing___Omission" localSheetId="1">#REF!</definedName>
    <definedName name="WALLAREA_FV3_P09__Damp_Proofing___Omission" localSheetId="0">#REF!</definedName>
    <definedName name="WALLAREA_FV3_P09__Damp_Proofing___Omission" localSheetId="4">#REF!</definedName>
    <definedName name="WALLAREA_FV3_P09__Damp_Proofing___Omission" localSheetId="3">#REF!</definedName>
    <definedName name="WALLAREA_FV3_P09__Damp_Proofing___Omission" localSheetId="5">#REF!</definedName>
    <definedName name="WALLAREA_FV3_P09__Damp_Proofing___Omission">#REF!</definedName>
    <definedName name="WALLAREA_FV3_P10__Damp_Proofing" localSheetId="2">#REF!</definedName>
    <definedName name="WALLAREA_FV3_P10__Damp_Proofing" localSheetId="1">#REF!</definedName>
    <definedName name="WALLAREA_FV3_P10__Damp_Proofing" localSheetId="0">#REF!</definedName>
    <definedName name="WALLAREA_FV3_P10__Damp_Proofing" localSheetId="4">#REF!</definedName>
    <definedName name="WALLAREA_FV3_P10__Damp_Proofing" localSheetId="3">#REF!</definedName>
    <definedName name="WALLAREA_FV3_P10__Damp_Proofing" localSheetId="5">#REF!</definedName>
    <definedName name="WALLAREA_FV3_P10__Damp_Proofing">#REF!</definedName>
    <definedName name="WALLTITLE" localSheetId="2">#REF!,#REF!,#REF!,#REF!,#REF!,#REF!,#REF!,#REF!,#REF!,#REF!</definedName>
    <definedName name="WALLTITLE" localSheetId="1">#REF!,#REF!,#REF!,#REF!,#REF!,#REF!,#REF!,#REF!,#REF!,#REF!</definedName>
    <definedName name="WALLTITLE" localSheetId="0">#REF!,#REF!,#REF!,#REF!,#REF!,#REF!,#REF!,#REF!,#REF!,#REF!</definedName>
    <definedName name="WALLTITLE" localSheetId="4">#REF!,#REF!,#REF!,#REF!,#REF!,#REF!,#REF!,#REF!,#REF!,#REF!</definedName>
    <definedName name="WALLTITLE" localSheetId="3">#REF!,#REF!,#REF!,#REF!,#REF!,#REF!,#REF!,#REF!,#REF!,#REF!</definedName>
    <definedName name="WALLTITLE" localSheetId="5">#REF!,#REF!,#REF!,#REF!,#REF!,#REF!,#REF!,#REF!,#REF!,#REF!</definedName>
    <definedName name="WALLTITLE">#REF!,#REF!,#REF!,#REF!,#REF!,#REF!,#REF!,#REF!,#REF!,#REF!</definedName>
    <definedName name="WASTE_FACTOR" localSheetId="2">#REF!</definedName>
    <definedName name="WASTE_FACTOR" localSheetId="1">#REF!</definedName>
    <definedName name="WASTE_FACTOR" localSheetId="0">#REF!</definedName>
    <definedName name="WASTE_FACTOR" localSheetId="4">#REF!</definedName>
    <definedName name="WASTE_FACTOR" localSheetId="3">#REF!</definedName>
    <definedName name="WASTE_FACTOR" localSheetId="5">#REF!</definedName>
    <definedName name="WASTE_FACTOR">#REF!</definedName>
    <definedName name="WATER_ANAL_SYS" localSheetId="2">#REF!</definedName>
    <definedName name="WATER_ANAL_SYS" localSheetId="1">#REF!</definedName>
    <definedName name="WATER_ANAL_SYS" localSheetId="0">#REF!</definedName>
    <definedName name="WATER_ANAL_SYS" localSheetId="4">#REF!</definedName>
    <definedName name="WATER_ANAL_SYS" localSheetId="3">#REF!</definedName>
    <definedName name="WATER_ANAL_SYS" localSheetId="5">#REF!</definedName>
    <definedName name="WATER_ANAL_SYS">#REF!</definedName>
    <definedName name="Water_filter" localSheetId="4">#REF!</definedName>
    <definedName name="Water_filter" localSheetId="3">#REF!</definedName>
    <definedName name="Water_filter" localSheetId="5">#REF!</definedName>
    <definedName name="Water_filter">#REF!</definedName>
    <definedName name="Water_heater" localSheetId="4">#REF!</definedName>
    <definedName name="Water_heater" localSheetId="3">#REF!</definedName>
    <definedName name="Water_heater" localSheetId="5">#REF!</definedName>
    <definedName name="Water_heater">#REF!</definedName>
    <definedName name="Water_meter" localSheetId="4">#REF!</definedName>
    <definedName name="Water_meter" localSheetId="3">#REF!</definedName>
    <definedName name="Water_meter" localSheetId="5">#REF!</definedName>
    <definedName name="Water_meter">#REF!</definedName>
    <definedName name="water_system_fixtures" localSheetId="4">#REF!</definedName>
    <definedName name="water_system_fixtures" localSheetId="3">#REF!</definedName>
    <definedName name="water_system_fixtures" localSheetId="5">#REF!</definedName>
    <definedName name="water_system_fixtures">#REF!</definedName>
    <definedName name="WCAP" localSheetId="4">#REF!</definedName>
    <definedName name="WCAP" localSheetId="3">#REF!</definedName>
    <definedName name="WCAP" localSheetId="5">#REF!</definedName>
    <definedName name="WCAP">#REF!</definedName>
    <definedName name="wdeq" localSheetId="2">#REF!</definedName>
    <definedName name="wdeq" localSheetId="1">#REF!</definedName>
    <definedName name="wdeq" localSheetId="0">#REF!</definedName>
    <definedName name="wdeq" localSheetId="4">#REF!</definedName>
    <definedName name="wdeq" localSheetId="3">#REF!</definedName>
    <definedName name="wdeq" localSheetId="5">#REF!</definedName>
    <definedName name="wdeq">#REF!</definedName>
    <definedName name="week" localSheetId="4">#REF!</definedName>
    <definedName name="week" localSheetId="3">#REF!</definedName>
    <definedName name="week" localSheetId="5">#REF!</definedName>
    <definedName name="week">#REF!</definedName>
    <definedName name="week1" localSheetId="4">#REF!</definedName>
    <definedName name="week1" localSheetId="3">#REF!</definedName>
    <definedName name="week1" localSheetId="5">#REF!</definedName>
    <definedName name="week1">#REF!</definedName>
    <definedName name="WEIGHT" localSheetId="2">#REF!</definedName>
    <definedName name="WEIGHT" localSheetId="1">#REF!</definedName>
    <definedName name="WEIGHT" localSheetId="0">#REF!</definedName>
    <definedName name="WEIGHT" localSheetId="4">#REF!</definedName>
    <definedName name="WEIGHT" localSheetId="3">#REF!</definedName>
    <definedName name="WEIGHT" localSheetId="5">#REF!</definedName>
    <definedName name="WEIGHT">#REF!</definedName>
    <definedName name="WEIGHT_FV1_GF__Damp_Proofing" localSheetId="2">#REF!</definedName>
    <definedName name="WEIGHT_FV1_GF__Damp_Proofing" localSheetId="1">#REF!</definedName>
    <definedName name="WEIGHT_FV1_GF__Damp_Proofing" localSheetId="0">#REF!</definedName>
    <definedName name="WEIGHT_FV1_GF__Damp_Proofing" localSheetId="4">#REF!</definedName>
    <definedName name="WEIGHT_FV1_GF__Damp_Proofing" localSheetId="3">#REF!</definedName>
    <definedName name="WEIGHT_FV1_GF__Damp_Proofing" localSheetId="5">#REF!</definedName>
    <definedName name="WEIGHT_FV1_GF__Damp_Proofing">#REF!</definedName>
    <definedName name="WEIGHT_FV1_Mez__Damp_Proofing" localSheetId="2">#REF!</definedName>
    <definedName name="WEIGHT_FV1_Mez__Damp_Proofing" localSheetId="1">#REF!</definedName>
    <definedName name="WEIGHT_FV1_Mez__Damp_Proofing" localSheetId="0">#REF!</definedName>
    <definedName name="WEIGHT_FV1_Mez__Damp_Proofing" localSheetId="4">#REF!</definedName>
    <definedName name="WEIGHT_FV1_Mez__Damp_Proofing" localSheetId="3">#REF!</definedName>
    <definedName name="WEIGHT_FV1_Mez__Damp_Proofing" localSheetId="5">#REF!</definedName>
    <definedName name="WEIGHT_FV1_Mez__Damp_Proofing">#REF!</definedName>
    <definedName name="WEIGHT_FV1_P01__Damp_Proofing" localSheetId="2">#REF!</definedName>
    <definedName name="WEIGHT_FV1_P01__Damp_Proofing" localSheetId="1">#REF!</definedName>
    <definedName name="WEIGHT_FV1_P01__Damp_Proofing" localSheetId="0">#REF!</definedName>
    <definedName name="WEIGHT_FV1_P01__Damp_Proofing" localSheetId="4">#REF!</definedName>
    <definedName name="WEIGHT_FV1_P01__Damp_Proofing" localSheetId="3">#REF!</definedName>
    <definedName name="WEIGHT_FV1_P01__Damp_Proofing" localSheetId="5">#REF!</definedName>
    <definedName name="WEIGHT_FV1_P01__Damp_Proofing">#REF!</definedName>
    <definedName name="WEIGHT_FV1_P02__Damp_Proofing___Omission" localSheetId="2">#REF!</definedName>
    <definedName name="WEIGHT_FV1_P02__Damp_Proofing___Omission" localSheetId="1">#REF!</definedName>
    <definedName name="WEIGHT_FV1_P02__Damp_Proofing___Omission" localSheetId="0">#REF!</definedName>
    <definedName name="WEIGHT_FV1_P02__Damp_Proofing___Omission" localSheetId="4">#REF!</definedName>
    <definedName name="WEIGHT_FV1_P02__Damp_Proofing___Omission" localSheetId="3">#REF!</definedName>
    <definedName name="WEIGHT_FV1_P02__Damp_Proofing___Omission" localSheetId="5">#REF!</definedName>
    <definedName name="WEIGHT_FV1_P02__Damp_Proofing___Omission">#REF!</definedName>
    <definedName name="WEIGHT_FV1_P03__Damp_Proofing___Omission" localSheetId="2">#REF!</definedName>
    <definedName name="WEIGHT_FV1_P03__Damp_Proofing___Omission" localSheetId="1">#REF!</definedName>
    <definedName name="WEIGHT_FV1_P03__Damp_Proofing___Omission" localSheetId="0">#REF!</definedName>
    <definedName name="WEIGHT_FV1_P03__Damp_Proofing___Omission" localSheetId="4">#REF!</definedName>
    <definedName name="WEIGHT_FV1_P03__Damp_Proofing___Omission" localSheetId="3">#REF!</definedName>
    <definedName name="WEIGHT_FV1_P03__Damp_Proofing___Omission" localSheetId="5">#REF!</definedName>
    <definedName name="WEIGHT_FV1_P03__Damp_Proofing___Omission">#REF!</definedName>
    <definedName name="WEIGHT_FV1_P04__Damp_Proofing___Omission" localSheetId="2">#REF!</definedName>
    <definedName name="WEIGHT_FV1_P04__Damp_Proofing___Omission" localSheetId="1">#REF!</definedName>
    <definedName name="WEIGHT_FV1_P04__Damp_Proofing___Omission" localSheetId="0">#REF!</definedName>
    <definedName name="WEIGHT_FV1_P04__Damp_Proofing___Omission" localSheetId="4">#REF!</definedName>
    <definedName name="WEIGHT_FV1_P04__Damp_Proofing___Omission" localSheetId="3">#REF!</definedName>
    <definedName name="WEIGHT_FV1_P04__Damp_Proofing___Omission" localSheetId="5">#REF!</definedName>
    <definedName name="WEIGHT_FV1_P04__Damp_Proofing___Omission">#REF!</definedName>
    <definedName name="WEIGHT_FV1_P05__Damp_Proofing___Omission" localSheetId="2">#REF!</definedName>
    <definedName name="WEIGHT_FV1_P05__Damp_Proofing___Omission" localSheetId="1">#REF!</definedName>
    <definedName name="WEIGHT_FV1_P05__Damp_Proofing___Omission" localSheetId="0">#REF!</definedName>
    <definedName name="WEIGHT_FV1_P05__Damp_Proofing___Omission" localSheetId="4">#REF!</definedName>
    <definedName name="WEIGHT_FV1_P05__Damp_Proofing___Omission" localSheetId="3">#REF!</definedName>
    <definedName name="WEIGHT_FV1_P05__Damp_Proofing___Omission" localSheetId="5">#REF!</definedName>
    <definedName name="WEIGHT_FV1_P05__Damp_Proofing___Omission">#REF!</definedName>
    <definedName name="WEIGHT_FV1_P10__Damp_Proofing" localSheetId="2">#REF!</definedName>
    <definedName name="WEIGHT_FV1_P10__Damp_Proofing" localSheetId="1">#REF!</definedName>
    <definedName name="WEIGHT_FV1_P10__Damp_Proofing" localSheetId="0">#REF!</definedName>
    <definedName name="WEIGHT_FV1_P10__Damp_Proofing" localSheetId="4">#REF!</definedName>
    <definedName name="WEIGHT_FV1_P10__Damp_Proofing" localSheetId="3">#REF!</definedName>
    <definedName name="WEIGHT_FV1_P10__Damp_Proofing" localSheetId="5">#REF!</definedName>
    <definedName name="WEIGHT_FV1_P10__Damp_Proofing">#REF!</definedName>
    <definedName name="WEIGHT_FV2_GF__Damp_Proofing" localSheetId="2">#REF!</definedName>
    <definedName name="WEIGHT_FV2_GF__Damp_Proofing" localSheetId="1">#REF!</definedName>
    <definedName name="WEIGHT_FV2_GF__Damp_Proofing" localSheetId="0">#REF!</definedName>
    <definedName name="WEIGHT_FV2_GF__Damp_Proofing" localSheetId="4">#REF!</definedName>
    <definedName name="WEIGHT_FV2_GF__Damp_Proofing" localSheetId="3">#REF!</definedName>
    <definedName name="WEIGHT_FV2_GF__Damp_Proofing" localSheetId="5">#REF!</definedName>
    <definedName name="WEIGHT_FV2_GF__Damp_Proofing">#REF!</definedName>
    <definedName name="WEIGHT_FV2_Mez__Damp_Proofing" localSheetId="2">#REF!</definedName>
    <definedName name="WEIGHT_FV2_Mez__Damp_Proofing" localSheetId="1">#REF!</definedName>
    <definedName name="WEIGHT_FV2_Mez__Damp_Proofing" localSheetId="0">#REF!</definedName>
    <definedName name="WEIGHT_FV2_Mez__Damp_Proofing" localSheetId="4">#REF!</definedName>
    <definedName name="WEIGHT_FV2_Mez__Damp_Proofing" localSheetId="3">#REF!</definedName>
    <definedName name="WEIGHT_FV2_Mez__Damp_Proofing" localSheetId="5">#REF!</definedName>
    <definedName name="WEIGHT_FV2_Mez__Damp_Proofing">#REF!</definedName>
    <definedName name="WEIGHT_FV2_P01__Damp_Proofing" localSheetId="2">#REF!</definedName>
    <definedName name="WEIGHT_FV2_P01__Damp_Proofing" localSheetId="1">#REF!</definedName>
    <definedName name="WEIGHT_FV2_P01__Damp_Proofing" localSheetId="0">#REF!</definedName>
    <definedName name="WEIGHT_FV2_P01__Damp_Proofing" localSheetId="4">#REF!</definedName>
    <definedName name="WEIGHT_FV2_P01__Damp_Proofing" localSheetId="3">#REF!</definedName>
    <definedName name="WEIGHT_FV2_P01__Damp_Proofing" localSheetId="5">#REF!</definedName>
    <definedName name="WEIGHT_FV2_P01__Damp_Proofing">#REF!</definedName>
    <definedName name="WEIGHT_FV2_P02__Damp_Proofing" localSheetId="2">#REF!</definedName>
    <definedName name="WEIGHT_FV2_P02__Damp_Proofing" localSheetId="1">#REF!</definedName>
    <definedName name="WEIGHT_FV2_P02__Damp_Proofing" localSheetId="0">#REF!</definedName>
    <definedName name="WEIGHT_FV2_P02__Damp_Proofing" localSheetId="4">#REF!</definedName>
    <definedName name="WEIGHT_FV2_P02__Damp_Proofing" localSheetId="3">#REF!</definedName>
    <definedName name="WEIGHT_FV2_P02__Damp_Proofing" localSheetId="5">#REF!</definedName>
    <definedName name="WEIGHT_FV2_P02__Damp_Proofing">#REF!</definedName>
    <definedName name="WEIGHT_FV2_P02__Damp_Proofing___Omission" localSheetId="2">#REF!</definedName>
    <definedName name="WEIGHT_FV2_P02__Damp_Proofing___Omission" localSheetId="1">#REF!</definedName>
    <definedName name="WEIGHT_FV2_P02__Damp_Proofing___Omission" localSheetId="0">#REF!</definedName>
    <definedName name="WEIGHT_FV2_P02__Damp_Proofing___Omission" localSheetId="4">#REF!</definedName>
    <definedName name="WEIGHT_FV2_P02__Damp_Proofing___Omission" localSheetId="3">#REF!</definedName>
    <definedName name="WEIGHT_FV2_P02__Damp_Proofing___Omission" localSheetId="5">#REF!</definedName>
    <definedName name="WEIGHT_FV2_P02__Damp_Proofing___Omission">#REF!</definedName>
    <definedName name="WEIGHT_FV2_P03__Damp_Proofing" localSheetId="2">#REF!</definedName>
    <definedName name="WEIGHT_FV2_P03__Damp_Proofing" localSheetId="1">#REF!</definedName>
    <definedName name="WEIGHT_FV2_P03__Damp_Proofing" localSheetId="0">#REF!</definedName>
    <definedName name="WEIGHT_FV2_P03__Damp_Proofing" localSheetId="4">#REF!</definedName>
    <definedName name="WEIGHT_FV2_P03__Damp_Proofing" localSheetId="3">#REF!</definedName>
    <definedName name="WEIGHT_FV2_P03__Damp_Proofing" localSheetId="5">#REF!</definedName>
    <definedName name="WEIGHT_FV2_P03__Damp_Proofing">#REF!</definedName>
    <definedName name="WEIGHT_FV2_P03__Damp_Proofing___Omission" localSheetId="2">#REF!</definedName>
    <definedName name="WEIGHT_FV2_P03__Damp_Proofing___Omission" localSheetId="1">#REF!</definedName>
    <definedName name="WEIGHT_FV2_P03__Damp_Proofing___Omission" localSheetId="0">#REF!</definedName>
    <definedName name="WEIGHT_FV2_P03__Damp_Proofing___Omission" localSheetId="4">#REF!</definedName>
    <definedName name="WEIGHT_FV2_P03__Damp_Proofing___Omission" localSheetId="3">#REF!</definedName>
    <definedName name="WEIGHT_FV2_P03__Damp_Proofing___Omission" localSheetId="5">#REF!</definedName>
    <definedName name="WEIGHT_FV2_P03__Damp_Proofing___Omission">#REF!</definedName>
    <definedName name="WEIGHT_FV2_P04__Damp_Proofing" localSheetId="2">#REF!</definedName>
    <definedName name="WEIGHT_FV2_P04__Damp_Proofing" localSheetId="1">#REF!</definedName>
    <definedName name="WEIGHT_FV2_P04__Damp_Proofing" localSheetId="0">#REF!</definedName>
    <definedName name="WEIGHT_FV2_P04__Damp_Proofing" localSheetId="4">#REF!</definedName>
    <definedName name="WEIGHT_FV2_P04__Damp_Proofing" localSheetId="3">#REF!</definedName>
    <definedName name="WEIGHT_FV2_P04__Damp_Proofing" localSheetId="5">#REF!</definedName>
    <definedName name="WEIGHT_FV2_P04__Damp_Proofing">#REF!</definedName>
    <definedName name="WEIGHT_FV2_P04__Damp_Proofing___Omission" localSheetId="2">#REF!</definedName>
    <definedName name="WEIGHT_FV2_P04__Damp_Proofing___Omission" localSheetId="1">#REF!</definedName>
    <definedName name="WEIGHT_FV2_P04__Damp_Proofing___Omission" localSheetId="0">#REF!</definedName>
    <definedName name="WEIGHT_FV2_P04__Damp_Proofing___Omission" localSheetId="4">#REF!</definedName>
    <definedName name="WEIGHT_FV2_P04__Damp_Proofing___Omission" localSheetId="3">#REF!</definedName>
    <definedName name="WEIGHT_FV2_P04__Damp_Proofing___Omission" localSheetId="5">#REF!</definedName>
    <definedName name="WEIGHT_FV2_P04__Damp_Proofing___Omission">#REF!</definedName>
    <definedName name="WEIGHT_FV2_P05__Damp_Proofing" localSheetId="2">#REF!</definedName>
    <definedName name="WEIGHT_FV2_P05__Damp_Proofing" localSheetId="1">#REF!</definedName>
    <definedName name="WEIGHT_FV2_P05__Damp_Proofing" localSheetId="0">#REF!</definedName>
    <definedName name="WEIGHT_FV2_P05__Damp_Proofing" localSheetId="4">#REF!</definedName>
    <definedName name="WEIGHT_FV2_P05__Damp_Proofing" localSheetId="3">#REF!</definedName>
    <definedName name="WEIGHT_FV2_P05__Damp_Proofing" localSheetId="5">#REF!</definedName>
    <definedName name="WEIGHT_FV2_P05__Damp_Proofing">#REF!</definedName>
    <definedName name="WEIGHT_FV2_P05__Damp_Proofing___Omission" localSheetId="2">#REF!</definedName>
    <definedName name="WEIGHT_FV2_P05__Damp_Proofing___Omission" localSheetId="1">#REF!</definedName>
    <definedName name="WEIGHT_FV2_P05__Damp_Proofing___Omission" localSheetId="0">#REF!</definedName>
    <definedName name="WEIGHT_FV2_P05__Damp_Proofing___Omission" localSheetId="4">#REF!</definedName>
    <definedName name="WEIGHT_FV2_P05__Damp_Proofing___Omission" localSheetId="3">#REF!</definedName>
    <definedName name="WEIGHT_FV2_P05__Damp_Proofing___Omission" localSheetId="5">#REF!</definedName>
    <definedName name="WEIGHT_FV2_P05__Damp_Proofing___Omission">#REF!</definedName>
    <definedName name="WEIGHT_FV2_P06__Damp_Proofing" localSheetId="2">#REF!</definedName>
    <definedName name="WEIGHT_FV2_P06__Damp_Proofing" localSheetId="1">#REF!</definedName>
    <definedName name="WEIGHT_FV2_P06__Damp_Proofing" localSheetId="0">#REF!</definedName>
    <definedName name="WEIGHT_FV2_P06__Damp_Proofing" localSheetId="4">#REF!</definedName>
    <definedName name="WEIGHT_FV2_P06__Damp_Proofing" localSheetId="3">#REF!</definedName>
    <definedName name="WEIGHT_FV2_P06__Damp_Proofing" localSheetId="5">#REF!</definedName>
    <definedName name="WEIGHT_FV2_P06__Damp_Proofing">#REF!</definedName>
    <definedName name="WEIGHT_FV2_P06__Damp_Proofing___Omission" localSheetId="2">#REF!</definedName>
    <definedName name="WEIGHT_FV2_P06__Damp_Proofing___Omission" localSheetId="1">#REF!</definedName>
    <definedName name="WEIGHT_FV2_P06__Damp_Proofing___Omission" localSheetId="0">#REF!</definedName>
    <definedName name="WEIGHT_FV2_P06__Damp_Proofing___Omission" localSheetId="4">#REF!</definedName>
    <definedName name="WEIGHT_FV2_P06__Damp_Proofing___Omission" localSheetId="3">#REF!</definedName>
    <definedName name="WEIGHT_FV2_P06__Damp_Proofing___Omission" localSheetId="5">#REF!</definedName>
    <definedName name="WEIGHT_FV2_P06__Damp_Proofing___Omission">#REF!</definedName>
    <definedName name="WEIGHT_FV2_P07__Damp_Proofing" localSheetId="2">#REF!</definedName>
    <definedName name="WEIGHT_FV2_P07__Damp_Proofing" localSheetId="1">#REF!</definedName>
    <definedName name="WEIGHT_FV2_P07__Damp_Proofing" localSheetId="0">#REF!</definedName>
    <definedName name="WEIGHT_FV2_P07__Damp_Proofing" localSheetId="4">#REF!</definedName>
    <definedName name="WEIGHT_FV2_P07__Damp_Proofing" localSheetId="3">#REF!</definedName>
    <definedName name="WEIGHT_FV2_P07__Damp_Proofing" localSheetId="5">#REF!</definedName>
    <definedName name="WEIGHT_FV2_P07__Damp_Proofing">#REF!</definedName>
    <definedName name="WEIGHT_FV2_P07__Damp_Proofing___Omission" localSheetId="2">#REF!</definedName>
    <definedName name="WEIGHT_FV2_P07__Damp_Proofing___Omission" localSheetId="1">#REF!</definedName>
    <definedName name="WEIGHT_FV2_P07__Damp_Proofing___Omission" localSheetId="0">#REF!</definedName>
    <definedName name="WEIGHT_FV2_P07__Damp_Proofing___Omission" localSheetId="4">#REF!</definedName>
    <definedName name="WEIGHT_FV2_P07__Damp_Proofing___Omission" localSheetId="3">#REF!</definedName>
    <definedName name="WEIGHT_FV2_P07__Damp_Proofing___Omission" localSheetId="5">#REF!</definedName>
    <definedName name="WEIGHT_FV2_P07__Damp_Proofing___Omission">#REF!</definedName>
    <definedName name="WEIGHT_FV2_P08__Damp_Proofing" localSheetId="2">#REF!</definedName>
    <definedName name="WEIGHT_FV2_P08__Damp_Proofing" localSheetId="1">#REF!</definedName>
    <definedName name="WEIGHT_FV2_P08__Damp_Proofing" localSheetId="0">#REF!</definedName>
    <definedName name="WEIGHT_FV2_P08__Damp_Proofing" localSheetId="4">#REF!</definedName>
    <definedName name="WEIGHT_FV2_P08__Damp_Proofing" localSheetId="3">#REF!</definedName>
    <definedName name="WEIGHT_FV2_P08__Damp_Proofing" localSheetId="5">#REF!</definedName>
    <definedName name="WEIGHT_FV2_P08__Damp_Proofing">#REF!</definedName>
    <definedName name="WEIGHT_FV2_P08__Damp_Proofing___Omission" localSheetId="2">#REF!</definedName>
    <definedName name="WEIGHT_FV2_P08__Damp_Proofing___Omission" localSheetId="1">#REF!</definedName>
    <definedName name="WEIGHT_FV2_P08__Damp_Proofing___Omission" localSheetId="0">#REF!</definedName>
    <definedName name="WEIGHT_FV2_P08__Damp_Proofing___Omission" localSheetId="4">#REF!</definedName>
    <definedName name="WEIGHT_FV2_P08__Damp_Proofing___Omission" localSheetId="3">#REF!</definedName>
    <definedName name="WEIGHT_FV2_P08__Damp_Proofing___Omission" localSheetId="5">#REF!</definedName>
    <definedName name="WEIGHT_FV2_P08__Damp_Proofing___Omission">#REF!</definedName>
    <definedName name="WEIGHT_FV2_P09__Damp_Proofing" localSheetId="2">#REF!</definedName>
    <definedName name="WEIGHT_FV2_P09__Damp_Proofing" localSheetId="1">#REF!</definedName>
    <definedName name="WEIGHT_FV2_P09__Damp_Proofing" localSheetId="0">#REF!</definedName>
    <definedName name="WEIGHT_FV2_P09__Damp_Proofing" localSheetId="4">#REF!</definedName>
    <definedName name="WEIGHT_FV2_P09__Damp_Proofing" localSheetId="3">#REF!</definedName>
    <definedName name="WEIGHT_FV2_P09__Damp_Proofing" localSheetId="5">#REF!</definedName>
    <definedName name="WEIGHT_FV2_P09__Damp_Proofing">#REF!</definedName>
    <definedName name="WEIGHT_FV2_P10__Damp_Proofing" localSheetId="2">#REF!</definedName>
    <definedName name="WEIGHT_FV2_P10__Damp_Proofing" localSheetId="1">#REF!</definedName>
    <definedName name="WEIGHT_FV2_P10__Damp_Proofing" localSheetId="0">#REF!</definedName>
    <definedName name="WEIGHT_FV2_P10__Damp_Proofing" localSheetId="4">#REF!</definedName>
    <definedName name="WEIGHT_FV2_P10__Damp_Proofing" localSheetId="3">#REF!</definedName>
    <definedName name="WEIGHT_FV2_P10__Damp_Proofing" localSheetId="5">#REF!</definedName>
    <definedName name="WEIGHT_FV2_P10__Damp_Proofing">#REF!</definedName>
    <definedName name="WEIGHT_FV3_GF__Damp_Proofing" localSheetId="2">#REF!</definedName>
    <definedName name="WEIGHT_FV3_GF__Damp_Proofing" localSheetId="1">#REF!</definedName>
    <definedName name="WEIGHT_FV3_GF__Damp_Proofing" localSheetId="0">#REF!</definedName>
    <definedName name="WEIGHT_FV3_GF__Damp_Proofing" localSheetId="4">#REF!</definedName>
    <definedName name="WEIGHT_FV3_GF__Damp_Proofing" localSheetId="3">#REF!</definedName>
    <definedName name="WEIGHT_FV3_GF__Damp_Proofing" localSheetId="5">#REF!</definedName>
    <definedName name="WEIGHT_FV3_GF__Damp_Proofing">#REF!</definedName>
    <definedName name="WEIGHT_FV3_Mez__Damp_Proofing" localSheetId="2">#REF!</definedName>
    <definedName name="WEIGHT_FV3_Mez__Damp_Proofing" localSheetId="1">#REF!</definedName>
    <definedName name="WEIGHT_FV3_Mez__Damp_Proofing" localSheetId="0">#REF!</definedName>
    <definedName name="WEIGHT_FV3_Mez__Damp_Proofing" localSheetId="4">#REF!</definedName>
    <definedName name="WEIGHT_FV3_Mez__Damp_Proofing" localSheetId="3">#REF!</definedName>
    <definedName name="WEIGHT_FV3_Mez__Damp_Proofing" localSheetId="5">#REF!</definedName>
    <definedName name="WEIGHT_FV3_Mez__Damp_Proofing">#REF!</definedName>
    <definedName name="WEIGHT_FV3_P02__Damp_Proofing" localSheetId="2">#REF!</definedName>
    <definedName name="WEIGHT_FV3_P02__Damp_Proofing" localSheetId="1">#REF!</definedName>
    <definedName name="WEIGHT_FV3_P02__Damp_Proofing" localSheetId="0">#REF!</definedName>
    <definedName name="WEIGHT_FV3_P02__Damp_Proofing" localSheetId="4">#REF!</definedName>
    <definedName name="WEIGHT_FV3_P02__Damp_Proofing" localSheetId="3">#REF!</definedName>
    <definedName name="WEIGHT_FV3_P02__Damp_Proofing" localSheetId="5">#REF!</definedName>
    <definedName name="WEIGHT_FV3_P02__Damp_Proofing">#REF!</definedName>
    <definedName name="WEIGHT_FV3_P02__Damp_Proofing___Omission" localSheetId="2">#REF!</definedName>
    <definedName name="WEIGHT_FV3_P02__Damp_Proofing___Omission" localSheetId="1">#REF!</definedName>
    <definedName name="WEIGHT_FV3_P02__Damp_Proofing___Omission" localSheetId="0">#REF!</definedName>
    <definedName name="WEIGHT_FV3_P02__Damp_Proofing___Omission" localSheetId="4">#REF!</definedName>
    <definedName name="WEIGHT_FV3_P02__Damp_Proofing___Omission" localSheetId="3">#REF!</definedName>
    <definedName name="WEIGHT_FV3_P02__Damp_Proofing___Omission" localSheetId="5">#REF!</definedName>
    <definedName name="WEIGHT_FV3_P02__Damp_Proofing___Omission">#REF!</definedName>
    <definedName name="WEIGHT_FV3_P03__Damp_Proofing___Omission" localSheetId="2">#REF!</definedName>
    <definedName name="WEIGHT_FV3_P03__Damp_Proofing___Omission" localSheetId="1">#REF!</definedName>
    <definedName name="WEIGHT_FV3_P03__Damp_Proofing___Omission" localSheetId="0">#REF!</definedName>
    <definedName name="WEIGHT_FV3_P03__Damp_Proofing___Omission" localSheetId="4">#REF!</definedName>
    <definedName name="WEIGHT_FV3_P03__Damp_Proofing___Omission" localSheetId="3">#REF!</definedName>
    <definedName name="WEIGHT_FV3_P03__Damp_Proofing___Omission" localSheetId="5">#REF!</definedName>
    <definedName name="WEIGHT_FV3_P03__Damp_Proofing___Omission">#REF!</definedName>
    <definedName name="WEIGHT_FV3_P04__Damp_Proofing___Omission" localSheetId="2">#REF!</definedName>
    <definedName name="WEIGHT_FV3_P04__Damp_Proofing___Omission" localSheetId="1">#REF!</definedName>
    <definedName name="WEIGHT_FV3_P04__Damp_Proofing___Omission" localSheetId="0">#REF!</definedName>
    <definedName name="WEIGHT_FV3_P04__Damp_Proofing___Omission" localSheetId="4">#REF!</definedName>
    <definedName name="WEIGHT_FV3_P04__Damp_Proofing___Omission" localSheetId="3">#REF!</definedName>
    <definedName name="WEIGHT_FV3_P04__Damp_Proofing___Omission" localSheetId="5">#REF!</definedName>
    <definedName name="WEIGHT_FV3_P04__Damp_Proofing___Omission">#REF!</definedName>
    <definedName name="WEIGHT_FV3_P05__Damp_Proofing___Omission" localSheetId="2">#REF!</definedName>
    <definedName name="WEIGHT_FV3_P05__Damp_Proofing___Omission" localSheetId="1">#REF!</definedName>
    <definedName name="WEIGHT_FV3_P05__Damp_Proofing___Omission" localSheetId="0">#REF!</definedName>
    <definedName name="WEIGHT_FV3_P05__Damp_Proofing___Omission" localSheetId="4">#REF!</definedName>
    <definedName name="WEIGHT_FV3_P05__Damp_Proofing___Omission" localSheetId="3">#REF!</definedName>
    <definedName name="WEIGHT_FV3_P05__Damp_Proofing___Omission" localSheetId="5">#REF!</definedName>
    <definedName name="WEIGHT_FV3_P05__Damp_Proofing___Omission">#REF!</definedName>
    <definedName name="WEIGHT_FV3_P06__Damp_Proofing___Omission" localSheetId="2">#REF!</definedName>
    <definedName name="WEIGHT_FV3_P06__Damp_Proofing___Omission" localSheetId="1">#REF!</definedName>
    <definedName name="WEIGHT_FV3_P06__Damp_Proofing___Omission" localSheetId="0">#REF!</definedName>
    <definedName name="WEIGHT_FV3_P06__Damp_Proofing___Omission" localSheetId="4">#REF!</definedName>
    <definedName name="WEIGHT_FV3_P06__Damp_Proofing___Omission" localSheetId="3">#REF!</definedName>
    <definedName name="WEIGHT_FV3_P06__Damp_Proofing___Omission" localSheetId="5">#REF!</definedName>
    <definedName name="WEIGHT_FV3_P06__Damp_Proofing___Omission">#REF!</definedName>
    <definedName name="WEIGHT_FV3_P07__Damp_Proofing___Omission" localSheetId="2">#REF!</definedName>
    <definedName name="WEIGHT_FV3_P07__Damp_Proofing___Omission" localSheetId="1">#REF!</definedName>
    <definedName name="WEIGHT_FV3_P07__Damp_Proofing___Omission" localSheetId="0">#REF!</definedName>
    <definedName name="WEIGHT_FV3_P07__Damp_Proofing___Omission" localSheetId="4">#REF!</definedName>
    <definedName name="WEIGHT_FV3_P07__Damp_Proofing___Omission" localSheetId="3">#REF!</definedName>
    <definedName name="WEIGHT_FV3_P07__Damp_Proofing___Omission" localSheetId="5">#REF!</definedName>
    <definedName name="WEIGHT_FV3_P07__Damp_Proofing___Omission">#REF!</definedName>
    <definedName name="WEIGHT_FV3_P08__Damp_Proofing___Omission" localSheetId="2">#REF!</definedName>
    <definedName name="WEIGHT_FV3_P08__Damp_Proofing___Omission" localSheetId="1">#REF!</definedName>
    <definedName name="WEIGHT_FV3_P08__Damp_Proofing___Omission" localSheetId="0">#REF!</definedName>
    <definedName name="WEIGHT_FV3_P08__Damp_Proofing___Omission" localSheetId="4">#REF!</definedName>
    <definedName name="WEIGHT_FV3_P08__Damp_Proofing___Omission" localSheetId="3">#REF!</definedName>
    <definedName name="WEIGHT_FV3_P08__Damp_Proofing___Omission" localSheetId="5">#REF!</definedName>
    <definedName name="WEIGHT_FV3_P08__Damp_Proofing___Omission">#REF!</definedName>
    <definedName name="WEIGHT_FV3_P09__Damp_Proofing" localSheetId="2">#REF!</definedName>
    <definedName name="WEIGHT_FV3_P09__Damp_Proofing" localSheetId="1">#REF!</definedName>
    <definedName name="WEIGHT_FV3_P09__Damp_Proofing" localSheetId="0">#REF!</definedName>
    <definedName name="WEIGHT_FV3_P09__Damp_Proofing" localSheetId="4">#REF!</definedName>
    <definedName name="WEIGHT_FV3_P09__Damp_Proofing" localSheetId="3">#REF!</definedName>
    <definedName name="WEIGHT_FV3_P09__Damp_Proofing" localSheetId="5">#REF!</definedName>
    <definedName name="WEIGHT_FV3_P09__Damp_Proofing">#REF!</definedName>
    <definedName name="WEIGHT_FV3_P09__Damp_Proofing___Omission" localSheetId="2">#REF!</definedName>
    <definedName name="WEIGHT_FV3_P09__Damp_Proofing___Omission" localSheetId="1">#REF!</definedName>
    <definedName name="WEIGHT_FV3_P09__Damp_Proofing___Omission" localSheetId="0">#REF!</definedName>
    <definedName name="WEIGHT_FV3_P09__Damp_Proofing___Omission" localSheetId="4">#REF!</definedName>
    <definedName name="WEIGHT_FV3_P09__Damp_Proofing___Omission" localSheetId="3">#REF!</definedName>
    <definedName name="WEIGHT_FV3_P09__Damp_Proofing___Omission" localSheetId="5">#REF!</definedName>
    <definedName name="WEIGHT_FV3_P09__Damp_Proofing___Omission">#REF!</definedName>
    <definedName name="WEIGHT_FV3_P10__Damp_Proofing" localSheetId="2">#REF!</definedName>
    <definedName name="WEIGHT_FV3_P10__Damp_Proofing" localSheetId="1">#REF!</definedName>
    <definedName name="WEIGHT_FV3_P10__Damp_Proofing" localSheetId="0">#REF!</definedName>
    <definedName name="WEIGHT_FV3_P10__Damp_Proofing" localSheetId="4">#REF!</definedName>
    <definedName name="WEIGHT_FV3_P10__Damp_Proofing" localSheetId="3">#REF!</definedName>
    <definedName name="WEIGHT_FV3_P10__Damp_Proofing" localSheetId="5">#REF!</definedName>
    <definedName name="WEIGHT_FV3_P10__Damp_Proofing">#REF!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2" hidden="1">{#N/A,#N/A,TRUE,"Cover";#N/A,#N/A,TRUE,"Conts";#N/A,#N/A,TRUE,"VOS";#N/A,#N/A,TRUE,"Warrington";#N/A,#N/A,TRUE,"Widnes"}</definedName>
    <definedName name="wert" localSheetId="1" hidden="1">{#N/A,#N/A,TRUE,"Cover";#N/A,#N/A,TRUE,"Conts";#N/A,#N/A,TRUE,"VOS";#N/A,#N/A,TRUE,"Warrington";#N/A,#N/A,TRUE,"Widnes"}</definedName>
    <definedName name="wert" localSheetId="0" hidden="1">{#N/A,#N/A,TRUE,"Cover";#N/A,#N/A,TRUE,"Conts";#N/A,#N/A,TRUE,"VOS";#N/A,#N/A,TRUE,"Warrington";#N/A,#N/A,TRUE,"Widnes"}</definedName>
    <definedName name="wert" localSheetId="4" hidden="1">{#N/A,#N/A,TRUE,"Cover";#N/A,#N/A,TRUE,"Conts";#N/A,#N/A,TRUE,"VOS";#N/A,#N/A,TRUE,"Warrington";#N/A,#N/A,TRUE,"Widnes"}</definedName>
    <definedName name="wert" localSheetId="3" hidden="1">{#N/A,#N/A,TRUE,"Cover";#N/A,#N/A,TRUE,"Conts";#N/A,#N/A,TRUE,"VOS";#N/A,#N/A,TRUE,"Warrington";#N/A,#N/A,TRUE,"Widnes"}</definedName>
    <definedName name="wert" localSheetId="5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we" localSheetId="4">#REF!</definedName>
    <definedName name="wewe" localSheetId="3">#REF!</definedName>
    <definedName name="wewe" localSheetId="5">#REF!</definedName>
    <definedName name="wewe">#REF!</definedName>
    <definedName name="WHITEWOSHUTPR" localSheetId="4">#REF!</definedName>
    <definedName name="WHITEWOSHUTPR" localSheetId="3">#REF!</definedName>
    <definedName name="WHITEWOSHUTPR" localSheetId="5">#REF!</definedName>
    <definedName name="WHITEWOSHUTPR">#REF!</definedName>
    <definedName name="WHTSHUTTERPR" localSheetId="4">#REF!</definedName>
    <definedName name="WHTSHUTTERPR" localSheetId="3">#REF!</definedName>
    <definedName name="WHTSHUTTERPR" localSheetId="5">#REF!</definedName>
    <definedName name="WHTSHUTTERPR">#REF!</definedName>
    <definedName name="windows" localSheetId="2" hidden="1">{"'Break down'!$A$4"}</definedName>
    <definedName name="windows" localSheetId="1" hidden="1">{"'Break down'!$A$4"}</definedName>
    <definedName name="windows" localSheetId="0" hidden="1">{"'Break down'!$A$4"}</definedName>
    <definedName name="windows" localSheetId="4" hidden="1">{"'Break down'!$A$4"}</definedName>
    <definedName name="windows" localSheetId="3" hidden="1">{"'Break down'!$A$4"}</definedName>
    <definedName name="windows" localSheetId="5" hidden="1">{"'Break down'!$A$4"}</definedName>
    <definedName name="windows" hidden="1">{"'Break down'!$A$4"}</definedName>
    <definedName name="wmm" localSheetId="4">#REF!</definedName>
    <definedName name="wmm" localSheetId="3">#REF!</definedName>
    <definedName name="wmm" localSheetId="5">#REF!</definedName>
    <definedName name="wmm">#REF!</definedName>
    <definedName name="WOL" localSheetId="2">#REF!</definedName>
    <definedName name="WOL" localSheetId="1">#REF!</definedName>
    <definedName name="WOL" localSheetId="0">#REF!</definedName>
    <definedName name="WOL" localSheetId="4">#REF!</definedName>
    <definedName name="WOL" localSheetId="3">#REF!</definedName>
    <definedName name="WOL" localSheetId="5">#REF!</definedName>
    <definedName name="WOL">#REF!</definedName>
    <definedName name="woodfloat" localSheetId="2">#REF!</definedName>
    <definedName name="woodfloat" localSheetId="1">#REF!</definedName>
    <definedName name="woodfloat" localSheetId="0">#REF!</definedName>
    <definedName name="woodfloat" localSheetId="4">#REF!</definedName>
    <definedName name="woodfloat" localSheetId="3">#REF!</definedName>
    <definedName name="woodfloat" localSheetId="5">#REF!</definedName>
    <definedName name="woodfloat">#REF!</definedName>
    <definedName name="Worsley_Alumina_Expansion_Project___23747" localSheetId="2">#REF!</definedName>
    <definedName name="Worsley_Alumina_Expansion_Project___23747" localSheetId="1">#REF!</definedName>
    <definedName name="Worsley_Alumina_Expansion_Project___23747" localSheetId="0">#REF!</definedName>
    <definedName name="Worsley_Alumina_Expansion_Project___23747" localSheetId="4">#REF!</definedName>
    <definedName name="Worsley_Alumina_Expansion_Project___23747" localSheetId="3">#REF!</definedName>
    <definedName name="Worsley_Alumina_Expansion_Project___23747" localSheetId="5">#REF!</definedName>
    <definedName name="Worsley_Alumina_Expansion_Project___23747">#REF!</definedName>
    <definedName name="wp" localSheetId="2">#REF!</definedName>
    <definedName name="wp" localSheetId="1">#REF!</definedName>
    <definedName name="wp" localSheetId="0">#REF!</definedName>
    <definedName name="wp" localSheetId="4">#REF!</definedName>
    <definedName name="wp" localSheetId="3">#REF!</definedName>
    <definedName name="wp" localSheetId="5">#REF!</definedName>
    <definedName name="wp">#REF!</definedName>
    <definedName name="wproof2" localSheetId="4">#REF!</definedName>
    <definedName name="wproof2" localSheetId="3">#REF!</definedName>
    <definedName name="wproof2" localSheetId="5">#REF!</definedName>
    <definedName name="wproof2">#REF!</definedName>
    <definedName name="wq" localSheetId="4">#REF!</definedName>
    <definedName name="wq" localSheetId="3">#REF!</definedName>
    <definedName name="wq" localSheetId="5">#REF!</definedName>
    <definedName name="wq">#REF!</definedName>
    <definedName name="wqer" localSheetId="2" hidden="1">{#N/A,#N/A,TRUE,"Cover";#N/A,#N/A,TRUE,"Conts";#N/A,#N/A,TRUE,"VOS";#N/A,#N/A,TRUE,"Warrington";#N/A,#N/A,TRUE,"Widnes"}</definedName>
    <definedName name="wqer" localSheetId="1" hidden="1">{#N/A,#N/A,TRUE,"Cover";#N/A,#N/A,TRUE,"Conts";#N/A,#N/A,TRUE,"VOS";#N/A,#N/A,TRUE,"Warrington";#N/A,#N/A,TRUE,"Widnes"}</definedName>
    <definedName name="wqer" localSheetId="0" hidden="1">{#N/A,#N/A,TRUE,"Cover";#N/A,#N/A,TRUE,"Conts";#N/A,#N/A,TRUE,"VOS";#N/A,#N/A,TRUE,"Warrington";#N/A,#N/A,TRUE,"Widnes"}</definedName>
    <definedName name="wqer" localSheetId="4" hidden="1">{#N/A,#N/A,TRUE,"Cover";#N/A,#N/A,TRUE,"Conts";#N/A,#N/A,TRUE,"VOS";#N/A,#N/A,TRUE,"Warrington";#N/A,#N/A,TRUE,"Widnes"}</definedName>
    <definedName name="wqer" localSheetId="3" hidden="1">{#N/A,#N/A,TRUE,"Cover";#N/A,#N/A,TRUE,"Conts";#N/A,#N/A,TRUE,"VOS";#N/A,#N/A,TRUE,"Warrington";#N/A,#N/A,TRUE,"Widnes"}</definedName>
    <definedName name="wqer" localSheetId="5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2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4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3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5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Chandana." localSheetId="2" hidden="1">{#N/A,#N/A,FALSE,"VCR"}</definedName>
    <definedName name="wrn.Chandana." localSheetId="1" hidden="1">{#N/A,#N/A,FALSE,"VCR"}</definedName>
    <definedName name="wrn.Chandana." localSheetId="0" hidden="1">{#N/A,#N/A,FALSE,"VCR"}</definedName>
    <definedName name="wrn.Chandana." localSheetId="4" hidden="1">{#N/A,#N/A,FALSE,"VCR"}</definedName>
    <definedName name="wrn.Chandana." localSheetId="3" hidden="1">{#N/A,#N/A,FALSE,"VCR"}</definedName>
    <definedName name="wrn.Chandana." localSheetId="5" hidden="1">{#N/A,#N/A,FALSE,"VCR"}</definedName>
    <definedName name="wrn.Chandana." hidden="1">{#N/A,#N/A,FALSE,"VCR"}</definedName>
    <definedName name="wrn.CHIEF._.REVIEW." localSheetId="2" hidden="1">{#N/A,#N/A,FALSE,"Q&amp;AE";#N/A,#N/A,FALSE,"Params";#N/A,#N/A,FALSE,"ReconE";#N/A,#N/A,FALSE,"CostCompE";#N/A,#N/A,FALSE,"SummaryE";#N/A,#N/A,FALSE,"Detail";#N/A,#N/A,FALSE,"PayItem"}</definedName>
    <definedName name="wrn.CHIEF._.REVIEW." localSheetId="1" hidden="1">{#N/A,#N/A,FALSE,"Q&amp;AE";#N/A,#N/A,FALSE,"Params";#N/A,#N/A,FALSE,"ReconE";#N/A,#N/A,FALSE,"CostCompE";#N/A,#N/A,FALSE,"SummaryE";#N/A,#N/A,FALSE,"Detail";#N/A,#N/A,FALSE,"PayItem"}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localSheetId="4" hidden="1">{#N/A,#N/A,FALSE,"Q&amp;AE";#N/A,#N/A,FALSE,"Params";#N/A,#N/A,FALSE,"ReconE";#N/A,#N/A,FALSE,"CostCompE";#N/A,#N/A,FALSE,"SummaryE";#N/A,#N/A,FALSE,"Detail";#N/A,#N/A,FALSE,"PayItem"}</definedName>
    <definedName name="wrn.CHIEF._.REVIEW." localSheetId="3" hidden="1">{#N/A,#N/A,FALSE,"Q&amp;AE";#N/A,#N/A,FALSE,"Params";#N/A,#N/A,FALSE,"ReconE";#N/A,#N/A,FALSE,"CostCompE";#N/A,#N/A,FALSE,"SummaryE";#N/A,#N/A,FALSE,"Detail";#N/A,#N/A,FALSE,"PayItem"}</definedName>
    <definedName name="wrn.CHIEF._.REVIEW." localSheetId="5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2" hidden="1">{"DBANK",#N/A,FALSE,"PriceE";"CKTS",#N/A,FALSE,"PriceE"}</definedName>
    <definedName name="wrn.CIRCUITS." localSheetId="1" hidden="1">{"DBANK",#N/A,FALSE,"PriceE";"CKTS",#N/A,FALSE,"PriceE"}</definedName>
    <definedName name="wrn.CIRCUITS." localSheetId="0" hidden="1">{"DBANK",#N/A,FALSE,"PriceE";"CKTS",#N/A,FALSE,"PriceE"}</definedName>
    <definedName name="wrn.CIRCUITS." localSheetId="4" hidden="1">{"DBANK",#N/A,FALSE,"PriceE";"CKTS",#N/A,FALSE,"PriceE"}</definedName>
    <definedName name="wrn.CIRCUITS." localSheetId="3" hidden="1">{"DBANK",#N/A,FALSE,"PriceE";"CKTS",#N/A,FALSE,"PriceE"}</definedName>
    <definedName name="wrn.CIRCUITS." localSheetId="5" hidden="1">{"DBANK",#N/A,FALSE,"PriceE";"CKTS",#N/A,FALSE,"PriceE"}</definedName>
    <definedName name="wrn.CIRCUITS." hidden="1">{"DBANK",#N/A,FALSE,"PriceE";"CKTS",#N/A,FALSE,"PriceE"}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3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Final._.Account." localSheetId="2" hidden="1">{#N/A,#N/A,FALSE,"Header P";#N/A,#N/A,FALSE,"Summary";#N/A,#N/A,FALSE,"CONTRACT WORKS";#N/A,#N/A,FALSE,"Variations";#N/A,#N/A,FALSE,"Dwk"}</definedName>
    <definedName name="wrn.Final._.Account." localSheetId="1" hidden="1">{#N/A,#N/A,FALSE,"Header P";#N/A,#N/A,FALSE,"Summary";#N/A,#N/A,FALSE,"CONTRACT WORKS";#N/A,#N/A,FALSE,"Variations";#N/A,#N/A,FALSE,"Dwk"}</definedName>
    <definedName name="wrn.Final._.Account." localSheetId="0" hidden="1">{#N/A,#N/A,FALSE,"Header P";#N/A,#N/A,FALSE,"Summary";#N/A,#N/A,FALSE,"CONTRACT WORKS";#N/A,#N/A,FALSE,"Variations";#N/A,#N/A,FALSE,"Dwk"}</definedName>
    <definedName name="wrn.Final._.Account." localSheetId="4" hidden="1">{#N/A,#N/A,FALSE,"Header P";#N/A,#N/A,FALSE,"Summary";#N/A,#N/A,FALSE,"CONTRACT WORKS";#N/A,#N/A,FALSE,"Variations";#N/A,#N/A,FALSE,"Dwk"}</definedName>
    <definedName name="wrn.Final._.Account." localSheetId="3" hidden="1">{#N/A,#N/A,FALSE,"Header P";#N/A,#N/A,FALSE,"Summary";#N/A,#N/A,FALSE,"CONTRACT WORKS";#N/A,#N/A,FALSE,"Variations";#N/A,#N/A,FALSE,"Dwk"}</definedName>
    <definedName name="wrn.Final._.Account." localSheetId="5" hidden="1">{#N/A,#N/A,FALSE,"Header P";#N/A,#N/A,FALSE,"Summary";#N/A,#N/A,FALSE,"CONTRACT WORKS";#N/A,#N/A,FALSE,"Variations";#N/A,#N/A,FALSE,"Dwk"}</definedName>
    <definedName name="wrn.Final._.Account." hidden="1">{#N/A,#N/A,FALSE,"Header P";#N/A,#N/A,FALSE,"Summary";#N/A,#N/A,FALSE,"CONTRACT WORKS";#N/A,#N/A,FALSE,"Variations";#N/A,#N/A,FALSE,"Dwk"}</definedName>
    <definedName name="wrn.FINAL._.ESTIMATE." localSheetId="2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4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3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5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uel._.oil._.option." localSheetId="2" hidden="1">{"FUEL OIL",#N/A,FALSE,"Option"}</definedName>
    <definedName name="wrn.Fuel._.oil._.option." localSheetId="1" hidden="1">{"FUEL OIL",#N/A,FALSE,"Option"}</definedName>
    <definedName name="wrn.Fuel._.oil._.option." localSheetId="0" hidden="1">{"FUEL OIL",#N/A,FALSE,"Option"}</definedName>
    <definedName name="wrn.Fuel._.oil._.option." localSheetId="4" hidden="1">{"FUEL OIL",#N/A,FALSE,"Option"}</definedName>
    <definedName name="wrn.Fuel._.oil._.option." localSheetId="3" hidden="1">{"FUEL OIL",#N/A,FALSE,"Option"}</definedName>
    <definedName name="wrn.Fuel._.oil._.option." localSheetId="5" hidden="1">{"FUEL OIL",#N/A,FALSE,"Option"}</definedName>
    <definedName name="wrn.Fuel._.oil._.option." hidden="1">{"FUEL OIL",#N/A,FALSE,"Option"}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ON_COSTS." localSheetId="4" hidden="1">{#N/A,#N/A,FALSE,"Summary";#N/A,#N/A,FALSE,"Plant";#N/A,#N/A,FALSE,"Staff";#N/A,#N/A,FALSE,"Prelim";#N/A,#N/A,FALSE,"Others"}</definedName>
    <definedName name="wrn.ON_COSTS." localSheetId="3" hidden="1">{#N/A,#N/A,FALSE,"Summary";#N/A,#N/A,FALSE,"Plant";#N/A,#N/A,FALSE,"Staff";#N/A,#N/A,FALSE,"Prelim";#N/A,#N/A,FALSE,"Others"}</definedName>
    <definedName name="wrn.ON_COSTS." localSheetId="5" hidden="1">{#N/A,#N/A,FALSE,"Summary";#N/A,#N/A,FALSE,"Plant";#N/A,#N/A,FALSE,"Staff";#N/A,#N/A,FALSE,"Prelim";#N/A,#N/A,FALSE,"Others"}</definedName>
    <definedName name="wrn.ON_COSTS." hidden="1">{#N/A,#N/A,FALSE,"Summary";#N/A,#N/A,FALSE,"Plant";#N/A,#N/A,FALSE,"Staff";#N/A,#N/A,FALSE,"Prelim";#N/A,#N/A,FALSE,"Others"}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localSheetId="2" hidden="1">{"pumps",#N/A,FALSE,"Option"}</definedName>
    <definedName name="wrn.Redundant._.Equipment._.Option." localSheetId="1" hidden="1">{"pumps",#N/A,FALSE,"Option"}</definedName>
    <definedName name="wrn.Redundant._.Equipment._.Option." localSheetId="0" hidden="1">{"pumps",#N/A,FALSE,"Option"}</definedName>
    <definedName name="wrn.Redundant._.Equipment._.Option." localSheetId="4" hidden="1">{"pumps",#N/A,FALSE,"Option"}</definedName>
    <definedName name="wrn.Redundant._.Equipment._.Option." localSheetId="3" hidden="1">{"pumps",#N/A,FALSE,"Option"}</definedName>
    <definedName name="wrn.Redundant._.Equipment._.Option." localSheetId="5" hidden="1">{"pumps",#N/A,FALSE,"Option"}</definedName>
    <definedName name="wrn.Redundant._.Equipment._.Option." hidden="1">{"pumps",#N/A,FALSE,"Option"}</definedName>
    <definedName name="wrn.STG._.BLDG._.ENCLOSURE." localSheetId="2" hidden="1">{"turbine",#N/A,FALSE,"Option"}</definedName>
    <definedName name="wrn.STG._.BLDG._.ENCLOSURE." localSheetId="1" hidden="1">{"turbine",#N/A,FALSE,"Option"}</definedName>
    <definedName name="wrn.STG._.BLDG._.ENCLOSURE." localSheetId="0" hidden="1">{"turbine",#N/A,FALSE,"Option"}</definedName>
    <definedName name="wrn.STG._.BLDG._.ENCLOSURE." localSheetId="4" hidden="1">{"turbine",#N/A,FALSE,"Option"}</definedName>
    <definedName name="wrn.STG._.BLDG._.ENCLOSURE." localSheetId="3" hidden="1">{"turbine",#N/A,FALSE,"Option"}</definedName>
    <definedName name="wrn.STG._.BLDG._.ENCLOSURE." localSheetId="5" hidden="1">{"turbine",#N/A,FALSE,"Option"}</definedName>
    <definedName name="wrn.STG._.BLDG._.ENCLOSURE." hidden="1">{"turbine",#N/A,FALSE,"Option"}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localSheetId="4" hidden="1">{#N/A,#N/A,TRUE,"arnitower";#N/A,#N/A,TRUE,"arnigarage "}</definedName>
    <definedName name="wrn.struckgi." localSheetId="3" hidden="1">{#N/A,#N/A,TRUE,"arnitower";#N/A,#N/A,TRUE,"arnigarage "}</definedName>
    <definedName name="wrn.struckgi." localSheetId="5" hidden="1">{#N/A,#N/A,TRUE,"arnitower";#N/A,#N/A,TRUE,"arnigarage "}</definedName>
    <definedName name="wrn.struckgi." hidden="1">{#N/A,#N/A,TRUE,"arnitower";#N/A,#N/A,TRUE,"arnigarage "}</definedName>
    <definedName name="wrn.TEST." localSheetId="2" hidden="1">{#N/A,#N/A,FALSE,"估價單  (3)"}</definedName>
    <definedName name="wrn.TEST." localSheetId="1" hidden="1">{#N/A,#N/A,FALSE,"估價單  (3)"}</definedName>
    <definedName name="wrn.TEST." localSheetId="0" hidden="1">{#N/A,#N/A,FALSE,"估價單  (3)"}</definedName>
    <definedName name="wrn.TEST." localSheetId="4" hidden="1">{#N/A,#N/A,FALSE,"估價單  (3)"}</definedName>
    <definedName name="wrn.TEST." localSheetId="3" hidden="1">{#N/A,#N/A,FALSE,"估價單  (3)"}</definedName>
    <definedName name="wrn.TEST." localSheetId="5" hidden="1">{#N/A,#N/A,FALSE,"估價單  (3)"}</definedName>
    <definedName name="wrn.TEST." hidden="1">{#N/A,#N/A,FALSE,"估價單  (3)"}</definedName>
    <definedName name="wrn.Warrington._.Widnes._.QS._.Costs." localSheetId="2" hidden="1">{#N/A,#N/A,TRUE,"Cover";#N/A,#N/A,TRUE,"Conts";#N/A,#N/A,TRUE,"VOS";#N/A,#N/A,TRUE,"Warrington";#N/A,#N/A,TRUE,"Widnes"}</definedName>
    <definedName name="wrn.Warrington._.Widnes._.QS._.Costs." localSheetId="1" hidden="1">{#N/A,#N/A,TRUE,"Cover";#N/A,#N/A,TRUE,"Conts";#N/A,#N/A,TRUE,"VOS";#N/A,#N/A,TRUE,"Warrington";#N/A,#N/A,TRUE,"Widnes"}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localSheetId="4" hidden="1">{#N/A,#N/A,TRUE,"Cover";#N/A,#N/A,TRUE,"Conts";#N/A,#N/A,TRUE,"VOS";#N/A,#N/A,TRUE,"Warrington";#N/A,#N/A,TRUE,"Widnes"}</definedName>
    <definedName name="wrn.Warrington._.Widnes._.QS._.Costs." localSheetId="3" hidden="1">{#N/A,#N/A,TRUE,"Cover";#N/A,#N/A,TRUE,"Conts";#N/A,#N/A,TRUE,"VOS";#N/A,#N/A,TRUE,"Warrington";#N/A,#N/A,TRUE,"Widnes"}</definedName>
    <definedName name="wrn.Warrington._.Widnes._.QS._.Costs." localSheetId="5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2" hidden="1">{"WESTINGHOUSE",#N/A,FALSE,"Option"}</definedName>
    <definedName name="wrn.WHOUSE._.CT." localSheetId="1" hidden="1">{"WESTINGHOUSE",#N/A,FALSE,"Option"}</definedName>
    <definedName name="wrn.WHOUSE._.CT." localSheetId="0" hidden="1">{"WESTINGHOUSE",#N/A,FALSE,"Option"}</definedName>
    <definedName name="wrn.WHOUSE._.CT." localSheetId="4" hidden="1">{"WESTINGHOUSE",#N/A,FALSE,"Option"}</definedName>
    <definedName name="wrn.WHOUSE._.CT." localSheetId="3" hidden="1">{"WESTINGHOUSE",#N/A,FALSE,"Option"}</definedName>
    <definedName name="wrn.WHOUSE._.CT." localSheetId="5" hidden="1">{"WESTINGHOUSE",#N/A,FALSE,"Option"}</definedName>
    <definedName name="wrn.WHOUSE._.CT." hidden="1">{"WESTINGHOUSE",#N/A,FALSE,"Option"}</definedName>
    <definedName name="WS_main_line_connect" localSheetId="5">#REF!</definedName>
    <definedName name="WS_main_line_connect">#REF!</definedName>
    <definedName name="WS_pump" localSheetId="4">#REF!</definedName>
    <definedName name="WS_pump" localSheetId="3">#REF!</definedName>
    <definedName name="WS_pump" localSheetId="5">#REF!</definedName>
    <definedName name="WS_pump">#REF!</definedName>
    <definedName name="wspace" localSheetId="4">#REF!</definedName>
    <definedName name="wspace" localSheetId="3">#REF!</definedName>
    <definedName name="wspace" localSheetId="5">#REF!</definedName>
    <definedName name="wspace">#REF!</definedName>
    <definedName name="WW" localSheetId="4">#REF!</definedName>
    <definedName name="WW" localSheetId="3">#REF!</definedName>
    <definedName name="WW" localSheetId="5">#REF!</definedName>
    <definedName name="WW">#REF!</definedName>
    <definedName name="WWQ" localSheetId="4">#REF!</definedName>
    <definedName name="WWQ" localSheetId="3">#REF!</definedName>
    <definedName name="WWQ" localSheetId="5">#REF!</definedName>
    <definedName name="WWQ">#REF!</definedName>
    <definedName name="wwr" localSheetId="2" hidden="1">{"'Break down'!$A$4"}</definedName>
    <definedName name="wwr" localSheetId="1" hidden="1">{"'Break down'!$A$4"}</definedName>
    <definedName name="wwr" localSheetId="0" hidden="1">{"'Break down'!$A$4"}</definedName>
    <definedName name="wwr" localSheetId="4" hidden="1">{"'Break down'!$A$4"}</definedName>
    <definedName name="wwr" localSheetId="3" hidden="1">{"'Break down'!$A$4"}</definedName>
    <definedName name="wwr" localSheetId="5" hidden="1">{"'Break down'!$A$4"}</definedName>
    <definedName name="wwr" hidden="1">{"'Break down'!$A$4"}</definedName>
    <definedName name="wwr_1" localSheetId="2" hidden="1">{"'Break down'!$A$4"}</definedName>
    <definedName name="wwr_1" localSheetId="1" hidden="1">{"'Break down'!$A$4"}</definedName>
    <definedName name="wwr_1" localSheetId="0" hidden="1">{"'Break down'!$A$4"}</definedName>
    <definedName name="wwr_1" localSheetId="4" hidden="1">{"'Break down'!$A$4"}</definedName>
    <definedName name="wwr_1" localSheetId="3" hidden="1">{"'Break down'!$A$4"}</definedName>
    <definedName name="wwr_1" localSheetId="5" hidden="1">{"'Break down'!$A$4"}</definedName>
    <definedName name="wwr_1" hidden="1">{"'Break down'!$A$4"}</definedName>
    <definedName name="wwr_2" localSheetId="2" hidden="1">{"'Break down'!$A$4"}</definedName>
    <definedName name="wwr_2" localSheetId="1" hidden="1">{"'Break down'!$A$4"}</definedName>
    <definedName name="wwr_2" localSheetId="0" hidden="1">{"'Break down'!$A$4"}</definedName>
    <definedName name="wwr_2" localSheetId="4" hidden="1">{"'Break down'!$A$4"}</definedName>
    <definedName name="wwr_2" localSheetId="3" hidden="1">{"'Break down'!$A$4"}</definedName>
    <definedName name="wwr_2" localSheetId="5" hidden="1">{"'Break down'!$A$4"}</definedName>
    <definedName name="wwr_2" hidden="1">{"'Break down'!$A$4"}</definedName>
    <definedName name="www" localSheetId="2" hidden="1">{#N/A,#N/A,TRUE,"Cover";#N/A,#N/A,TRUE,"Conts";#N/A,#N/A,TRUE,"VOS";#N/A,#N/A,TRUE,"Warrington";#N/A,#N/A,TRUE,"Widnes"}</definedName>
    <definedName name="www" localSheetId="1" hidden="1">{#N/A,#N/A,TRUE,"Cover";#N/A,#N/A,TRUE,"Conts";#N/A,#N/A,TRUE,"VOS";#N/A,#N/A,TRUE,"Warrington";#N/A,#N/A,TRUE,"Widnes"}</definedName>
    <definedName name="www" localSheetId="0" hidden="1">{#N/A,#N/A,TRUE,"Cover";#N/A,#N/A,TRUE,"Conts";#N/A,#N/A,TRUE,"VOS";#N/A,#N/A,TRUE,"Warrington";#N/A,#N/A,TRUE,"Widnes"}</definedName>
    <definedName name="www" localSheetId="4" hidden="1">{#N/A,#N/A,TRUE,"Cover";#N/A,#N/A,TRUE,"Conts";#N/A,#N/A,TRUE,"VOS";#N/A,#N/A,TRUE,"Warrington";#N/A,#N/A,TRUE,"Widnes"}</definedName>
    <definedName name="www" localSheetId="3" hidden="1">{#N/A,#N/A,TRUE,"Cover";#N/A,#N/A,TRUE,"Conts";#N/A,#N/A,TRUE,"VOS";#N/A,#N/A,TRUE,"Warrington";#N/A,#N/A,TRUE,"Widnes"}</definedName>
    <definedName name="www" localSheetId="5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localSheetId="2" hidden="1">#REF!</definedName>
    <definedName name="wwwww" localSheetId="1" hidden="1">#REF!</definedName>
    <definedName name="wwwww" localSheetId="0" hidden="1">#REF!</definedName>
    <definedName name="wwwww" localSheetId="4" hidden="1">#REF!</definedName>
    <definedName name="wwwww" localSheetId="3" hidden="1">#REF!</definedName>
    <definedName name="wwwww" localSheetId="5" hidden="1">#REF!</definedName>
    <definedName name="wwwww" hidden="1">#REF!</definedName>
    <definedName name="wwwwwwww" localSheetId="4">#REF!</definedName>
    <definedName name="wwwwwwww" localSheetId="3">#REF!</definedName>
    <definedName name="wwwwwwww" localSheetId="5">#REF!</definedName>
    <definedName name="wwwwwwww">#REF!</definedName>
    <definedName name="wwwwwwwwwww" localSheetId="4">#REF!</definedName>
    <definedName name="wwwwwwwwwww" localSheetId="3">#REF!</definedName>
    <definedName name="wwwwwwwwwww" localSheetId="5">#REF!</definedName>
    <definedName name="wwwwwwwwwww">#REF!</definedName>
    <definedName name="x" localSheetId="2" hidden="1">{"'Break down'!$A$4"}</definedName>
    <definedName name="x" localSheetId="1" hidden="1">{"'Break down'!$A$4"}</definedName>
    <definedName name="x" localSheetId="0" hidden="1">{"'Break down'!$A$4"}</definedName>
    <definedName name="x" localSheetId="4" hidden="1">{"'Break down'!$A$4"}</definedName>
    <definedName name="x" localSheetId="3" hidden="1">{"'Break down'!$A$4"}</definedName>
    <definedName name="x" localSheetId="5" hidden="1">{"'Break down'!$A$4"}</definedName>
    <definedName name="x" hidden="1">{"'Break down'!$A$4"}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fgvxcf" localSheetId="0">#REF!</definedName>
    <definedName name="xfgvxcf" localSheetId="4">#REF!</definedName>
    <definedName name="xfgvxcf" localSheetId="3">#REF!</definedName>
    <definedName name="xfgvxcf" localSheetId="5">#REF!</definedName>
    <definedName name="xfgvxcf">#REF!</definedName>
    <definedName name="XL2CAD_2005061913152000" localSheetId="2">#REF!,#REF!,#REF!</definedName>
    <definedName name="XL2CAD_2005061913152000" localSheetId="1">#REF!,#REF!,#REF!</definedName>
    <definedName name="XL2CAD_2005061913152000" localSheetId="0">#REF!,#REF!,#REF!</definedName>
    <definedName name="XL2CAD_2005061913152000" localSheetId="4">#REF!,#REF!,#REF!</definedName>
    <definedName name="XL2CAD_2005061913152000" localSheetId="3">#REF!,#REF!,#REF!</definedName>
    <definedName name="XL2CAD_2005061913152000" localSheetId="5">#REF!,#REF!,#REF!</definedName>
    <definedName name="XL2CAD_2005061913152000">#REF!,#REF!,#REF!</definedName>
    <definedName name="XL2CAD_2005061913163600" localSheetId="2">#REF!</definedName>
    <definedName name="XL2CAD_2005061913163600" localSheetId="1">#REF!</definedName>
    <definedName name="XL2CAD_2005061913163600" localSheetId="0">#REF!</definedName>
    <definedName name="XL2CAD_2005061913163600" localSheetId="4">#REF!</definedName>
    <definedName name="XL2CAD_2005061913163600" localSheetId="3">#REF!</definedName>
    <definedName name="XL2CAD_2005061913163600" localSheetId="5">#REF!</definedName>
    <definedName name="XL2CAD_2005061913163600">#REF!</definedName>
    <definedName name="XL2CAD_2005061913194300" localSheetId="2">#REF!</definedName>
    <definedName name="XL2CAD_2005061913194300" localSheetId="1">#REF!</definedName>
    <definedName name="XL2CAD_2005061913194300" localSheetId="0">#REF!</definedName>
    <definedName name="XL2CAD_2005061913194300" localSheetId="4">#REF!</definedName>
    <definedName name="XL2CAD_2005061913194300" localSheetId="3">#REF!</definedName>
    <definedName name="XL2CAD_2005061913194300" localSheetId="5">#REF!</definedName>
    <definedName name="XL2CAD_2005061913194300">#REF!</definedName>
    <definedName name="XL2CAD_2005061913321900" localSheetId="2">#REF!</definedName>
    <definedName name="XL2CAD_2005061913321900" localSheetId="1">#REF!</definedName>
    <definedName name="XL2CAD_2005061913321900" localSheetId="0">#REF!</definedName>
    <definedName name="XL2CAD_2005061913321900" localSheetId="4">#REF!</definedName>
    <definedName name="XL2CAD_2005061913321900" localSheetId="3">#REF!</definedName>
    <definedName name="XL2CAD_2005061913321900" localSheetId="5">#REF!</definedName>
    <definedName name="XL2CAD_2005061913321900">#REF!</definedName>
    <definedName name="XL2CAD_2005061913414800" localSheetId="2">#REF!,#REF!</definedName>
    <definedName name="XL2CAD_2005061913414800" localSheetId="1">#REF!,#REF!</definedName>
    <definedName name="XL2CAD_2005061913414800" localSheetId="0">#REF!,#REF!</definedName>
    <definedName name="XL2CAD_2005061913414800" localSheetId="4">#REF!,#REF!</definedName>
    <definedName name="XL2CAD_2005061913414800" localSheetId="3">#REF!,#REF!</definedName>
    <definedName name="XL2CAD_2005061913414800" localSheetId="5">#REF!,#REF!</definedName>
    <definedName name="XL2CAD_2005061913414800">#REF!,#REF!</definedName>
    <definedName name="XL2CAD_2005061913580000" localSheetId="2">#REF!</definedName>
    <definedName name="XL2CAD_2005061913580000" localSheetId="1">#REF!</definedName>
    <definedName name="XL2CAD_2005061913580000" localSheetId="0">#REF!</definedName>
    <definedName name="XL2CAD_2005061913580000" localSheetId="4">#REF!</definedName>
    <definedName name="XL2CAD_2005061913580000" localSheetId="3">#REF!</definedName>
    <definedName name="XL2CAD_2005061913580000" localSheetId="5">#REF!</definedName>
    <definedName name="XL2CAD_2005061913580000">#REF!</definedName>
    <definedName name="XL2CAD_2005061915342900" localSheetId="2">#REF!</definedName>
    <definedName name="XL2CAD_2005061915342900" localSheetId="1">#REF!</definedName>
    <definedName name="XL2CAD_2005061915342900" localSheetId="0">#REF!</definedName>
    <definedName name="XL2CAD_2005061915342900" localSheetId="4">#REF!</definedName>
    <definedName name="XL2CAD_2005061915342900" localSheetId="3">#REF!</definedName>
    <definedName name="XL2CAD_2005061915342900" localSheetId="5">#REF!</definedName>
    <definedName name="XL2CAD_2005061915342900">#REF!</definedName>
    <definedName name="XL2CAD_2005061915585800" localSheetId="2">#REF!</definedName>
    <definedName name="XL2CAD_2005061915585800" localSheetId="1">#REF!</definedName>
    <definedName name="XL2CAD_2005061915585800" localSheetId="0">#REF!</definedName>
    <definedName name="XL2CAD_2005061915585800" localSheetId="4">#REF!</definedName>
    <definedName name="XL2CAD_2005061915585800" localSheetId="3">#REF!</definedName>
    <definedName name="XL2CAD_2005061915585800" localSheetId="5">#REF!</definedName>
    <definedName name="XL2CAD_2005061915585800">#REF!</definedName>
    <definedName name="XL2CAD_2005061917490500" localSheetId="2">#REF!</definedName>
    <definedName name="XL2CAD_2005061917490500" localSheetId="1">#REF!</definedName>
    <definedName name="XL2CAD_2005061917490500" localSheetId="0">#REF!</definedName>
    <definedName name="XL2CAD_2005061917490500" localSheetId="4">#REF!</definedName>
    <definedName name="XL2CAD_2005061917490500" localSheetId="3">#REF!</definedName>
    <definedName name="XL2CAD_2005061917490500" localSheetId="5">#REF!</definedName>
    <definedName name="XL2CAD_2005061917490500">#REF!</definedName>
    <definedName name="XL2CAD_2005062317071000" localSheetId="2">#REF!</definedName>
    <definedName name="XL2CAD_2005062317071000" localSheetId="1">#REF!</definedName>
    <definedName name="XL2CAD_2005062317071000" localSheetId="0">#REF!</definedName>
    <definedName name="XL2CAD_2005062317071000" localSheetId="4">#REF!</definedName>
    <definedName name="XL2CAD_2005062317071000" localSheetId="3">#REF!</definedName>
    <definedName name="XL2CAD_2005062317071000" localSheetId="5">#REF!</definedName>
    <definedName name="XL2CAD_2005062317071000">#REF!</definedName>
    <definedName name="XL2CAD_2006022314272500" localSheetId="2">#REF!</definedName>
    <definedName name="XL2CAD_2006022314272500" localSheetId="1">#REF!</definedName>
    <definedName name="XL2CAD_2006022314272500" localSheetId="0">#REF!</definedName>
    <definedName name="XL2CAD_2006022314272500" localSheetId="4">#REF!</definedName>
    <definedName name="XL2CAD_2006022314272500" localSheetId="3">#REF!</definedName>
    <definedName name="XL2CAD_2006022314272500" localSheetId="5">#REF!</definedName>
    <definedName name="XL2CAD_2006022314272500">#REF!</definedName>
    <definedName name="XL2CAD_2006022314355100" localSheetId="2">#REF!</definedName>
    <definedName name="XL2CAD_2006022314355100" localSheetId="1">#REF!</definedName>
    <definedName name="XL2CAD_2006022314355100" localSheetId="0">#REF!</definedName>
    <definedName name="XL2CAD_2006022314355100" localSheetId="4">#REF!</definedName>
    <definedName name="XL2CAD_2006022314355100" localSheetId="3">#REF!</definedName>
    <definedName name="XL2CAD_2006022314355100" localSheetId="5">#REF!</definedName>
    <definedName name="XL2CAD_2006022314355100">#REF!</definedName>
    <definedName name="XL2CAD_2006022316174600" localSheetId="2">#REF!</definedName>
    <definedName name="XL2CAD_2006022316174600" localSheetId="1">#REF!</definedName>
    <definedName name="XL2CAD_2006022316174600" localSheetId="0">#REF!</definedName>
    <definedName name="XL2CAD_2006022316174600" localSheetId="4">#REF!</definedName>
    <definedName name="XL2CAD_2006022316174600" localSheetId="3">#REF!</definedName>
    <definedName name="XL2CAD_2006022316174600" localSheetId="5">#REF!</definedName>
    <definedName name="XL2CAD_2006022316174600">#REF!</definedName>
    <definedName name="XL2CAD_2006022411151400" localSheetId="2">#REF!</definedName>
    <definedName name="XL2CAD_2006022411151400" localSheetId="1">#REF!</definedName>
    <definedName name="XL2CAD_2006022411151400" localSheetId="0">#REF!</definedName>
    <definedName name="XL2CAD_2006022411151400" localSheetId="4">#REF!</definedName>
    <definedName name="XL2CAD_2006022411151400" localSheetId="3">#REF!</definedName>
    <definedName name="XL2CAD_2006022411151400" localSheetId="5">#REF!</definedName>
    <definedName name="XL2CAD_2006022411151400">#REF!</definedName>
    <definedName name="XL2CAD_2006062916140700" localSheetId="2">#REF!</definedName>
    <definedName name="XL2CAD_2006062916140700" localSheetId="1">#REF!</definedName>
    <definedName name="XL2CAD_2006062916140700" localSheetId="0">#REF!</definedName>
    <definedName name="XL2CAD_2006062916140700" localSheetId="4">#REF!</definedName>
    <definedName name="XL2CAD_2006062916140700" localSheetId="3">#REF!</definedName>
    <definedName name="XL2CAD_2006062916140700" localSheetId="5">#REF!</definedName>
    <definedName name="XL2CAD_2006062916140700">#REF!</definedName>
    <definedName name="XL2CAD_2006092118095000" localSheetId="2">#REF!</definedName>
    <definedName name="XL2CAD_2006092118095000" localSheetId="1">#REF!</definedName>
    <definedName name="XL2CAD_2006092118095000" localSheetId="0">#REF!</definedName>
    <definedName name="XL2CAD_2006092118095000" localSheetId="4">#REF!</definedName>
    <definedName name="XL2CAD_2006092118095000" localSheetId="3">#REF!</definedName>
    <definedName name="XL2CAD_2006092118095000" localSheetId="5">#REF!</definedName>
    <definedName name="XL2CAD_2006092118095000">#REF!</definedName>
    <definedName name="XL2CAD_2006100615361000" localSheetId="2">#REF!</definedName>
    <definedName name="XL2CAD_2006100615361000" localSheetId="1">#REF!</definedName>
    <definedName name="XL2CAD_2006100615361000" localSheetId="0">#REF!</definedName>
    <definedName name="XL2CAD_2006100615361000" localSheetId="4">#REF!</definedName>
    <definedName name="XL2CAD_2006100615361000" localSheetId="3">#REF!</definedName>
    <definedName name="XL2CAD_2006100615361000" localSheetId="5">#REF!</definedName>
    <definedName name="XL2CAD_2006100615361000">#REF!</definedName>
    <definedName name="XL2CAD_2006100615373400" localSheetId="2">#REF!</definedName>
    <definedName name="XL2CAD_2006100615373400" localSheetId="1">#REF!</definedName>
    <definedName name="XL2CAD_2006100615373400" localSheetId="0">#REF!</definedName>
    <definedName name="XL2CAD_2006100615373400" localSheetId="4">#REF!</definedName>
    <definedName name="XL2CAD_2006100615373400" localSheetId="3">#REF!</definedName>
    <definedName name="XL2CAD_2006100615373400" localSheetId="5">#REF!</definedName>
    <definedName name="XL2CAD_2006100615373400">#REF!</definedName>
    <definedName name="XL2CAD_2006121312281700" localSheetId="2">#REF!</definedName>
    <definedName name="XL2CAD_2006121312281700" localSheetId="1">#REF!</definedName>
    <definedName name="XL2CAD_2006121312281700" localSheetId="0">#REF!</definedName>
    <definedName name="XL2CAD_2006121312281700" localSheetId="4">#REF!</definedName>
    <definedName name="XL2CAD_2006121312281700" localSheetId="3">#REF!</definedName>
    <definedName name="XL2CAD_2006121312281700" localSheetId="5">#REF!</definedName>
    <definedName name="XL2CAD_2006121312281700">#REF!</definedName>
    <definedName name="XL2CAD_2006121408364300" localSheetId="2">#REF!</definedName>
    <definedName name="XL2CAD_2006121408364300" localSheetId="1">#REF!</definedName>
    <definedName name="XL2CAD_2006121408364300" localSheetId="0">#REF!</definedName>
    <definedName name="XL2CAD_2006121408364300" localSheetId="4">#REF!</definedName>
    <definedName name="XL2CAD_2006121408364300" localSheetId="3">#REF!</definedName>
    <definedName name="XL2CAD_2006121408364300" localSheetId="5">#REF!</definedName>
    <definedName name="XL2CAD_2006121408364300">#REF!</definedName>
    <definedName name="XL2CAD_2006121410094300" localSheetId="2">#REF!</definedName>
    <definedName name="XL2CAD_2006121410094300" localSheetId="1">#REF!</definedName>
    <definedName name="XL2CAD_2006121410094300" localSheetId="0">#REF!</definedName>
    <definedName name="XL2CAD_2006121410094300" localSheetId="4">#REF!</definedName>
    <definedName name="XL2CAD_2006121410094300" localSheetId="3">#REF!</definedName>
    <definedName name="XL2CAD_2006121410094300" localSheetId="5">#REF!</definedName>
    <definedName name="XL2CAD_2006121410094300">#REF!</definedName>
    <definedName name="XL2CAD_2006121410473400" localSheetId="2">#REF!</definedName>
    <definedName name="XL2CAD_2006121410473400" localSheetId="1">#REF!</definedName>
    <definedName name="XL2CAD_2006121410473400" localSheetId="0">#REF!</definedName>
    <definedName name="XL2CAD_2006121410473400" localSheetId="4">#REF!</definedName>
    <definedName name="XL2CAD_2006121410473400" localSheetId="3">#REF!</definedName>
    <definedName name="XL2CAD_2006121410473400" localSheetId="5">#REF!</definedName>
    <definedName name="XL2CAD_2006121410473400">#REF!</definedName>
    <definedName name="XL2CAD_2006121410523800" localSheetId="2">#REF!</definedName>
    <definedName name="XL2CAD_2006121410523800" localSheetId="1">#REF!</definedName>
    <definedName name="XL2CAD_2006121410523800" localSheetId="0">#REF!</definedName>
    <definedName name="XL2CAD_2006121410523800" localSheetId="4">#REF!</definedName>
    <definedName name="XL2CAD_2006121410523800" localSheetId="3">#REF!</definedName>
    <definedName name="XL2CAD_2006121410523800" localSheetId="5">#REF!</definedName>
    <definedName name="XL2CAD_2006121410523800">#REF!</definedName>
    <definedName name="XL2CAD_2006121410591000" localSheetId="2">#REF!</definedName>
    <definedName name="XL2CAD_2006121410591000" localSheetId="1">#REF!</definedName>
    <definedName name="XL2CAD_2006121410591000" localSheetId="0">#REF!</definedName>
    <definedName name="XL2CAD_2006121410591000" localSheetId="4">#REF!</definedName>
    <definedName name="XL2CAD_2006121410591000" localSheetId="3">#REF!</definedName>
    <definedName name="XL2CAD_2006121410591000" localSheetId="5">#REF!</definedName>
    <definedName name="XL2CAD_2006121410591000">#REF!</definedName>
    <definedName name="XL2CAD_2006121414245500" localSheetId="2">#REF!</definedName>
    <definedName name="XL2CAD_2006121414245500" localSheetId="1">#REF!</definedName>
    <definedName name="XL2CAD_2006121414245500" localSheetId="0">#REF!</definedName>
    <definedName name="XL2CAD_2006121414245500" localSheetId="4">#REF!</definedName>
    <definedName name="XL2CAD_2006121414245500" localSheetId="3">#REF!</definedName>
    <definedName name="XL2CAD_2006121414245500" localSheetId="5">#REF!</definedName>
    <definedName name="XL2CAD_2006121414245500">#REF!</definedName>
    <definedName name="XL2CAD_2007082711051200" localSheetId="2">#REF!</definedName>
    <definedName name="XL2CAD_2007082711051200" localSheetId="1">#REF!</definedName>
    <definedName name="XL2CAD_2007082711051200" localSheetId="0">#REF!</definedName>
    <definedName name="XL2CAD_2007082711051200" localSheetId="4">#REF!</definedName>
    <definedName name="XL2CAD_2007082711051200" localSheetId="3">#REF!</definedName>
    <definedName name="XL2CAD_2007082711051200" localSheetId="5">#REF!</definedName>
    <definedName name="XL2CAD_2007082711051200">#REF!</definedName>
    <definedName name="XL2CAD_2007101219303900" localSheetId="2">#REF!</definedName>
    <definedName name="XL2CAD_2007101219303900" localSheetId="1">#REF!</definedName>
    <definedName name="XL2CAD_2007101219303900" localSheetId="0">#REF!</definedName>
    <definedName name="XL2CAD_2007101219303900" localSheetId="4">#REF!</definedName>
    <definedName name="XL2CAD_2007101219303900" localSheetId="3">#REF!</definedName>
    <definedName name="XL2CAD_2007101219303900" localSheetId="5">#REF!</definedName>
    <definedName name="XL2CAD_2007101219303900">#REF!</definedName>
    <definedName name="XL2CAD_2008030614382200" localSheetId="2">#REF!</definedName>
    <definedName name="XL2CAD_2008030614382200" localSheetId="1">#REF!</definedName>
    <definedName name="XL2CAD_2008030614382200" localSheetId="0">#REF!</definedName>
    <definedName name="XL2CAD_2008030614382200" localSheetId="4">#REF!</definedName>
    <definedName name="XL2CAD_2008030614382200" localSheetId="3">#REF!</definedName>
    <definedName name="XL2CAD_2008030614382200" localSheetId="5">#REF!</definedName>
    <definedName name="XL2CAD_2008030614382200">#REF!</definedName>
    <definedName name="XL2CAD_2008032823412600" localSheetId="2">#REF!</definedName>
    <definedName name="XL2CAD_2008032823412600" localSheetId="1">#REF!</definedName>
    <definedName name="XL2CAD_2008032823412600" localSheetId="0">#REF!</definedName>
    <definedName name="XL2CAD_2008032823412600" localSheetId="4">#REF!</definedName>
    <definedName name="XL2CAD_2008032823412600" localSheetId="3">#REF!</definedName>
    <definedName name="XL2CAD_2008032823412600" localSheetId="5">#REF!</definedName>
    <definedName name="XL2CAD_2008032823412600">#REF!</definedName>
    <definedName name="XL2CAD_2008040917460300" localSheetId="2">#REF!</definedName>
    <definedName name="XL2CAD_2008040917460300" localSheetId="1">#REF!</definedName>
    <definedName name="XL2CAD_2008040917460300" localSheetId="0">#REF!</definedName>
    <definedName name="XL2CAD_2008040917460300" localSheetId="4">#REF!</definedName>
    <definedName name="XL2CAD_2008040917460300" localSheetId="3">#REF!</definedName>
    <definedName name="XL2CAD_2008040917460300" localSheetId="5">#REF!</definedName>
    <definedName name="XL2CAD_2008040917460300">#REF!</definedName>
    <definedName name="XL2CAD_2008041715245070" localSheetId="2">#REF!</definedName>
    <definedName name="XL2CAD_2008041715245070" localSheetId="1">#REF!</definedName>
    <definedName name="XL2CAD_2008041715245070" localSheetId="0">#REF!</definedName>
    <definedName name="XL2CAD_2008041715245070" localSheetId="4">#REF!</definedName>
    <definedName name="XL2CAD_2008041715245070" localSheetId="3">#REF!</definedName>
    <definedName name="XL2CAD_2008041715245070" localSheetId="5">#REF!</definedName>
    <definedName name="XL2CAD_2008041715245070">#REF!</definedName>
    <definedName name="XL2CAD_2008041715291770" localSheetId="2">#REF!</definedName>
    <definedName name="XL2CAD_2008041715291770" localSheetId="1">#REF!</definedName>
    <definedName name="XL2CAD_2008041715291770" localSheetId="0">#REF!</definedName>
    <definedName name="XL2CAD_2008041715291770" localSheetId="4">#REF!</definedName>
    <definedName name="XL2CAD_2008041715291770" localSheetId="3">#REF!</definedName>
    <definedName name="XL2CAD_2008041715291770" localSheetId="5">#REF!</definedName>
    <definedName name="XL2CAD_2008041715291770">#REF!</definedName>
    <definedName name="XL2CAD_2008041715311470" localSheetId="2">#REF!</definedName>
    <definedName name="XL2CAD_2008041715311470" localSheetId="1">#REF!</definedName>
    <definedName name="XL2CAD_2008041715311470" localSheetId="0">#REF!</definedName>
    <definedName name="XL2CAD_2008041715311470" localSheetId="4">#REF!</definedName>
    <definedName name="XL2CAD_2008041715311470" localSheetId="3">#REF!</definedName>
    <definedName name="XL2CAD_2008041715311470" localSheetId="5">#REF!</definedName>
    <definedName name="XL2CAD_2008041715311470">#REF!</definedName>
    <definedName name="XL2CAD_2008041715315953" localSheetId="2">#REF!</definedName>
    <definedName name="XL2CAD_2008041715315953" localSheetId="1">#REF!</definedName>
    <definedName name="XL2CAD_2008041715315953" localSheetId="0">#REF!</definedName>
    <definedName name="XL2CAD_2008041715315953" localSheetId="4">#REF!</definedName>
    <definedName name="XL2CAD_2008041715315953" localSheetId="3">#REF!</definedName>
    <definedName name="XL2CAD_2008041715315953" localSheetId="5">#REF!</definedName>
    <definedName name="XL2CAD_2008041715315953">#REF!</definedName>
    <definedName name="XL2CAD_2008041715332570" localSheetId="2">#REF!</definedName>
    <definedName name="XL2CAD_2008041715332570" localSheetId="1">#REF!</definedName>
    <definedName name="XL2CAD_2008041715332570" localSheetId="0">#REF!</definedName>
    <definedName name="XL2CAD_2008041715332570" localSheetId="4">#REF!</definedName>
    <definedName name="XL2CAD_2008041715332570" localSheetId="3">#REF!</definedName>
    <definedName name="XL2CAD_2008041715332570" localSheetId="5">#REF!</definedName>
    <definedName name="XL2CAD_2008041715332570">#REF!</definedName>
    <definedName name="xl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localSheetId="2" hidden="1">{"'Break down'!$A$4"}</definedName>
    <definedName name="xls." localSheetId="1" hidden="1">{"'Break down'!$A$4"}</definedName>
    <definedName name="xls." localSheetId="0" hidden="1">{"'Break down'!$A$4"}</definedName>
    <definedName name="xls." localSheetId="4" hidden="1">{"'Break down'!$A$4"}</definedName>
    <definedName name="xls." localSheetId="3" hidden="1">{"'Break down'!$A$4"}</definedName>
    <definedName name="xls." localSheetId="5" hidden="1">{"'Break down'!$A$4"}</definedName>
    <definedName name="xls." hidden="1">{"'Break down'!$A$4"}</definedName>
    <definedName name="xls._1" localSheetId="2" hidden="1">{"'Break down'!$A$4"}</definedName>
    <definedName name="xls._1" localSheetId="1" hidden="1">{"'Break down'!$A$4"}</definedName>
    <definedName name="xls._1" localSheetId="0" hidden="1">{"'Break down'!$A$4"}</definedName>
    <definedName name="xls._1" localSheetId="4" hidden="1">{"'Break down'!$A$4"}</definedName>
    <definedName name="xls._1" localSheetId="3" hidden="1">{"'Break down'!$A$4"}</definedName>
    <definedName name="xls._1" localSheetId="5" hidden="1">{"'Break down'!$A$4"}</definedName>
    <definedName name="xls._1" hidden="1">{"'Break down'!$A$4"}</definedName>
    <definedName name="xls._2" localSheetId="2" hidden="1">{"'Break down'!$A$4"}</definedName>
    <definedName name="xls._2" localSheetId="1" hidden="1">{"'Break down'!$A$4"}</definedName>
    <definedName name="xls._2" localSheetId="0" hidden="1">{"'Break down'!$A$4"}</definedName>
    <definedName name="xls._2" localSheetId="4" hidden="1">{"'Break down'!$A$4"}</definedName>
    <definedName name="xls._2" localSheetId="3" hidden="1">{"'Break down'!$A$4"}</definedName>
    <definedName name="xls._2" localSheetId="5" hidden="1">{"'Break down'!$A$4"}</definedName>
    <definedName name="xls._2" hidden="1">{"'Break down'!$A$4"}</definedName>
    <definedName name="XLSS" localSheetId="2" hidden="1">{"'Break down'!$A$4"}</definedName>
    <definedName name="XLSS" localSheetId="1" hidden="1">{"'Break down'!$A$4"}</definedName>
    <definedName name="XLSS" localSheetId="0" hidden="1">{"'Break down'!$A$4"}</definedName>
    <definedName name="XLSS" localSheetId="4" hidden="1">{"'Break down'!$A$4"}</definedName>
    <definedName name="XLSS" localSheetId="3" hidden="1">{"'Break down'!$A$4"}</definedName>
    <definedName name="XLSS" localSheetId="5" hidden="1">{"'Break down'!$A$4"}</definedName>
    <definedName name="XLSS" hidden="1">{"'Break down'!$A$4"}</definedName>
    <definedName name="XLSS_1" localSheetId="2" hidden="1">{"'Break down'!$A$4"}</definedName>
    <definedName name="XLSS_1" localSheetId="1" hidden="1">{"'Break down'!$A$4"}</definedName>
    <definedName name="XLSS_1" localSheetId="0" hidden="1">{"'Break down'!$A$4"}</definedName>
    <definedName name="XLSS_1" localSheetId="4" hidden="1">{"'Break down'!$A$4"}</definedName>
    <definedName name="XLSS_1" localSheetId="3" hidden="1">{"'Break down'!$A$4"}</definedName>
    <definedName name="XLSS_1" localSheetId="5" hidden="1">{"'Break down'!$A$4"}</definedName>
    <definedName name="XLSS_1" hidden="1">{"'Break down'!$A$4"}</definedName>
    <definedName name="XLSS_2" localSheetId="2" hidden="1">{"'Break down'!$A$4"}</definedName>
    <definedName name="XLSS_2" localSheetId="1" hidden="1">{"'Break down'!$A$4"}</definedName>
    <definedName name="XLSS_2" localSheetId="0" hidden="1">{"'Break down'!$A$4"}</definedName>
    <definedName name="XLSS_2" localSheetId="4" hidden="1">{"'Break down'!$A$4"}</definedName>
    <definedName name="XLSS_2" localSheetId="3" hidden="1">{"'Break down'!$A$4"}</definedName>
    <definedName name="XLSS_2" localSheetId="5" hidden="1">{"'Break down'!$A$4"}</definedName>
    <definedName name="XLSS_2" hidden="1">{"'Break down'!$A$4"}</definedName>
    <definedName name="xlst" localSheetId="2" hidden="1">{"'Break down'!$A$4"}</definedName>
    <definedName name="xlst" localSheetId="1" hidden="1">{"'Break down'!$A$4"}</definedName>
    <definedName name="xlst" localSheetId="0" hidden="1">{"'Break down'!$A$4"}</definedName>
    <definedName name="xlst" localSheetId="4" hidden="1">{"'Break down'!$A$4"}</definedName>
    <definedName name="xlst" localSheetId="3" hidden="1">{"'Break down'!$A$4"}</definedName>
    <definedName name="xlst" localSheetId="5" hidden="1">{"'Break down'!$A$4"}</definedName>
    <definedName name="xlst" hidden="1">{"'Break down'!$A$4"}</definedName>
    <definedName name="xlst_1" localSheetId="2" hidden="1">{"'Break down'!$A$4"}</definedName>
    <definedName name="xlst_1" localSheetId="1" hidden="1">{"'Break down'!$A$4"}</definedName>
    <definedName name="xlst_1" localSheetId="0" hidden="1">{"'Break down'!$A$4"}</definedName>
    <definedName name="xlst_1" localSheetId="4" hidden="1">{"'Break down'!$A$4"}</definedName>
    <definedName name="xlst_1" localSheetId="3" hidden="1">{"'Break down'!$A$4"}</definedName>
    <definedName name="xlst_1" localSheetId="5" hidden="1">{"'Break down'!$A$4"}</definedName>
    <definedName name="xlst_1" hidden="1">{"'Break down'!$A$4"}</definedName>
    <definedName name="xlst_2" localSheetId="2" hidden="1">{"'Break down'!$A$4"}</definedName>
    <definedName name="xlst_2" localSheetId="1" hidden="1">{"'Break down'!$A$4"}</definedName>
    <definedName name="xlst_2" localSheetId="0" hidden="1">{"'Break down'!$A$4"}</definedName>
    <definedName name="xlst_2" localSheetId="4" hidden="1">{"'Break down'!$A$4"}</definedName>
    <definedName name="xlst_2" localSheetId="3" hidden="1">{"'Break down'!$A$4"}</definedName>
    <definedName name="xlst_2" localSheetId="5" hidden="1">{"'Break down'!$A$4"}</definedName>
    <definedName name="xlst_2" hidden="1">{"'Break down'!$A$4"}</definedName>
    <definedName name="XMTRS" localSheetId="2">#REF!</definedName>
    <definedName name="XMTRS" localSheetId="1">#REF!</definedName>
    <definedName name="XMTRS" localSheetId="0">#REF!</definedName>
    <definedName name="XMTRS" localSheetId="4">#REF!</definedName>
    <definedName name="XMTRS" localSheetId="3">#REF!</definedName>
    <definedName name="XMTRS" localSheetId="5">#REF!</definedName>
    <definedName name="XMTRS">#REF!</definedName>
    <definedName name="xx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localSheetId="2">IF(VLOOKUP(#REF!,PRICE_CIVIL,1,FALSE)=0,0,VLOOKUP(#REF!,PRICE_CIVIL,2,FALSE))</definedName>
    <definedName name="xxx" localSheetId="1">IF(VLOOKUP(#REF!,PRICE_CIVIL,1,FALSE)=0,0,VLOOKUP(#REF!,PRICE_CIVIL,2,FALSE))</definedName>
    <definedName name="xxx" localSheetId="0">IF(VLOOKUP(#REF!,PRICE_CIVIL,1,FALSE)=0,0,VLOOKUP(#REF!,PRICE_CIVIL,2,FALSE))</definedName>
    <definedName name="xxx" localSheetId="4">IF(VLOOKUP(#REF!,PRICE_CIVIL,1,FALSE)=0,0,VLOOKUP(#REF!,PRICE_CIVIL,2,FALSE))</definedName>
    <definedName name="xxx" localSheetId="3">IF(VLOOKUP(#REF!,PRICE_CIVIL,1,FALSE)=0,0,VLOOKUP(#REF!,PRICE_CIVIL,2,FALSE))</definedName>
    <definedName name="xxx" localSheetId="5">IF(VLOOKUP(#REF!,PRICE_CIVIL,1,FALSE)=0,0,VLOOKUP(#REF!,PRICE_CIVIL,2,FALSE))</definedName>
    <definedName name="xxx">IF(VLOOKUP(#REF!,PRICE_CIVIL,1,FALSE)=0,0,VLOOKUP(#REF!,PRICE_CIVIL,2,FALSE))</definedName>
    <definedName name="Y" localSheetId="2">#REF!</definedName>
    <definedName name="Y" localSheetId="1">#REF!</definedName>
    <definedName name="Y" localSheetId="0">#REF!</definedName>
    <definedName name="Y" localSheetId="4">#REF!</definedName>
    <definedName name="Y" localSheetId="3">#REF!</definedName>
    <definedName name="Y" localSheetId="5">#REF!</definedName>
    <definedName name="Y">#REF!</definedName>
    <definedName name="y_strainer" localSheetId="2">#REF!</definedName>
    <definedName name="y_strainer" localSheetId="1">#REF!</definedName>
    <definedName name="y_strainer" localSheetId="0">#REF!</definedName>
    <definedName name="y_strainer" localSheetId="4">#REF!</definedName>
    <definedName name="y_strainer" localSheetId="3">#REF!</definedName>
    <definedName name="y_strainer" localSheetId="5">#REF!</definedName>
    <definedName name="y_strainer">#REF!</definedName>
    <definedName name="yandudes" localSheetId="2">#REF!</definedName>
    <definedName name="yandudes" localSheetId="1">#REF!</definedName>
    <definedName name="yandudes" localSheetId="0">#REF!</definedName>
    <definedName name="yandudes" localSheetId="4">#REF!</definedName>
    <definedName name="yandudes" localSheetId="3">#REF!</definedName>
    <definedName name="yandudes" localSheetId="5">#REF!</definedName>
    <definedName name="yandudes">#REF!</definedName>
    <definedName name="YARD_INS" localSheetId="2">IF(#REF!="INS",VLOOKUP(#REF!,InsY,HLOOKUP(#REF!,YARD,2)+1,FALSE),0)</definedName>
    <definedName name="YARD_INS" localSheetId="1">IF(#REF!="INS",VLOOKUP(#REF!,InsY,HLOOKUP(#REF!,YARD,2)+1,FALSE),0)</definedName>
    <definedName name="YARD_INS" localSheetId="0">IF(#REF!="INS",VLOOKUP(#REF!,InsY,HLOOKUP(#REF!,YARD,2)+1,FALSE),0)</definedName>
    <definedName name="YARD_INS" localSheetId="4">IF(#REF!="INS",VLOOKUP(#REF!,InsY,HLOOKUP(#REF!,YARD,2)+1,FALSE),0)</definedName>
    <definedName name="YARD_INS" localSheetId="3">IF(#REF!="INS",VLOOKUP(#REF!,InsY,HLOOKUP(#REF!,YARD,2)+1,FALSE),0)</definedName>
    <definedName name="YARD_INS" localSheetId="5">IF(#REF!="INS",VLOOKUP(#REF!,InsY,HLOOKUP(#REF!,YARD,2)+1,FALSE),0)</definedName>
    <definedName name="YARD_INS">IF(#REF!="INS",VLOOKUP(#REF!,InsY,HLOOKUP(#REF!,YARD,2)+1,FALSE),0)</definedName>
    <definedName name="YARD_LAB" localSheetId="2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 localSheetId="1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 localSheetId="0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 localSheetId="4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 localSheetId="3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 localSheetId="5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LAB">(VLOOKUP(#REF!,YARDLAB,HLOOKUP(#REF!,YARD,2),FALSE)+(VLOOKUP(#REF!,YARDLAB,HLOOKUP(#REF!,YARD,2)+1,FALSE)-VLOOKUP(#REF!,YARDLAB,HLOOKUP(#REF!,YARD,2),FALSE))*(#REF!-HLOOKUP(#REF!,YARD,1))/(HLOOKUP(#REF!+2,YARD,1)-HLOOKUP(#REF!,YARD,1)))</definedName>
    <definedName name="YARD_MAT" localSheetId="2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 localSheetId="1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 localSheetId="0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 localSheetId="4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 localSheetId="3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 localSheetId="5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ARD_MAT">VLOOKUP(#REF!,YARDMAT,HLOOKUP(#REF!,YARD,2)+1,FALSE)+(VLOOKUP(#REF!,YARDMAT,HLOOKUP(#REF!,YARD,2)+1+1,FALSE)-VLOOKUP(#REF!,YARDMAT,HLOOKUP(#REF!,YARD,2)+1,FALSE))*(#REF!-HLOOKUP(#REF!,YARD,1))/(HLOOKUP(#REF!+2,YARD,1)-HLOOKUP(#REF!,YARD,1))</definedName>
    <definedName name="Year" localSheetId="2">#REF!</definedName>
    <definedName name="Year" localSheetId="1">#REF!</definedName>
    <definedName name="Year" localSheetId="0">#REF!</definedName>
    <definedName name="Year" localSheetId="4">#REF!</definedName>
    <definedName name="Year" localSheetId="3">#REF!</definedName>
    <definedName name="Year" localSheetId="5">#REF!</definedName>
    <definedName name="Year">#REF!</definedName>
    <definedName name="yes" localSheetId="4">#REF!</definedName>
    <definedName name="yes" localSheetId="3">#REF!</definedName>
    <definedName name="yes" localSheetId="5">#REF!</definedName>
    <definedName name="yes">#REF!</definedName>
    <definedName name="YN" localSheetId="2">#REF!</definedName>
    <definedName name="YN" localSheetId="1">#REF!</definedName>
    <definedName name="YN" localSheetId="0">#REF!</definedName>
    <definedName name="YN" localSheetId="4">#REF!</definedName>
    <definedName name="YN" localSheetId="3">#REF!</definedName>
    <definedName name="YN" localSheetId="5">#REF!</definedName>
    <definedName name="YN">#REF!</definedName>
    <definedName name="yt" localSheetId="2" hidden="1">{#N/A,#N/A,TRUE,"Cover";#N/A,#N/A,TRUE,"Conts";#N/A,#N/A,TRUE,"VOS";#N/A,#N/A,TRUE,"Warrington";#N/A,#N/A,TRUE,"Widnes"}</definedName>
    <definedName name="yt" localSheetId="1" hidden="1">{#N/A,#N/A,TRUE,"Cover";#N/A,#N/A,TRUE,"Conts";#N/A,#N/A,TRUE,"VOS";#N/A,#N/A,TRUE,"Warrington";#N/A,#N/A,TRUE,"Widnes"}</definedName>
    <definedName name="yt" localSheetId="0" hidden="1">{#N/A,#N/A,TRUE,"Cover";#N/A,#N/A,TRUE,"Conts";#N/A,#N/A,TRUE,"VOS";#N/A,#N/A,TRUE,"Warrington";#N/A,#N/A,TRUE,"Widnes"}</definedName>
    <definedName name="yt" localSheetId="4" hidden="1">{#N/A,#N/A,TRUE,"Cover";#N/A,#N/A,TRUE,"Conts";#N/A,#N/A,TRUE,"VOS";#N/A,#N/A,TRUE,"Warrington";#N/A,#N/A,TRUE,"Widnes"}</definedName>
    <definedName name="yt" localSheetId="3" hidden="1">{#N/A,#N/A,TRUE,"Cover";#N/A,#N/A,TRUE,"Conts";#N/A,#N/A,TRUE,"VOS";#N/A,#N/A,TRUE,"Warrington";#N/A,#N/A,TRUE,"Widnes"}</definedName>
    <definedName name="yt" localSheetId="5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r" localSheetId="2" hidden="1">{#N/A,#N/A,FALSE,"估價單  (3)"}</definedName>
    <definedName name="ytr" localSheetId="1" hidden="1">{#N/A,#N/A,FALSE,"估價單  (3)"}</definedName>
    <definedName name="ytr" localSheetId="0" hidden="1">{#N/A,#N/A,FALSE,"估價單  (3)"}</definedName>
    <definedName name="ytr" localSheetId="4" hidden="1">{#N/A,#N/A,FALSE,"估價單  (3)"}</definedName>
    <definedName name="ytr" localSheetId="3" hidden="1">{#N/A,#N/A,FALSE,"估價單  (3)"}</definedName>
    <definedName name="ytr" localSheetId="5" hidden="1">{#N/A,#N/A,FALSE,"估價單  (3)"}</definedName>
    <definedName name="ytr" hidden="1">{#N/A,#N/A,FALSE,"估價單  (3)"}</definedName>
    <definedName name="ytr_1" localSheetId="2" hidden="1">{"'Break down'!$A$4"}</definedName>
    <definedName name="ytr_1" localSheetId="1" hidden="1">{"'Break down'!$A$4"}</definedName>
    <definedName name="ytr_1" localSheetId="0" hidden="1">{"'Break down'!$A$4"}</definedName>
    <definedName name="ytr_1" localSheetId="4" hidden="1">{"'Break down'!$A$4"}</definedName>
    <definedName name="ytr_1" localSheetId="3" hidden="1">{"'Break down'!$A$4"}</definedName>
    <definedName name="ytr_1" localSheetId="5" hidden="1">{"'Break down'!$A$4"}</definedName>
    <definedName name="ytr_1" hidden="1">{"'Break down'!$A$4"}</definedName>
    <definedName name="ytr_2" localSheetId="2" hidden="1">{"'Break down'!$A$4"}</definedName>
    <definedName name="ytr_2" localSheetId="1" hidden="1">{"'Break down'!$A$4"}</definedName>
    <definedName name="ytr_2" localSheetId="0" hidden="1">{"'Break down'!$A$4"}</definedName>
    <definedName name="ytr_2" localSheetId="4" hidden="1">{"'Break down'!$A$4"}</definedName>
    <definedName name="ytr_2" localSheetId="3" hidden="1">{"'Break down'!$A$4"}</definedName>
    <definedName name="ytr_2" localSheetId="5" hidden="1">{"'Break down'!$A$4"}</definedName>
    <definedName name="ytr_2" hidden="1">{"'Break down'!$A$4"}</definedName>
    <definedName name="yuti" localSheetId="2" hidden="1">{#N/A,#N/A,FALSE,"估價單  (3)"}</definedName>
    <definedName name="yuti" localSheetId="1" hidden="1">{#N/A,#N/A,FALSE,"估價單  (3)"}</definedName>
    <definedName name="yuti" localSheetId="0" hidden="1">{#N/A,#N/A,FALSE,"估價單  (3)"}</definedName>
    <definedName name="yuti" localSheetId="4" hidden="1">{#N/A,#N/A,FALSE,"估價單  (3)"}</definedName>
    <definedName name="yuti" localSheetId="3" hidden="1">{#N/A,#N/A,FALSE,"估價單  (3)"}</definedName>
    <definedName name="yuti" localSheetId="5" hidden="1">{#N/A,#N/A,FALSE,"估價單  (3)"}</definedName>
    <definedName name="yuti" hidden="1">{#N/A,#N/A,FALSE,"估價單  (3)"}</definedName>
    <definedName name="yyy" localSheetId="2" hidden="1">{#N/A,#N/A,TRUE,"Cover";#N/A,#N/A,TRUE,"Conts";#N/A,#N/A,TRUE,"VOS";#N/A,#N/A,TRUE,"Warrington";#N/A,#N/A,TRUE,"Widnes"}</definedName>
    <definedName name="yyy" localSheetId="1" hidden="1">{#N/A,#N/A,TRUE,"Cover";#N/A,#N/A,TRUE,"Conts";#N/A,#N/A,TRUE,"VOS";#N/A,#N/A,TRUE,"Warrington";#N/A,#N/A,TRUE,"Widnes"}</definedName>
    <definedName name="yyy" localSheetId="0" hidden="1">{#N/A,#N/A,TRUE,"Cover";#N/A,#N/A,TRUE,"Conts";#N/A,#N/A,TRUE,"VOS";#N/A,#N/A,TRUE,"Warrington";#N/A,#N/A,TRUE,"Widnes"}</definedName>
    <definedName name="yyy" localSheetId="4" hidden="1">{#N/A,#N/A,TRUE,"Cover";#N/A,#N/A,TRUE,"Conts";#N/A,#N/A,TRUE,"VOS";#N/A,#N/A,TRUE,"Warrington";#N/A,#N/A,TRUE,"Widnes"}</definedName>
    <definedName name="yyy" localSheetId="3" hidden="1">{#N/A,#N/A,TRUE,"Cover";#N/A,#N/A,TRUE,"Conts";#N/A,#N/A,TRUE,"VOS";#N/A,#N/A,TRUE,"Warrington";#N/A,#N/A,TRUE,"Widnes"}</definedName>
    <definedName name="yyy" localSheetId="5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" localSheetId="2">#REF!</definedName>
    <definedName name="z" localSheetId="1">#REF!</definedName>
    <definedName name="z" localSheetId="0">#REF!</definedName>
    <definedName name="z" localSheetId="4">#REF!</definedName>
    <definedName name="z" localSheetId="3">#REF!</definedName>
    <definedName name="z" localSheetId="5">#REF!</definedName>
    <definedName name="z">#REF!</definedName>
    <definedName name="zaed" localSheetId="2" hidden="1">{#N/A,#N/A,TRUE,"Cover";#N/A,#N/A,TRUE,"Conts";#N/A,#N/A,TRUE,"VOS";#N/A,#N/A,TRUE,"Warrington";#N/A,#N/A,TRUE,"Widnes"}</definedName>
    <definedName name="zaed" localSheetId="1" hidden="1">{#N/A,#N/A,TRUE,"Cover";#N/A,#N/A,TRUE,"Conts";#N/A,#N/A,TRUE,"VOS";#N/A,#N/A,TRUE,"Warrington";#N/A,#N/A,TRUE,"Widnes"}</definedName>
    <definedName name="zaed" localSheetId="0" hidden="1">{#N/A,#N/A,TRUE,"Cover";#N/A,#N/A,TRUE,"Conts";#N/A,#N/A,TRUE,"VOS";#N/A,#N/A,TRUE,"Warrington";#N/A,#N/A,TRUE,"Widnes"}</definedName>
    <definedName name="zaed" localSheetId="4" hidden="1">{#N/A,#N/A,TRUE,"Cover";#N/A,#N/A,TRUE,"Conts";#N/A,#N/A,TRUE,"VOS";#N/A,#N/A,TRUE,"Warrington";#N/A,#N/A,TRUE,"Widnes"}</definedName>
    <definedName name="zaed" localSheetId="3" hidden="1">{#N/A,#N/A,TRUE,"Cover";#N/A,#N/A,TRUE,"Conts";#N/A,#N/A,TRUE,"VOS";#N/A,#N/A,TRUE,"Warrington";#N/A,#N/A,TRUE,"Widnes"}</definedName>
    <definedName name="zaed" localSheetId="5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R" localSheetId="2">#REF!</definedName>
    <definedName name="ZAR" localSheetId="1">#REF!</definedName>
    <definedName name="ZAR" localSheetId="4">#REF!</definedName>
    <definedName name="ZAR" localSheetId="3">#REF!</definedName>
    <definedName name="ZAR" localSheetId="5">#REF!</definedName>
    <definedName name="ZAR">#REF!</definedName>
    <definedName name="ZCV" localSheetId="4">#REF!</definedName>
    <definedName name="ZCV" localSheetId="3">#REF!</definedName>
    <definedName name="ZCV" localSheetId="5">#REF!</definedName>
    <definedName name="ZCV">#REF!</definedName>
    <definedName name="ze" localSheetId="2">#REF!</definedName>
    <definedName name="ze" localSheetId="1">#REF!</definedName>
    <definedName name="ze" localSheetId="0">#REF!</definedName>
    <definedName name="ze" localSheetId="4">#REF!</definedName>
    <definedName name="ze" localSheetId="3">#REF!</definedName>
    <definedName name="ze" localSheetId="5">#REF!</definedName>
    <definedName name="ze">#REF!</definedName>
    <definedName name="Zip" localSheetId="2">#REF!</definedName>
    <definedName name="Zip" localSheetId="1">#REF!</definedName>
    <definedName name="Zip" localSheetId="0">#REF!</definedName>
    <definedName name="Zip" localSheetId="4">#REF!</definedName>
    <definedName name="Zip" localSheetId="3">#REF!</definedName>
    <definedName name="Zip" localSheetId="5">#REF!</definedName>
    <definedName name="Zip">#REF!</definedName>
    <definedName name="Zone_eff_dis" localSheetId="2">#REF!</definedName>
    <definedName name="Zone_eff_dis" localSheetId="1">#REF!</definedName>
    <definedName name="Zone_eff_dis" localSheetId="0">#REF!</definedName>
    <definedName name="Zone_eff_dis" localSheetId="4">#REF!</definedName>
    <definedName name="Zone_eff_dis" localSheetId="3">#REF!</definedName>
    <definedName name="Zone_eff_dis" localSheetId="5">#REF!</definedName>
    <definedName name="Zone_eff_dis">#REF!</definedName>
    <definedName name="Zone_impres_MI" localSheetId="2">#REF!</definedName>
    <definedName name="Zone_impres_MI" localSheetId="1">#REF!</definedName>
    <definedName name="Zone_impres_MI" localSheetId="0">#REF!</definedName>
    <definedName name="Zone_impres_MI" localSheetId="4">#REF!</definedName>
    <definedName name="Zone_impres_MI" localSheetId="3">#REF!</definedName>
    <definedName name="Zone_impres_MI" localSheetId="5">#REF!</definedName>
    <definedName name="Zone_impres_MI">#REF!</definedName>
    <definedName name="zone_saisie" localSheetId="2">#REF!,#REF!,#REF!,#REF!</definedName>
    <definedName name="zone_saisie" localSheetId="1">#REF!,#REF!,#REF!,#REF!</definedName>
    <definedName name="zone_saisie" localSheetId="0">#REF!,#REF!,#REF!,#REF!</definedName>
    <definedName name="zone_saisie" localSheetId="4">#REF!,#REF!,#REF!,#REF!</definedName>
    <definedName name="zone_saisie" localSheetId="3">#REF!,#REF!,#REF!,#REF!</definedName>
    <definedName name="zone_saisie" localSheetId="5">#REF!,#REF!,#REF!,#REF!</definedName>
    <definedName name="zone_saisie">#REF!,#REF!,#REF!,#REF!</definedName>
    <definedName name="zpr" localSheetId="2">#REF!</definedName>
    <definedName name="zpr" localSheetId="1">#REF!</definedName>
    <definedName name="zpr" localSheetId="0">#REF!</definedName>
    <definedName name="zpr" localSheetId="4">#REF!</definedName>
    <definedName name="zpr" localSheetId="3">#REF!</definedName>
    <definedName name="zpr" localSheetId="5">#REF!</definedName>
    <definedName name="zpr">#REF!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localSheetId="2">#REF!</definedName>
    <definedName name="zx" localSheetId="1">#REF!</definedName>
    <definedName name="zx" localSheetId="0">#REF!</definedName>
    <definedName name="zx" localSheetId="4">#REF!</definedName>
    <definedName name="zx" localSheetId="3">#REF!</definedName>
    <definedName name="zx" localSheetId="5">#REF!</definedName>
    <definedName name="zx">#REF!</definedName>
    <definedName name="zxdvzdv" localSheetId="2" hidden="1">{#N/A,#N/A,TRUE,"Cover";#N/A,#N/A,TRUE,"Conts";#N/A,#N/A,TRUE,"VOS";#N/A,#N/A,TRUE,"Warrington";#N/A,#N/A,TRUE,"Widnes"}</definedName>
    <definedName name="zxdvzdv" localSheetId="1" hidden="1">{#N/A,#N/A,TRUE,"Cover";#N/A,#N/A,TRUE,"Conts";#N/A,#N/A,TRUE,"VOS";#N/A,#N/A,TRUE,"Warrington";#N/A,#N/A,TRUE,"Widnes"}</definedName>
    <definedName name="zxdvzdv" localSheetId="0" hidden="1">{#N/A,#N/A,TRUE,"Cover";#N/A,#N/A,TRUE,"Conts";#N/A,#N/A,TRUE,"VOS";#N/A,#N/A,TRUE,"Warrington";#N/A,#N/A,TRUE,"Widnes"}</definedName>
    <definedName name="zxdvzdv" localSheetId="4" hidden="1">{#N/A,#N/A,TRUE,"Cover";#N/A,#N/A,TRUE,"Conts";#N/A,#N/A,TRUE,"VOS";#N/A,#N/A,TRUE,"Warrington";#N/A,#N/A,TRUE,"Widnes"}</definedName>
    <definedName name="zxdvzdv" localSheetId="3" hidden="1">{#N/A,#N/A,TRUE,"Cover";#N/A,#N/A,TRUE,"Conts";#N/A,#N/A,TRUE,"VOS";#N/A,#N/A,TRUE,"Warrington";#N/A,#N/A,TRUE,"Widnes"}</definedName>
    <definedName name="zxdvzdv" localSheetId="5" hidden="1">{#N/A,#N/A,TRUE,"Cover";#N/A,#N/A,TRUE,"Conts";#N/A,#N/A,TRUE,"VOS";#N/A,#N/A,TRUE,"Warrington";#N/A,#N/A,TRUE,"Widnes"}</definedName>
    <definedName name="zxdvzdv" hidden="1">{#N/A,#N/A,TRUE,"Cover";#N/A,#N/A,TRUE,"Conts";#N/A,#N/A,TRUE,"VOS";#N/A,#N/A,TRUE,"Warrington";#N/A,#N/A,TRUE,"Widnes"}</definedName>
    <definedName name="zxv" localSheetId="2" hidden="1">{#N/A,#N/A,FALSE,"估價單  (3)"}</definedName>
    <definedName name="zxv" localSheetId="1" hidden="1">{#N/A,#N/A,FALSE,"估價單  (3)"}</definedName>
    <definedName name="zxv" localSheetId="0" hidden="1">{#N/A,#N/A,FALSE,"估價單  (3)"}</definedName>
    <definedName name="zxv" localSheetId="4" hidden="1">{#N/A,#N/A,FALSE,"估價單  (3)"}</definedName>
    <definedName name="zxv" localSheetId="3" hidden="1">{#N/A,#N/A,FALSE,"估價單  (3)"}</definedName>
    <definedName name="zxv" localSheetId="5" hidden="1">{#N/A,#N/A,FALSE,"估價單  (3)"}</definedName>
    <definedName name="zxv" hidden="1">{#N/A,#N/A,FALSE,"估價單  (3)"}</definedName>
    <definedName name="zy" localSheetId="2">#REF!</definedName>
    <definedName name="zy" localSheetId="1">#REF!</definedName>
    <definedName name="zy" localSheetId="0">#REF!</definedName>
    <definedName name="zy" localSheetId="4">#REF!</definedName>
    <definedName name="zy" localSheetId="3">#REF!</definedName>
    <definedName name="zy" localSheetId="5">#REF!</definedName>
    <definedName name="zy">#REF!</definedName>
    <definedName name="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2" hidden="1">{#N/A,#N/A,TRUE,"Cover";#N/A,#N/A,TRUE,"Conts";#N/A,#N/A,TRUE,"VOS";#N/A,#N/A,TRUE,"Warrington";#N/A,#N/A,TRUE,"Widnes"}</definedName>
    <definedName name="zzz" localSheetId="1" hidden="1">{#N/A,#N/A,TRUE,"Cover";#N/A,#N/A,TRUE,"Conts";#N/A,#N/A,TRUE,"VOS";#N/A,#N/A,TRUE,"Warrington";#N/A,#N/A,TRUE,"Widnes"}</definedName>
    <definedName name="zzz" localSheetId="0" hidden="1">{#N/A,#N/A,TRUE,"Cover";#N/A,#N/A,TRUE,"Conts";#N/A,#N/A,TRUE,"VOS";#N/A,#N/A,TRUE,"Warrington";#N/A,#N/A,TRUE,"Widnes"}</definedName>
    <definedName name="zzz" localSheetId="4" hidden="1">{#N/A,#N/A,TRUE,"Cover";#N/A,#N/A,TRUE,"Conts";#N/A,#N/A,TRUE,"VOS";#N/A,#N/A,TRUE,"Warrington";#N/A,#N/A,TRUE,"Widnes"}</definedName>
    <definedName name="zzz" localSheetId="3" hidden="1">{#N/A,#N/A,TRUE,"Cover";#N/A,#N/A,TRUE,"Conts";#N/A,#N/A,TRUE,"VOS";#N/A,#N/A,TRUE,"Warrington";#N/A,#N/A,TRUE,"Widnes"}</definedName>
    <definedName name="zzz" localSheetId="5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  <definedName name="zzzzzz" localSheetId="5">#REF!</definedName>
    <definedName name="zzzzzz">#REF!</definedName>
    <definedName name="zzzzzzzzzzzz" localSheetId="4" hidden="1">#REF!</definedName>
    <definedName name="zzzzzzzzzzzz" localSheetId="3" hidden="1">#REF!</definedName>
    <definedName name="zzzzzzzzzzzz" localSheetId="5" hidden="1">#REF!</definedName>
    <definedName name="zzzzzzzzzzzz" hidden="1">#REF!</definedName>
    <definedName name="건축" localSheetId="2">#REF!</definedName>
    <definedName name="건축" localSheetId="1">#REF!</definedName>
    <definedName name="건축" localSheetId="0">#REF!</definedName>
    <definedName name="건축" localSheetId="4">#REF!</definedName>
    <definedName name="건축" localSheetId="3">#REF!</definedName>
    <definedName name="건축" localSheetId="5">#REF!</definedName>
    <definedName name="건축">#REF!</definedName>
    <definedName name="공종" localSheetId="2">#REF!</definedName>
    <definedName name="공종" localSheetId="1">#REF!</definedName>
    <definedName name="공종" localSheetId="0">#REF!</definedName>
    <definedName name="공종" localSheetId="4">#REF!</definedName>
    <definedName name="공종" localSheetId="3">#REF!</definedName>
    <definedName name="공종" localSheetId="5">#REF!</definedName>
    <definedName name="공종">#REF!</definedName>
    <definedName name="구분" localSheetId="2">#REF!</definedName>
    <definedName name="구분" localSheetId="1">#REF!</definedName>
    <definedName name="구분" localSheetId="0">#REF!</definedName>
    <definedName name="구분" localSheetId="4">#REF!</definedName>
    <definedName name="구분" localSheetId="3">#REF!</definedName>
    <definedName name="구분" localSheetId="5">#REF!</definedName>
    <definedName name="구분">#REF!</definedName>
    <definedName name="기계" localSheetId="2">#REF!</definedName>
    <definedName name="기계" localSheetId="1">#REF!</definedName>
    <definedName name="기계" localSheetId="0">#REF!</definedName>
    <definedName name="기계" localSheetId="4">#REF!</definedName>
    <definedName name="기계" localSheetId="3">#REF!</definedName>
    <definedName name="기계" localSheetId="5">#REF!</definedName>
    <definedName name="기계">#REF!</definedName>
    <definedName name="기타" localSheetId="2">#REF!</definedName>
    <definedName name="기타" localSheetId="1">#REF!</definedName>
    <definedName name="기타" localSheetId="0">#REF!</definedName>
    <definedName name="기타" localSheetId="4">#REF!</definedName>
    <definedName name="기타" localSheetId="3">#REF!</definedName>
    <definedName name="기타" localSheetId="5">#REF!</definedName>
    <definedName name="기타">#REF!</definedName>
    <definedName name="뚜껑" localSheetId="0">#REF!</definedName>
    <definedName name="뚜껑" localSheetId="4">#REF!</definedName>
    <definedName name="뚜껑" localSheetId="3">#REF!</definedName>
    <definedName name="뚜껑" localSheetId="5">#REF!</definedName>
    <definedName name="뚜껑">#REF!</definedName>
    <definedName name="사진" localSheetId="2">#REF!</definedName>
    <definedName name="사진" localSheetId="1">#REF!</definedName>
    <definedName name="사진" localSheetId="0">#REF!</definedName>
    <definedName name="사진" localSheetId="4">#REF!</definedName>
    <definedName name="사진" localSheetId="3">#REF!</definedName>
    <definedName name="사진" localSheetId="5">#REF!</definedName>
    <definedName name="사진">#REF!</definedName>
    <definedName name="소모비" localSheetId="2">#REF!</definedName>
    <definedName name="소모비" localSheetId="1">#REF!</definedName>
    <definedName name="소모비" localSheetId="0">#REF!</definedName>
    <definedName name="소모비" localSheetId="4">#REF!</definedName>
    <definedName name="소모비" localSheetId="3">#REF!</definedName>
    <definedName name="소모비" localSheetId="5">#REF!</definedName>
    <definedName name="소모비">#REF!</definedName>
    <definedName name="작업계획" localSheetId="2">#REF!</definedName>
    <definedName name="작업계획" localSheetId="1">#REF!</definedName>
    <definedName name="작업계획" localSheetId="0">#REF!</definedName>
    <definedName name="작업계획" localSheetId="4">#REF!</definedName>
    <definedName name="작업계획" localSheetId="3">#REF!</definedName>
    <definedName name="작업계획" localSheetId="5">#REF!</definedName>
    <definedName name="작업계획">#REF!</definedName>
    <definedName name="저층부공내역" localSheetId="2" hidden="1">{#N/A,#N/A,FALSE,"估價單  (3)"}</definedName>
    <definedName name="저층부공내역" localSheetId="1" hidden="1">{#N/A,#N/A,FALSE,"估價單  (3)"}</definedName>
    <definedName name="저층부공내역" localSheetId="0" hidden="1">{#N/A,#N/A,FALSE,"估價單  (3)"}</definedName>
    <definedName name="저층부공내역" localSheetId="4" hidden="1">{#N/A,#N/A,FALSE,"估價單  (3)"}</definedName>
    <definedName name="저층부공내역" localSheetId="3" hidden="1">{#N/A,#N/A,FALSE,"估價單  (3)"}</definedName>
    <definedName name="저층부공내역" localSheetId="5" hidden="1">{#N/A,#N/A,FALSE,"估價單  (3)"}</definedName>
    <definedName name="저층부공내역" hidden="1">{#N/A,#N/A,FALSE,"估價單  (3)"}</definedName>
    <definedName name="저층부금액" localSheetId="2" hidden="1">{#N/A,#N/A,FALSE,"估價單  (3)"}</definedName>
    <definedName name="저층부금액" localSheetId="1" hidden="1">{#N/A,#N/A,FALSE,"估價單  (3)"}</definedName>
    <definedName name="저층부금액" localSheetId="0" hidden="1">{#N/A,#N/A,FALSE,"估價單  (3)"}</definedName>
    <definedName name="저층부금액" localSheetId="4" hidden="1">{#N/A,#N/A,FALSE,"估價單  (3)"}</definedName>
    <definedName name="저층부금액" localSheetId="3" hidden="1">{#N/A,#N/A,FALSE,"估價單  (3)"}</definedName>
    <definedName name="저층부금액" localSheetId="5" hidden="1">{#N/A,#N/A,FALSE,"估價單  (3)"}</definedName>
    <definedName name="저층부금액" hidden="1">{#N/A,#N/A,FALSE,"估價單  (3)"}</definedName>
    <definedName name="저층부금액1" localSheetId="2" hidden="1">{#N/A,#N/A,FALSE,"估價單  (3)"}</definedName>
    <definedName name="저층부금액1" localSheetId="1" hidden="1">{#N/A,#N/A,FALSE,"估價單  (3)"}</definedName>
    <definedName name="저층부금액1" localSheetId="0" hidden="1">{#N/A,#N/A,FALSE,"估價單  (3)"}</definedName>
    <definedName name="저층부금액1" localSheetId="4" hidden="1">{#N/A,#N/A,FALSE,"估價單  (3)"}</definedName>
    <definedName name="저층부금액1" localSheetId="3" hidden="1">{#N/A,#N/A,FALSE,"估價單  (3)"}</definedName>
    <definedName name="저층부금액1" localSheetId="5" hidden="1">{#N/A,#N/A,FALSE,"估價單  (3)"}</definedName>
    <definedName name="저층부금액1" hidden="1">{#N/A,#N/A,FALSE,"估價單  (3)"}</definedName>
    <definedName name="전기계장" localSheetId="2">#REF!</definedName>
    <definedName name="전기계장" localSheetId="1">#REF!</definedName>
    <definedName name="전기계장" localSheetId="0">#REF!</definedName>
    <definedName name="전기계장" localSheetId="4">#REF!</definedName>
    <definedName name="전기계장" localSheetId="3">#REF!</definedName>
    <definedName name="전기계장" localSheetId="5">#REF!</definedName>
    <definedName name="전기계장">#REF!</definedName>
    <definedName name="중기" localSheetId="2">#REF!</definedName>
    <definedName name="중기" localSheetId="1">#REF!</definedName>
    <definedName name="중기" localSheetId="0">#REF!</definedName>
    <definedName name="중기" localSheetId="4">#REF!</definedName>
    <definedName name="중기" localSheetId="3">#REF!</definedName>
    <definedName name="중기" localSheetId="5">#REF!</definedName>
    <definedName name="중기">#REF!</definedName>
    <definedName name="집계SHEET" localSheetId="2">#REF!</definedName>
    <definedName name="집계SHEET" localSheetId="1">#REF!</definedName>
    <definedName name="집계SHEET" localSheetId="4">#REF!</definedName>
    <definedName name="집계SHEET" localSheetId="3">#REF!</definedName>
    <definedName name="집계SHEET" localSheetId="5">#REF!</definedName>
    <definedName name="집계SHEET">#REF!</definedName>
    <definedName name="ㅌ" localSheetId="2">#REF!</definedName>
    <definedName name="ㅌ" localSheetId="1">#REF!</definedName>
    <definedName name="ㅌ" localSheetId="4">#REF!</definedName>
    <definedName name="ㅌ" localSheetId="3">#REF!</definedName>
    <definedName name="ㅌ" localSheetId="5">#REF!</definedName>
    <definedName name="ㅌ">#REF!</definedName>
    <definedName name="토목" localSheetId="2">#REF!</definedName>
    <definedName name="토목" localSheetId="1">#REF!</definedName>
    <definedName name="토목" localSheetId="0">#REF!</definedName>
    <definedName name="토목" localSheetId="4">#REF!</definedName>
    <definedName name="토목" localSheetId="3">#REF!</definedName>
    <definedName name="토목" localSheetId="5">#REF!</definedName>
    <definedName name="토목">#REF!</definedName>
    <definedName name="표지1" localSheetId="2">#REF!</definedName>
    <definedName name="표지1" localSheetId="1">#REF!</definedName>
    <definedName name="표지1" localSheetId="0">#REF!</definedName>
    <definedName name="표지1" localSheetId="4">#REF!</definedName>
    <definedName name="표지1" localSheetId="3">#REF!</definedName>
    <definedName name="표지1" localSheetId="5">#REF!</definedName>
    <definedName name="표지1">#REF!</definedName>
    <definedName name="估價單" localSheetId="2" hidden="1">{#N/A,#N/A,FALSE,"估價單  (3)"}</definedName>
    <definedName name="估價單" localSheetId="1" hidden="1">{#N/A,#N/A,FALSE,"估價單  (3)"}</definedName>
    <definedName name="估價單" localSheetId="0" hidden="1">{#N/A,#N/A,FALSE,"估價單  (3)"}</definedName>
    <definedName name="估價單" localSheetId="4" hidden="1">{#N/A,#N/A,FALSE,"估價單  (3)"}</definedName>
    <definedName name="估價單" localSheetId="3" hidden="1">{#N/A,#N/A,FALSE,"估價單  (3)"}</definedName>
    <definedName name="估價單" localSheetId="5" hidden="1">{#N/A,#N/A,FALSE,"估價單  (3)"}</definedName>
    <definedName name="估價單" hidden="1">{#N/A,#N/A,FALSE,"估價單  (3)"}</definedName>
    <definedName name="成本" localSheetId="2" hidden="1">{#N/A,#N/A,FALSE,"估價單  (3)"}</definedName>
    <definedName name="成本" localSheetId="1" hidden="1">{#N/A,#N/A,FALSE,"估價單  (3)"}</definedName>
    <definedName name="成本" localSheetId="0" hidden="1">{#N/A,#N/A,FALSE,"估價單  (3)"}</definedName>
    <definedName name="成本" localSheetId="4" hidden="1">{#N/A,#N/A,FALSE,"估價單  (3)"}</definedName>
    <definedName name="成本" localSheetId="3" hidden="1">{#N/A,#N/A,FALSE,"估價單  (3)"}</definedName>
    <definedName name="成本" localSheetId="5" hidden="1">{#N/A,#N/A,FALSE,"估價單  (3)"}</definedName>
    <definedName name="成本" hidden="1">{#N/A,#N/A,FALSE,"估價單  (3)"}</definedName>
    <definedName name="汇总" localSheetId="2" hidden="1">{#N/A,#N/A,FALSE,"估價單  (3)"}</definedName>
    <definedName name="汇总" localSheetId="1" hidden="1">{#N/A,#N/A,FALSE,"估價單  (3)"}</definedName>
    <definedName name="汇总" localSheetId="0" hidden="1">{#N/A,#N/A,FALSE,"估價單  (3)"}</definedName>
    <definedName name="汇总" localSheetId="4" hidden="1">{#N/A,#N/A,FALSE,"估價單  (3)"}</definedName>
    <definedName name="汇总" localSheetId="3" hidden="1">{#N/A,#N/A,FALSE,"估價單  (3)"}</definedName>
    <definedName name="汇总" localSheetId="5" hidden="1">{#N/A,#N/A,FALSE,"估價單  (3)"}</definedName>
    <definedName name="汇总" hidden="1">{#N/A,#N/A,FALSE,"估價單  (3)"}</definedName>
    <definedName name="汇总表" localSheetId="2" hidden="1">{#N/A,#N/A,FALSE,"估價單  (3)"}</definedName>
    <definedName name="汇总表" localSheetId="1" hidden="1">{#N/A,#N/A,FALSE,"估價單  (3)"}</definedName>
    <definedName name="汇总表" localSheetId="0" hidden="1">{#N/A,#N/A,FALSE,"估價單  (3)"}</definedName>
    <definedName name="汇总表" localSheetId="4" hidden="1">{#N/A,#N/A,FALSE,"估價單  (3)"}</definedName>
    <definedName name="汇总表" localSheetId="3" hidden="1">{#N/A,#N/A,FALSE,"估價單  (3)"}</definedName>
    <definedName name="汇总表" localSheetId="5" hidden="1">{#N/A,#N/A,FALSE,"估價單  (3)"}</definedName>
    <definedName name="汇总表" hidden="1">{#N/A,#N/A,FALSE,"估價單  (3)"}</definedName>
    <definedName name="空調労務割掛">#N/A</definedName>
    <definedName name="空調継手・支持金物" localSheetId="5">#REF!</definedName>
    <definedName name="空調継手・支持金物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2" l="1"/>
  <c r="J15" i="52"/>
  <c r="K15" i="52"/>
  <c r="L15" i="52"/>
  <c r="M15" i="52"/>
  <c r="N15" i="52"/>
  <c r="O15" i="52"/>
  <c r="P15" i="52"/>
  <c r="Q15" i="52"/>
  <c r="R15" i="52"/>
  <c r="S15" i="52"/>
  <c r="T15" i="52"/>
  <c r="U15" i="52"/>
  <c r="V15" i="52"/>
  <c r="W15" i="52"/>
  <c r="X15" i="52"/>
  <c r="Y15" i="52"/>
  <c r="Z15" i="52"/>
  <c r="AA15" i="52"/>
  <c r="AB15" i="52"/>
  <c r="AC15" i="52"/>
  <c r="AD15" i="52"/>
  <c r="AE15" i="52"/>
  <c r="AF15" i="52"/>
  <c r="AG15" i="52"/>
  <c r="AH15" i="52"/>
  <c r="AI15" i="52"/>
  <c r="AJ15" i="52"/>
  <c r="AK15" i="52"/>
  <c r="AL15" i="52"/>
  <c r="AM15" i="52"/>
  <c r="AN15" i="52"/>
  <c r="AO15" i="52"/>
  <c r="AP15" i="52"/>
  <c r="AQ15" i="52"/>
  <c r="AR15" i="52"/>
  <c r="AS15" i="52"/>
  <c r="AT15" i="52"/>
  <c r="AU15" i="52"/>
  <c r="AV15" i="52"/>
  <c r="AW15" i="52"/>
  <c r="AX15" i="52"/>
  <c r="AY15" i="52"/>
  <c r="AZ15" i="52"/>
  <c r="BA15" i="52"/>
  <c r="BB15" i="52"/>
  <c r="BC15" i="52"/>
  <c r="BD15" i="52"/>
  <c r="BE15" i="52"/>
  <c r="BF15" i="52"/>
  <c r="BG15" i="52"/>
  <c r="D44" i="51"/>
  <c r="C44" i="51"/>
  <c r="D43" i="51"/>
  <c r="C43" i="51"/>
  <c r="D42" i="51"/>
  <c r="C42" i="51"/>
  <c r="BG8" i="52"/>
  <c r="BF8" i="52"/>
  <c r="BE8" i="52"/>
  <c r="BD8" i="52"/>
  <c r="BC8" i="52"/>
  <c r="BB8" i="52"/>
  <c r="BA8" i="52"/>
  <c r="AZ8" i="52"/>
  <c r="AY8" i="52"/>
  <c r="AX8" i="52"/>
  <c r="AW8" i="52"/>
  <c r="AV8" i="52"/>
  <c r="AU8" i="52"/>
  <c r="AT8" i="52"/>
  <c r="AS8" i="52"/>
  <c r="AR8" i="52"/>
  <c r="AQ8" i="52"/>
  <c r="AP8" i="52"/>
  <c r="AO8" i="52"/>
  <c r="AN8" i="52"/>
  <c r="AM8" i="52"/>
  <c r="AL8" i="52"/>
  <c r="AK8" i="52"/>
  <c r="AJ8" i="52"/>
  <c r="AI8" i="52"/>
  <c r="AH8" i="52"/>
  <c r="AG8" i="52"/>
  <c r="AF8" i="52"/>
  <c r="AE8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BG7" i="52"/>
  <c r="BF7" i="52"/>
  <c r="BE7" i="52"/>
  <c r="BD7" i="52"/>
  <c r="BC7" i="52"/>
  <c r="BB7" i="52"/>
  <c r="BA7" i="52"/>
  <c r="AZ7" i="52"/>
  <c r="AY7" i="52"/>
  <c r="AX7" i="52"/>
  <c r="AW7" i="52"/>
  <c r="AV7" i="52"/>
  <c r="AU7" i="52"/>
  <c r="AT7" i="52"/>
  <c r="AS7" i="52"/>
  <c r="AR7" i="52"/>
  <c r="AQ7" i="52"/>
  <c r="AP7" i="52"/>
  <c r="AO7" i="52"/>
  <c r="AN7" i="52"/>
  <c r="AM7" i="52"/>
  <c r="AL7" i="52"/>
  <c r="AK7" i="52"/>
  <c r="AJ7" i="52"/>
  <c r="AI7" i="52"/>
  <c r="AH7" i="52"/>
  <c r="AG7" i="52"/>
  <c r="AF7" i="52"/>
  <c r="AE7" i="52"/>
  <c r="AD7" i="52"/>
  <c r="AC7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BG6" i="52"/>
  <c r="BF6" i="52"/>
  <c r="BE6" i="52"/>
  <c r="BD6" i="52"/>
  <c r="BC6" i="52"/>
  <c r="BB6" i="52"/>
  <c r="BA6" i="52"/>
  <c r="AZ6" i="52"/>
  <c r="AY6" i="52"/>
  <c r="AX6" i="52"/>
  <c r="AW6" i="52"/>
  <c r="AV6" i="52"/>
  <c r="AU6" i="52"/>
  <c r="AT6" i="52"/>
  <c r="AS6" i="52"/>
  <c r="AR6" i="52"/>
  <c r="AQ6" i="52"/>
  <c r="AP6" i="52"/>
  <c r="AO6" i="52"/>
  <c r="AN6" i="52"/>
  <c r="AM6" i="52"/>
  <c r="AL6" i="52"/>
  <c r="AK6" i="52"/>
  <c r="AJ6" i="52"/>
  <c r="AI6" i="52"/>
  <c r="AH6" i="52"/>
  <c r="AG6" i="52"/>
  <c r="AF6" i="52"/>
  <c r="AE6" i="52"/>
  <c r="AD6" i="52"/>
  <c r="AC6" i="52"/>
  <c r="AB6" i="52"/>
  <c r="AA6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F67" i="51"/>
  <c r="H15" i="52" l="1"/>
  <c r="H7" i="52"/>
  <c r="H8" i="52"/>
  <c r="H6" i="52"/>
  <c r="BG30" i="52" l="1"/>
  <c r="BF30" i="52"/>
  <c r="BE30" i="52"/>
  <c r="BD30" i="52"/>
  <c r="BC30" i="52"/>
  <c r="BG28" i="52"/>
  <c r="BF28" i="52"/>
  <c r="BE28" i="52"/>
  <c r="BD28" i="52"/>
  <c r="BC28" i="52"/>
  <c r="BB28" i="52"/>
  <c r="BA28" i="52"/>
  <c r="AZ28" i="52"/>
  <c r="AY28" i="52"/>
  <c r="AX28" i="52"/>
  <c r="BG27" i="52"/>
  <c r="BF27" i="52"/>
  <c r="BE27" i="52"/>
  <c r="BD27" i="52"/>
  <c r="BC27" i="52"/>
  <c r="BB27" i="52"/>
  <c r="BA27" i="52"/>
  <c r="AZ27" i="52"/>
  <c r="AY27" i="52"/>
  <c r="AX27" i="52"/>
  <c r="BG26" i="52"/>
  <c r="BF26" i="52"/>
  <c r="BE26" i="52"/>
  <c r="BD26" i="52"/>
  <c r="BC26" i="52"/>
  <c r="BB26" i="52"/>
  <c r="BA26" i="52"/>
  <c r="AZ26" i="52"/>
  <c r="AY26" i="52"/>
  <c r="AX26" i="52"/>
  <c r="BG25" i="52"/>
  <c r="BF25" i="52"/>
  <c r="BE25" i="52"/>
  <c r="BD25" i="52"/>
  <c r="BC25" i="52"/>
  <c r="BB25" i="52"/>
  <c r="BA25" i="52"/>
  <c r="AZ25" i="52"/>
  <c r="AY25" i="52"/>
  <c r="AX25" i="52"/>
  <c r="BG24" i="52"/>
  <c r="BF24" i="52"/>
  <c r="BE24" i="52"/>
  <c r="BD24" i="52"/>
  <c r="BC24" i="52"/>
  <c r="BB24" i="52"/>
  <c r="BA24" i="52"/>
  <c r="AZ24" i="52"/>
  <c r="AY24" i="52"/>
  <c r="AX24" i="52"/>
  <c r="BG23" i="52"/>
  <c r="BF23" i="52"/>
  <c r="BE23" i="52"/>
  <c r="BD23" i="52"/>
  <c r="BC23" i="52"/>
  <c r="BB23" i="52"/>
  <c r="BA23" i="52"/>
  <c r="AZ23" i="52"/>
  <c r="AY23" i="52"/>
  <c r="AX23" i="52"/>
  <c r="BG22" i="52"/>
  <c r="BF22" i="52"/>
  <c r="BE22" i="52"/>
  <c r="BD22" i="52"/>
  <c r="BC22" i="52"/>
  <c r="BB22" i="52"/>
  <c r="BA22" i="52"/>
  <c r="AZ22" i="52"/>
  <c r="AY22" i="52"/>
  <c r="AX22" i="52"/>
  <c r="BG21" i="52"/>
  <c r="BF21" i="52"/>
  <c r="BE21" i="52"/>
  <c r="BD21" i="52"/>
  <c r="BC21" i="52"/>
  <c r="BB21" i="52"/>
  <c r="BA21" i="52"/>
  <c r="AZ21" i="52"/>
  <c r="AY21" i="52"/>
  <c r="AX21" i="52"/>
  <c r="BG20" i="52"/>
  <c r="BF20" i="52"/>
  <c r="BE20" i="52"/>
  <c r="BD20" i="52"/>
  <c r="BC20" i="52"/>
  <c r="BB20" i="52"/>
  <c r="BA20" i="52"/>
  <c r="AZ20" i="52"/>
  <c r="AY20" i="52"/>
  <c r="AX20" i="52"/>
  <c r="BG19" i="52"/>
  <c r="BF19" i="52"/>
  <c r="BE19" i="52"/>
  <c r="BD19" i="52"/>
  <c r="BC19" i="52"/>
  <c r="BB19" i="52"/>
  <c r="BA19" i="52"/>
  <c r="AZ19" i="52"/>
  <c r="AY19" i="52"/>
  <c r="AX19" i="52"/>
  <c r="BG18" i="52"/>
  <c r="BF18" i="52"/>
  <c r="BE18" i="52"/>
  <c r="BD18" i="52"/>
  <c r="BC18" i="52"/>
  <c r="BB18" i="52"/>
  <c r="BA18" i="52"/>
  <c r="AZ18" i="52"/>
  <c r="AY18" i="52"/>
  <c r="AX18" i="52"/>
  <c r="BG17" i="52"/>
  <c r="BF17" i="52"/>
  <c r="BE17" i="52"/>
  <c r="BD17" i="52"/>
  <c r="BC17" i="52"/>
  <c r="BB17" i="52"/>
  <c r="BA17" i="52"/>
  <c r="AZ17" i="52"/>
  <c r="AY17" i="52"/>
  <c r="AX17" i="52"/>
  <c r="BG16" i="52"/>
  <c r="BF16" i="52"/>
  <c r="BE16" i="52"/>
  <c r="BD16" i="52"/>
  <c r="BC16" i="52"/>
  <c r="BB16" i="52"/>
  <c r="BA16" i="52"/>
  <c r="AZ16" i="52"/>
  <c r="AY16" i="52"/>
  <c r="AX16" i="52"/>
  <c r="BG14" i="52"/>
  <c r="BF14" i="52"/>
  <c r="BE14" i="52"/>
  <c r="BD14" i="52"/>
  <c r="BC14" i="52"/>
  <c r="BB14" i="52"/>
  <c r="BA14" i="52"/>
  <c r="AZ14" i="52"/>
  <c r="AY14" i="52"/>
  <c r="AX14" i="52"/>
  <c r="BG13" i="52"/>
  <c r="BF13" i="52"/>
  <c r="BE13" i="52"/>
  <c r="BD13" i="52"/>
  <c r="BC13" i="52"/>
  <c r="BB13" i="52"/>
  <c r="BA13" i="52"/>
  <c r="AZ13" i="52"/>
  <c r="AY13" i="52"/>
  <c r="AX13" i="52"/>
  <c r="BG12" i="52"/>
  <c r="BF12" i="52"/>
  <c r="BE12" i="52"/>
  <c r="BD12" i="52"/>
  <c r="BC12" i="52"/>
  <c r="BB12" i="52"/>
  <c r="BA12" i="52"/>
  <c r="AZ12" i="52"/>
  <c r="AY12" i="52"/>
  <c r="AX12" i="52"/>
  <c r="BG11" i="52"/>
  <c r="BF11" i="52"/>
  <c r="BE11" i="52"/>
  <c r="BD11" i="52"/>
  <c r="BC11" i="52"/>
  <c r="BB11" i="52"/>
  <c r="BA11" i="52"/>
  <c r="AZ11" i="52"/>
  <c r="AY11" i="52"/>
  <c r="AX11" i="52"/>
  <c r="BG10" i="52"/>
  <c r="BF10" i="52"/>
  <c r="BE10" i="52"/>
  <c r="BD10" i="52"/>
  <c r="BC10" i="52"/>
  <c r="BB10" i="52"/>
  <c r="BA10" i="52"/>
  <c r="AZ10" i="52"/>
  <c r="AY10" i="52"/>
  <c r="AX10" i="52"/>
  <c r="BG9" i="52"/>
  <c r="BF9" i="52"/>
  <c r="BE9" i="52"/>
  <c r="BD9" i="52"/>
  <c r="BC9" i="52"/>
  <c r="BB9" i="52"/>
  <c r="BA9" i="52"/>
  <c r="AZ9" i="52"/>
  <c r="AY9" i="52"/>
  <c r="AX9" i="52"/>
  <c r="BG5" i="52"/>
  <c r="BF5" i="52"/>
  <c r="BE5" i="52"/>
  <c r="BD5" i="52"/>
  <c r="BC5" i="52"/>
  <c r="BB5" i="52"/>
  <c r="BA5" i="52"/>
  <c r="AZ5" i="52"/>
  <c r="AY5" i="52"/>
  <c r="AX5" i="52"/>
  <c r="E67" i="51"/>
  <c r="I30" i="52" s="1"/>
  <c r="BC29" i="52" l="1"/>
  <c r="AY29" i="52"/>
  <c r="AZ29" i="52"/>
  <c r="BB29" i="52"/>
  <c r="BA29" i="52"/>
  <c r="BD29" i="52"/>
  <c r="BE29" i="52"/>
  <c r="AX29" i="52"/>
  <c r="BF29" i="52"/>
  <c r="BG29" i="52"/>
  <c r="G29" i="52"/>
  <c r="D66" i="51"/>
  <c r="D65" i="51"/>
  <c r="D64" i="51"/>
  <c r="D63" i="51"/>
  <c r="D62" i="51"/>
  <c r="D61" i="51"/>
  <c r="D60" i="51"/>
  <c r="D59" i="51"/>
  <c r="D58" i="51"/>
  <c r="D57" i="51"/>
  <c r="D56" i="51"/>
  <c r="D55" i="51"/>
  <c r="D54" i="51"/>
  <c r="D53" i="51"/>
  <c r="D52" i="51"/>
  <c r="D51" i="51"/>
  <c r="D50" i="51"/>
  <c r="D49" i="51"/>
  <c r="D48" i="51"/>
  <c r="D47" i="51"/>
  <c r="D46" i="51"/>
  <c r="D45" i="51"/>
  <c r="D41" i="51"/>
  <c r="AW11" i="52"/>
  <c r="AV11" i="52"/>
  <c r="AU11" i="52"/>
  <c r="AT11" i="52"/>
  <c r="AS11" i="52"/>
  <c r="AR11" i="52"/>
  <c r="AQ11" i="52"/>
  <c r="AP11" i="52"/>
  <c r="AO11" i="52"/>
  <c r="AN11" i="52"/>
  <c r="AM11" i="52"/>
  <c r="AL11" i="52"/>
  <c r="AK11" i="52"/>
  <c r="AJ11" i="52"/>
  <c r="AI11" i="52"/>
  <c r="AH11" i="52"/>
  <c r="AG11" i="52"/>
  <c r="AF11" i="52"/>
  <c r="AE11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AW10" i="52"/>
  <c r="AV10" i="52"/>
  <c r="AU10" i="52"/>
  <c r="AT10" i="52"/>
  <c r="AS10" i="52"/>
  <c r="AR10" i="52"/>
  <c r="AQ10" i="52"/>
  <c r="AP10" i="52"/>
  <c r="AO10" i="52"/>
  <c r="AN10" i="52"/>
  <c r="AM10" i="52"/>
  <c r="AL10" i="52"/>
  <c r="AK10" i="52"/>
  <c r="AJ10" i="52"/>
  <c r="AI10" i="52"/>
  <c r="AH10" i="52"/>
  <c r="AG10" i="52"/>
  <c r="AF10" i="52"/>
  <c r="AE10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AW9" i="52"/>
  <c r="AV9" i="52"/>
  <c r="AU9" i="52"/>
  <c r="AT9" i="52"/>
  <c r="AS9" i="52"/>
  <c r="AR9" i="52"/>
  <c r="AQ9" i="52"/>
  <c r="AP9" i="52"/>
  <c r="AO9" i="52"/>
  <c r="AN9" i="52"/>
  <c r="AM9" i="52"/>
  <c r="AL9" i="52"/>
  <c r="AK9" i="52"/>
  <c r="AJ9" i="52"/>
  <c r="AI9" i="52"/>
  <c r="AH9" i="52"/>
  <c r="AG9" i="52"/>
  <c r="AF9" i="52"/>
  <c r="AE9" i="52"/>
  <c r="AD9" i="52"/>
  <c r="AC9" i="52"/>
  <c r="AB9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J30" i="52"/>
  <c r="G67" i="51"/>
  <c r="K30" i="52" s="1"/>
  <c r="H67" i="51"/>
  <c r="L30" i="52" s="1"/>
  <c r="I67" i="51"/>
  <c r="M30" i="52" s="1"/>
  <c r="J67" i="51"/>
  <c r="N30" i="52" s="1"/>
  <c r="K67" i="51"/>
  <c r="O30" i="52" s="1"/>
  <c r="L67" i="51"/>
  <c r="P30" i="52" s="1"/>
  <c r="M67" i="51"/>
  <c r="Q30" i="52" s="1"/>
  <c r="N67" i="51"/>
  <c r="R30" i="52" s="1"/>
  <c r="O67" i="51"/>
  <c r="S30" i="52" s="1"/>
  <c r="P67" i="51"/>
  <c r="T30" i="52" s="1"/>
  <c r="Q67" i="51"/>
  <c r="U30" i="52" s="1"/>
  <c r="R67" i="51"/>
  <c r="V30" i="52" s="1"/>
  <c r="S67" i="51"/>
  <c r="W30" i="52" s="1"/>
  <c r="T67" i="51"/>
  <c r="X30" i="52" s="1"/>
  <c r="U67" i="51"/>
  <c r="Y30" i="52" s="1"/>
  <c r="V67" i="51"/>
  <c r="Z30" i="52" s="1"/>
  <c r="W67" i="51"/>
  <c r="AA30" i="52" s="1"/>
  <c r="X67" i="51"/>
  <c r="AB30" i="52" s="1"/>
  <c r="Y67" i="51"/>
  <c r="AC30" i="52" s="1"/>
  <c r="Z67" i="51"/>
  <c r="AD30" i="52" s="1"/>
  <c r="AA67" i="51"/>
  <c r="AE30" i="52" s="1"/>
  <c r="AB67" i="51"/>
  <c r="AF30" i="52" s="1"/>
  <c r="AC67" i="51"/>
  <c r="AG30" i="52" s="1"/>
  <c r="AD67" i="51"/>
  <c r="AH30" i="52" s="1"/>
  <c r="AE67" i="51"/>
  <c r="AI30" i="52" s="1"/>
  <c r="AF67" i="51"/>
  <c r="AJ30" i="52" s="1"/>
  <c r="AG67" i="51"/>
  <c r="AK30" i="52" s="1"/>
  <c r="AH67" i="51"/>
  <c r="AL30" i="52" s="1"/>
  <c r="AI67" i="51"/>
  <c r="AM30" i="52" s="1"/>
  <c r="AJ67" i="51"/>
  <c r="AN30" i="52" s="1"/>
  <c r="AK67" i="51"/>
  <c r="AO30" i="52" s="1"/>
  <c r="AL67" i="51"/>
  <c r="AP30" i="52" s="1"/>
  <c r="AM67" i="51"/>
  <c r="AQ30" i="52" s="1"/>
  <c r="AN67" i="51"/>
  <c r="AR30" i="52" s="1"/>
  <c r="AO67" i="51"/>
  <c r="AS30" i="52" s="1"/>
  <c r="AP67" i="51"/>
  <c r="AT30" i="52" s="1"/>
  <c r="AQ67" i="51"/>
  <c r="AU30" i="52" s="1"/>
  <c r="AR67" i="51"/>
  <c r="AV30" i="52" s="1"/>
  <c r="AS67" i="51"/>
  <c r="AW30" i="52" s="1"/>
  <c r="AT67" i="51"/>
  <c r="AX30" i="52" s="1"/>
  <c r="AU67" i="51"/>
  <c r="AY30" i="52" s="1"/>
  <c r="AV67" i="51"/>
  <c r="AZ30" i="52" s="1"/>
  <c r="AW67" i="51"/>
  <c r="BA30" i="52" s="1"/>
  <c r="AX67" i="51"/>
  <c r="BB30" i="52" s="1"/>
  <c r="H10" i="52" l="1"/>
  <c r="H11" i="52"/>
  <c r="H9" i="52"/>
  <c r="E29" i="52"/>
  <c r="AM5" i="52"/>
  <c r="AN5" i="52"/>
  <c r="AO5" i="52"/>
  <c r="AP5" i="52"/>
  <c r="AQ5" i="52"/>
  <c r="AR5" i="52"/>
  <c r="AS5" i="52"/>
  <c r="AT5" i="52"/>
  <c r="AU5" i="52"/>
  <c r="AV5" i="52"/>
  <c r="AW5" i="52"/>
  <c r="AM12" i="52"/>
  <c r="AN12" i="52"/>
  <c r="AO12" i="52"/>
  <c r="AP12" i="52"/>
  <c r="AQ12" i="52"/>
  <c r="AR12" i="52"/>
  <c r="AS12" i="52"/>
  <c r="AT12" i="52"/>
  <c r="AU12" i="52"/>
  <c r="AV12" i="52"/>
  <c r="AW12" i="52"/>
  <c r="AM13" i="52"/>
  <c r="AN13" i="52"/>
  <c r="AO13" i="52"/>
  <c r="AP13" i="52"/>
  <c r="AQ13" i="52"/>
  <c r="AR13" i="52"/>
  <c r="AS13" i="52"/>
  <c r="AT13" i="52"/>
  <c r="AU13" i="52"/>
  <c r="AV13" i="52"/>
  <c r="AW13" i="52"/>
  <c r="AM14" i="52"/>
  <c r="AN14" i="52"/>
  <c r="AO14" i="52"/>
  <c r="AP14" i="52"/>
  <c r="AQ14" i="52"/>
  <c r="AR14" i="52"/>
  <c r="AS14" i="52"/>
  <c r="AT14" i="52"/>
  <c r="AU14" i="52"/>
  <c r="AV14" i="52"/>
  <c r="AW14" i="52"/>
  <c r="AM16" i="52"/>
  <c r="AN16" i="52"/>
  <c r="AO16" i="52"/>
  <c r="AP16" i="52"/>
  <c r="AQ16" i="52"/>
  <c r="AR16" i="52"/>
  <c r="AS16" i="52"/>
  <c r="AT16" i="52"/>
  <c r="AU16" i="52"/>
  <c r="AV16" i="52"/>
  <c r="AW16" i="52"/>
  <c r="AM17" i="52"/>
  <c r="AN17" i="52"/>
  <c r="AO17" i="52"/>
  <c r="AP17" i="52"/>
  <c r="AQ17" i="52"/>
  <c r="AR17" i="52"/>
  <c r="AS17" i="52"/>
  <c r="AT17" i="52"/>
  <c r="AU17" i="52"/>
  <c r="AV17" i="52"/>
  <c r="AW17" i="52"/>
  <c r="AM18" i="52"/>
  <c r="AN18" i="52"/>
  <c r="AO18" i="52"/>
  <c r="AP18" i="52"/>
  <c r="AQ18" i="52"/>
  <c r="AR18" i="52"/>
  <c r="AS18" i="52"/>
  <c r="AT18" i="52"/>
  <c r="AU18" i="52"/>
  <c r="AV18" i="52"/>
  <c r="AW18" i="52"/>
  <c r="AM19" i="52"/>
  <c r="AN19" i="52"/>
  <c r="AO19" i="52"/>
  <c r="AP19" i="52"/>
  <c r="AQ19" i="52"/>
  <c r="AR19" i="52"/>
  <c r="AS19" i="52"/>
  <c r="AT19" i="52"/>
  <c r="AU19" i="52"/>
  <c r="AV19" i="52"/>
  <c r="AW19" i="52"/>
  <c r="AM20" i="52"/>
  <c r="AN20" i="52"/>
  <c r="AO20" i="52"/>
  <c r="AP20" i="52"/>
  <c r="AQ20" i="52"/>
  <c r="AR20" i="52"/>
  <c r="AS20" i="52"/>
  <c r="AT20" i="52"/>
  <c r="AU20" i="52"/>
  <c r="AV20" i="52"/>
  <c r="AW20" i="52"/>
  <c r="AM21" i="52"/>
  <c r="AN21" i="52"/>
  <c r="AO21" i="52"/>
  <c r="AP21" i="52"/>
  <c r="AQ21" i="52"/>
  <c r="AR21" i="52"/>
  <c r="AS21" i="52"/>
  <c r="AT21" i="52"/>
  <c r="AU21" i="52"/>
  <c r="AV21" i="52"/>
  <c r="AW21" i="52"/>
  <c r="AM22" i="52"/>
  <c r="AN22" i="52"/>
  <c r="AO22" i="52"/>
  <c r="AP22" i="52"/>
  <c r="AQ22" i="52"/>
  <c r="AR22" i="52"/>
  <c r="AS22" i="52"/>
  <c r="AT22" i="52"/>
  <c r="AU22" i="52"/>
  <c r="AV22" i="52"/>
  <c r="AW22" i="52"/>
  <c r="AM23" i="52"/>
  <c r="AN23" i="52"/>
  <c r="AO23" i="52"/>
  <c r="AP23" i="52"/>
  <c r="AQ23" i="52"/>
  <c r="AR23" i="52"/>
  <c r="AS23" i="52"/>
  <c r="AT23" i="52"/>
  <c r="AU23" i="52"/>
  <c r="AV23" i="52"/>
  <c r="AW23" i="52"/>
  <c r="AM24" i="52"/>
  <c r="AN24" i="52"/>
  <c r="AO24" i="52"/>
  <c r="AP24" i="52"/>
  <c r="AQ24" i="52"/>
  <c r="AR24" i="52"/>
  <c r="AS24" i="52"/>
  <c r="AT24" i="52"/>
  <c r="AU24" i="52"/>
  <c r="AV24" i="52"/>
  <c r="AW24" i="52"/>
  <c r="AM25" i="52"/>
  <c r="AN25" i="52"/>
  <c r="AO25" i="52"/>
  <c r="AP25" i="52"/>
  <c r="AQ25" i="52"/>
  <c r="AR25" i="52"/>
  <c r="AS25" i="52"/>
  <c r="AT25" i="52"/>
  <c r="AU25" i="52"/>
  <c r="AV25" i="52"/>
  <c r="AW25" i="52"/>
  <c r="AM26" i="52"/>
  <c r="AN26" i="52"/>
  <c r="AO26" i="52"/>
  <c r="AP26" i="52"/>
  <c r="AQ26" i="52"/>
  <c r="AR26" i="52"/>
  <c r="AS26" i="52"/>
  <c r="AT26" i="52"/>
  <c r="AU26" i="52"/>
  <c r="AV26" i="52"/>
  <c r="AW26" i="52"/>
  <c r="AM27" i="52"/>
  <c r="AN27" i="52"/>
  <c r="AO27" i="52"/>
  <c r="AP27" i="52"/>
  <c r="AQ27" i="52"/>
  <c r="AR27" i="52"/>
  <c r="AS27" i="52"/>
  <c r="AT27" i="52"/>
  <c r="AU27" i="52"/>
  <c r="AV27" i="52"/>
  <c r="AW27" i="52"/>
  <c r="AM28" i="52"/>
  <c r="AN28" i="52"/>
  <c r="AO28" i="52"/>
  <c r="AP28" i="52"/>
  <c r="AQ28" i="52"/>
  <c r="AR28" i="52"/>
  <c r="AS28" i="52"/>
  <c r="AT28" i="52"/>
  <c r="AU28" i="52"/>
  <c r="AV28" i="52"/>
  <c r="AW28" i="52"/>
  <c r="AL28" i="52"/>
  <c r="AK28" i="52"/>
  <c r="AJ28" i="52"/>
  <c r="AI28" i="52"/>
  <c r="AH28" i="52"/>
  <c r="AG28" i="52"/>
  <c r="AF28" i="52"/>
  <c r="AE28" i="52"/>
  <c r="AD28" i="52"/>
  <c r="AC28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AL27" i="52"/>
  <c r="AK27" i="52"/>
  <c r="AJ27" i="52"/>
  <c r="AI27" i="52"/>
  <c r="AH27" i="52"/>
  <c r="AG27" i="52"/>
  <c r="AF27" i="52"/>
  <c r="AE27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AL26" i="52"/>
  <c r="AK26" i="52"/>
  <c r="AJ26" i="52"/>
  <c r="AI26" i="52"/>
  <c r="AH26" i="52"/>
  <c r="AG26" i="52"/>
  <c r="AF26" i="52"/>
  <c r="AE26" i="52"/>
  <c r="AD26" i="52"/>
  <c r="AC26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AL25" i="52"/>
  <c r="AK25" i="52"/>
  <c r="AJ25" i="52"/>
  <c r="AI25" i="52"/>
  <c r="AH25" i="52"/>
  <c r="AG25" i="52"/>
  <c r="AF25" i="52"/>
  <c r="AE25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AL24" i="52"/>
  <c r="AK24" i="52"/>
  <c r="AJ24" i="52"/>
  <c r="AI24" i="52"/>
  <c r="AH24" i="52"/>
  <c r="AG24" i="52"/>
  <c r="AF24" i="52"/>
  <c r="AE24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AL23" i="52"/>
  <c r="AK23" i="52"/>
  <c r="AJ23" i="52"/>
  <c r="AI23" i="52"/>
  <c r="AH23" i="52"/>
  <c r="AG23" i="52"/>
  <c r="AF23" i="52"/>
  <c r="AE23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AL22" i="52"/>
  <c r="AK22" i="52"/>
  <c r="AJ22" i="52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AL21" i="52"/>
  <c r="AK21" i="52"/>
  <c r="AJ21" i="52"/>
  <c r="AI21" i="52"/>
  <c r="AH21" i="52"/>
  <c r="AG21" i="52"/>
  <c r="AF21" i="52"/>
  <c r="AE21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AL20" i="52"/>
  <c r="AK20" i="52"/>
  <c r="AJ20" i="52"/>
  <c r="AI20" i="52"/>
  <c r="AH20" i="52"/>
  <c r="AG20" i="52"/>
  <c r="AF20" i="52"/>
  <c r="AE20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AL18" i="52"/>
  <c r="AK18" i="52"/>
  <c r="AJ18" i="52"/>
  <c r="AI18" i="52"/>
  <c r="AH18" i="52"/>
  <c r="AG18" i="52"/>
  <c r="AF18" i="52"/>
  <c r="AE18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AL17" i="52"/>
  <c r="AK17" i="52"/>
  <c r="AJ17" i="52"/>
  <c r="AI17" i="52"/>
  <c r="AH17" i="52"/>
  <c r="AG17" i="52"/>
  <c r="AF17" i="52"/>
  <c r="AE17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AL16" i="52"/>
  <c r="AK16" i="52"/>
  <c r="AJ16" i="52"/>
  <c r="AI16" i="52"/>
  <c r="AH16" i="52"/>
  <c r="AG16" i="52"/>
  <c r="AF16" i="52"/>
  <c r="AE16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AL14" i="52"/>
  <c r="AK14" i="52"/>
  <c r="AJ14" i="52"/>
  <c r="AI14" i="52"/>
  <c r="AH14" i="52"/>
  <c r="AG14" i="52"/>
  <c r="AF14" i="52"/>
  <c r="AE14" i="52"/>
  <c r="AD14" i="52"/>
  <c r="AC14" i="52"/>
  <c r="AB14" i="52"/>
  <c r="AA14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AL13" i="52"/>
  <c r="AK13" i="52"/>
  <c r="AJ13" i="52"/>
  <c r="AI13" i="52"/>
  <c r="AH13" i="52"/>
  <c r="AG13" i="52"/>
  <c r="AF13" i="52"/>
  <c r="AE13" i="52"/>
  <c r="AD13" i="52"/>
  <c r="AC13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AL12" i="52"/>
  <c r="AK12" i="52"/>
  <c r="AJ12" i="52"/>
  <c r="AI12" i="52"/>
  <c r="AH12" i="52"/>
  <c r="AG12" i="52"/>
  <c r="AF12" i="52"/>
  <c r="AE12" i="52"/>
  <c r="AD12" i="52"/>
  <c r="AC12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AL5" i="52"/>
  <c r="AK5" i="52"/>
  <c r="AJ5" i="52"/>
  <c r="AI5" i="52"/>
  <c r="AH5" i="52"/>
  <c r="AG5" i="52"/>
  <c r="AF5" i="52"/>
  <c r="AE5" i="52"/>
  <c r="AD5" i="52"/>
  <c r="AC5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C65" i="51"/>
  <c r="C66" i="51"/>
  <c r="C61" i="51"/>
  <c r="C56" i="51"/>
  <c r="I5" i="52"/>
  <c r="H20" i="52" l="1"/>
  <c r="H28" i="52"/>
  <c r="H12" i="52"/>
  <c r="H5" i="52"/>
  <c r="H19" i="52"/>
  <c r="H27" i="52"/>
  <c r="H18" i="52"/>
  <c r="H26" i="52"/>
  <c r="H25" i="52"/>
  <c r="H24" i="52"/>
  <c r="H16" i="52"/>
  <c r="H23" i="52"/>
  <c r="H17" i="52"/>
  <c r="H14" i="52"/>
  <c r="H22" i="52"/>
  <c r="H13" i="52"/>
  <c r="H21" i="52"/>
  <c r="AL29" i="52"/>
  <c r="AV29" i="52"/>
  <c r="AU29" i="52"/>
  <c r="AP29" i="52"/>
  <c r="AT29" i="52"/>
  <c r="AO29" i="52"/>
  <c r="AQ29" i="52"/>
  <c r="AW29" i="52"/>
  <c r="AS29" i="52"/>
  <c r="AN29" i="52"/>
  <c r="AR29" i="52"/>
  <c r="AM29" i="52"/>
  <c r="H29" i="52" l="1"/>
  <c r="F29" i="52" l="1"/>
  <c r="C64" i="51"/>
  <c r="C63" i="51"/>
  <c r="C62" i="51"/>
  <c r="C60" i="51"/>
  <c r="C59" i="51"/>
  <c r="C58" i="51"/>
  <c r="C57" i="51"/>
  <c r="C55" i="51"/>
  <c r="C54" i="51"/>
  <c r="C53" i="51"/>
  <c r="C52" i="51"/>
  <c r="C51" i="51"/>
  <c r="C50" i="51"/>
  <c r="C49" i="51"/>
  <c r="C48" i="51"/>
  <c r="C47" i="51"/>
  <c r="C46" i="51"/>
  <c r="C45" i="51"/>
  <c r="C41" i="51"/>
  <c r="D40" i="51" l="1"/>
  <c r="AE29" i="52" l="1"/>
  <c r="L29" i="52"/>
  <c r="AB29" i="52"/>
  <c r="O29" i="52"/>
  <c r="M29" i="52"/>
  <c r="AC29" i="52"/>
  <c r="N29" i="52"/>
  <c r="AD29" i="52"/>
  <c r="Q29" i="52"/>
  <c r="R29" i="52"/>
  <c r="AI29" i="52"/>
  <c r="U29" i="52"/>
  <c r="V29" i="52"/>
  <c r="S29" i="52"/>
  <c r="P29" i="52"/>
  <c r="AJ29" i="52"/>
  <c r="I29" i="52"/>
  <c r="Y29" i="52"/>
  <c r="AF29" i="52"/>
  <c r="AG29" i="52"/>
  <c r="T29" i="52"/>
  <c r="AK29" i="52"/>
  <c r="X29" i="52"/>
  <c r="J29" i="52"/>
  <c r="Z29" i="52"/>
  <c r="AH29" i="52"/>
  <c r="W29" i="52"/>
  <c r="K29" i="52"/>
  <c r="AA29" i="52"/>
  <c r="J3" i="52" l="1"/>
  <c r="K3" i="52" s="1"/>
  <c r="L3" i="52" s="1"/>
  <c r="M3" i="52" s="1"/>
  <c r="N3" i="52" s="1"/>
  <c r="O3" i="52" s="1"/>
  <c r="P3" i="52" s="1"/>
  <c r="Q3" i="52" s="1"/>
  <c r="R3" i="52" s="1"/>
  <c r="S3" i="52" s="1"/>
  <c r="T3" i="52" s="1"/>
  <c r="U3" i="52" s="1"/>
  <c r="V3" i="52" s="1"/>
  <c r="W3" i="52" s="1"/>
  <c r="X3" i="52" s="1"/>
  <c r="Y3" i="52" s="1"/>
  <c r="Z3" i="52" s="1"/>
  <c r="AA3" i="52" s="1"/>
  <c r="AB3" i="52" s="1"/>
  <c r="AC3" i="52" s="1"/>
  <c r="AD3" i="52" s="1"/>
  <c r="AE3" i="52" s="1"/>
  <c r="AF3" i="52" s="1"/>
  <c r="AG3" i="52" s="1"/>
  <c r="AH3" i="52" s="1"/>
  <c r="AI3" i="52" s="1"/>
  <c r="AJ3" i="52" s="1"/>
  <c r="AK3" i="52" s="1"/>
  <c r="AL3" i="52" s="1"/>
  <c r="AM3" i="52" s="1"/>
  <c r="AN3" i="52" s="1"/>
  <c r="AO3" i="52" s="1"/>
  <c r="AP3" i="52" s="1"/>
  <c r="AQ3" i="52" s="1"/>
  <c r="AR3" i="52" s="1"/>
  <c r="AS3" i="52" s="1"/>
  <c r="AT3" i="52" s="1"/>
  <c r="AU3" i="52" s="1"/>
  <c r="AV3" i="52" s="1"/>
  <c r="AW3" i="52" s="1"/>
  <c r="AX3" i="52" s="1"/>
  <c r="AY3" i="52" s="1"/>
  <c r="AZ3" i="52" s="1"/>
  <c r="BA3" i="52" s="1"/>
  <c r="BB3" i="52" s="1"/>
  <c r="BC3" i="52" s="1"/>
  <c r="BD3" i="52" s="1"/>
  <c r="BE3" i="52" s="1"/>
  <c r="BF3" i="52" s="1"/>
  <c r="BG3" i="52" s="1"/>
  <c r="F37" i="51"/>
  <c r="G37" i="51" s="1"/>
  <c r="H37" i="51" s="1"/>
  <c r="I37" i="51" s="1"/>
  <c r="J37" i="51" s="1"/>
  <c r="K37" i="51" s="1"/>
  <c r="L37" i="51" s="1"/>
  <c r="M37" i="51" s="1"/>
  <c r="N37" i="51" s="1"/>
  <c r="O37" i="51" s="1"/>
  <c r="P37" i="51" s="1"/>
  <c r="Q37" i="51" s="1"/>
  <c r="R37" i="51" s="1"/>
  <c r="S37" i="51" s="1"/>
  <c r="T37" i="51" s="1"/>
  <c r="U37" i="51" s="1"/>
  <c r="V37" i="51" s="1"/>
  <c r="W37" i="51" s="1"/>
  <c r="X37" i="51" s="1"/>
  <c r="Y37" i="51" s="1"/>
  <c r="Z37" i="51" s="1"/>
  <c r="AA37" i="51" s="1"/>
  <c r="AB37" i="51" s="1"/>
  <c r="AC37" i="51" s="1"/>
  <c r="AD37" i="51" s="1"/>
  <c r="AE37" i="51" s="1"/>
  <c r="AF37" i="51" s="1"/>
  <c r="AG37" i="51" s="1"/>
  <c r="AH37" i="51" s="1"/>
  <c r="AI37" i="51" s="1"/>
  <c r="AJ37" i="51" s="1"/>
  <c r="AK37" i="51" s="1"/>
  <c r="AL37" i="51" s="1"/>
  <c r="AM37" i="51" s="1"/>
  <c r="AN37" i="51" s="1"/>
  <c r="AO37" i="51" s="1"/>
  <c r="AP37" i="51" s="1"/>
  <c r="AQ37" i="51" s="1"/>
  <c r="AR37" i="51" s="1"/>
  <c r="AS37" i="51" s="1"/>
  <c r="AT37" i="51" s="1"/>
  <c r="AU37" i="51" s="1"/>
  <c r="AV37" i="51" s="1"/>
  <c r="AW37" i="51" s="1"/>
  <c r="AX37" i="51" s="1"/>
  <c r="AY37" i="51" s="1"/>
  <c r="AZ37" i="51" s="1"/>
  <c r="BA37" i="51" s="1"/>
  <c r="BB37" i="51" s="1"/>
  <c r="BC37" i="51" s="1"/>
  <c r="BD37" i="51" s="1"/>
  <c r="BE37" i="51" s="1"/>
  <c r="A29" i="31" l="1"/>
  <c r="A30" i="31" s="1"/>
  <c r="A15" i="31"/>
  <c r="A14" i="31"/>
  <c r="A18" i="31" s="1"/>
  <c r="A20" i="31" s="1"/>
  <c r="A25" i="31" l="1"/>
  <c r="A21" i="31"/>
  <c r="A22" i="31" s="1"/>
  <c r="A23" i="31" s="1"/>
  <c r="A26" i="31" l="1"/>
  <c r="A27" i="31" s="1"/>
  <c r="A28" i="31" s="1"/>
  <c r="A32" i="31"/>
  <c r="A39" i="31" l="1"/>
  <c r="A33" i="31"/>
  <c r="A34" i="31" s="1"/>
  <c r="A35" i="31" s="1"/>
  <c r="A36" i="31" s="1"/>
  <c r="A37" i="31" s="1"/>
  <c r="A40" i="31" l="1"/>
  <c r="A41" i="31" s="1"/>
  <c r="A42" i="31" s="1"/>
  <c r="A43" i="31" s="1"/>
  <c r="A44" i="31" s="1"/>
  <c r="A46" i="31"/>
  <c r="A47" i="31" l="1"/>
  <c r="A48" i="31" s="1"/>
  <c r="A49" i="31" s="1"/>
  <c r="A51" i="31"/>
  <c r="A55" i="31" l="1"/>
  <c r="A52" i="31"/>
  <c r="A53" i="31" s="1"/>
  <c r="A59" i="31" l="1"/>
  <c r="A56" i="31"/>
  <c r="A57" i="31" s="1"/>
  <c r="A60" i="31" l="1"/>
  <c r="A62" i="31"/>
  <c r="A64" i="31" s="1"/>
  <c r="E12" i="13"/>
  <c r="E13" i="13"/>
  <c r="E14" i="13"/>
  <c r="E15" i="13"/>
  <c r="E10" i="13"/>
  <c r="D21" i="13"/>
  <c r="E21" i="13" s="1"/>
  <c r="A107" i="10"/>
  <c r="E23" i="13"/>
  <c r="E24" i="13"/>
  <c r="E25" i="13"/>
  <c r="E26" i="13"/>
  <c r="E27" i="13"/>
  <c r="E28" i="13"/>
  <c r="E29" i="13"/>
  <c r="E30" i="13"/>
  <c r="E32" i="13"/>
  <c r="E34" i="13"/>
  <c r="E42" i="13"/>
  <c r="E43" i="13"/>
  <c r="E47" i="13"/>
  <c r="A70" i="31" l="1"/>
  <c r="A65" i="31"/>
  <c r="A66" i="31" s="1"/>
  <c r="A67" i="31" s="1"/>
  <c r="A68" i="31" s="1"/>
  <c r="E17" i="13"/>
  <c r="E49" i="13"/>
  <c r="A71" i="31" l="1"/>
  <c r="A72" i="31" s="1"/>
  <c r="A73" i="31" s="1"/>
  <c r="A75" i="31"/>
  <c r="E51" i="13"/>
  <c r="F51" i="13" s="1"/>
  <c r="A79" i="31" l="1"/>
  <c r="A76" i="31"/>
  <c r="A77" i="31" s="1"/>
  <c r="A80" i="31" l="1"/>
  <c r="A81" i="31" s="1"/>
  <c r="A82" i="31" s="1"/>
  <c r="A84" i="31"/>
  <c r="A89" i="31" l="1"/>
  <c r="A85" i="31"/>
  <c r="A86" i="31" s="1"/>
  <c r="A87" i="31" s="1"/>
  <c r="A93" i="31" l="1"/>
  <c r="A90" i="31"/>
  <c r="A91" i="31" s="1"/>
  <c r="A97" i="31" l="1"/>
  <c r="A94" i="31"/>
  <c r="A95" i="31" s="1"/>
  <c r="A100" i="31" l="1"/>
  <c r="A98" i="31"/>
  <c r="A103" i="31" l="1"/>
  <c r="A104" i="31" s="1"/>
  <c r="A105" i="31" s="1"/>
  <c r="A101" i="31"/>
  <c r="H11" i="13" l="1"/>
  <c r="H12" i="13"/>
  <c r="I12" i="13" s="1"/>
  <c r="H13" i="13"/>
  <c r="I13" i="13" s="1"/>
  <c r="H14" i="13"/>
  <c r="I14" i="13" s="1"/>
  <c r="H15" i="13"/>
  <c r="I15" i="13" s="1"/>
  <c r="H16" i="13"/>
  <c r="I16" i="13" s="1"/>
  <c r="H18" i="13"/>
  <c r="H19" i="13"/>
  <c r="H20" i="13"/>
  <c r="H21" i="13"/>
  <c r="I21" i="13" s="1"/>
  <c r="H22" i="13"/>
  <c r="H23" i="13"/>
  <c r="I23" i="13" s="1"/>
  <c r="H24" i="13"/>
  <c r="I24" i="13" s="1"/>
  <c r="H25" i="13"/>
  <c r="I25" i="13" s="1"/>
  <c r="H26" i="13"/>
  <c r="I26" i="13" s="1"/>
  <c r="H27" i="13"/>
  <c r="I27" i="13" s="1"/>
  <c r="H28" i="13"/>
  <c r="I28" i="13" s="1"/>
  <c r="H29" i="13"/>
  <c r="I29" i="13" s="1"/>
  <c r="H30" i="13"/>
  <c r="I30" i="13" s="1"/>
  <c r="H31" i="13"/>
  <c r="I31" i="13" s="1"/>
  <c r="H32" i="13"/>
  <c r="I32" i="13" s="1"/>
  <c r="H33" i="13"/>
  <c r="H34" i="13"/>
  <c r="I34" i="13" s="1"/>
  <c r="H35" i="13"/>
  <c r="H36" i="13"/>
  <c r="H37" i="13"/>
  <c r="H38" i="13"/>
  <c r="H39" i="13"/>
  <c r="H40" i="13"/>
  <c r="H41" i="13"/>
  <c r="H42" i="13"/>
  <c r="I42" i="13" s="1"/>
  <c r="H43" i="13"/>
  <c r="I43" i="13" s="1"/>
  <c r="H44" i="13"/>
  <c r="H45" i="13"/>
  <c r="H46" i="13"/>
  <c r="H47" i="13"/>
  <c r="I47" i="13" s="1"/>
  <c r="H48" i="13"/>
  <c r="H10" i="13"/>
  <c r="I10" i="13" s="1"/>
  <c r="G49" i="13"/>
  <c r="G17" i="13"/>
  <c r="F49" i="13"/>
  <c r="F17" i="13"/>
  <c r="D84" i="13"/>
  <c r="C84" i="13"/>
  <c r="C89" i="13" s="1"/>
  <c r="C90" i="13" s="1"/>
  <c r="D64" i="13"/>
  <c r="D63" i="13"/>
  <c r="D62" i="13"/>
  <c r="D66" i="13" s="1"/>
  <c r="A61" i="13"/>
  <c r="A62" i="13" s="1"/>
  <c r="A63" i="13" s="1"/>
  <c r="A64" i="13" s="1"/>
  <c r="A65" i="13" s="1"/>
  <c r="D49" i="13"/>
  <c r="D17" i="13"/>
  <c r="A12" i="13"/>
  <c r="A13" i="13" s="1"/>
  <c r="A14" i="13" s="1"/>
  <c r="A15" i="13" s="1"/>
  <c r="A16" i="13" s="1"/>
  <c r="L123" i="12"/>
  <c r="K123" i="12"/>
  <c r="J123" i="12"/>
  <c r="I123" i="12"/>
  <c r="H123" i="12"/>
  <c r="F116" i="12"/>
  <c r="O113" i="12"/>
  <c r="L112" i="12"/>
  <c r="K112" i="12"/>
  <c r="J112" i="12"/>
  <c r="I112" i="12"/>
  <c r="H112" i="12"/>
  <c r="M112" i="12" s="1"/>
  <c r="O112" i="12" s="1"/>
  <c r="L111" i="12"/>
  <c r="K111" i="12"/>
  <c r="J111" i="12"/>
  <c r="I111" i="12"/>
  <c r="H111" i="12"/>
  <c r="M111" i="12" s="1"/>
  <c r="O111" i="12" s="1"/>
  <c r="L109" i="12"/>
  <c r="K109" i="12"/>
  <c r="J109" i="12"/>
  <c r="I109" i="12"/>
  <c r="H109" i="12"/>
  <c r="L108" i="12"/>
  <c r="K108" i="12"/>
  <c r="J108" i="12"/>
  <c r="I108" i="12"/>
  <c r="H108" i="12"/>
  <c r="N107" i="12"/>
  <c r="N114" i="12" s="1"/>
  <c r="N117" i="12" s="1"/>
  <c r="G107" i="12"/>
  <c r="G114" i="12" s="1"/>
  <c r="G115" i="12" s="1"/>
  <c r="L115" i="12" s="1"/>
  <c r="L106" i="12"/>
  <c r="K106" i="12"/>
  <c r="J106" i="12"/>
  <c r="I106" i="12"/>
  <c r="H106" i="12"/>
  <c r="L105" i="12"/>
  <c r="K105" i="12"/>
  <c r="J105" i="12"/>
  <c r="I105" i="12"/>
  <c r="H105" i="12"/>
  <c r="L103" i="12"/>
  <c r="K103" i="12"/>
  <c r="J103" i="12"/>
  <c r="I103" i="12"/>
  <c r="H103" i="12"/>
  <c r="L102" i="12"/>
  <c r="K102" i="12"/>
  <c r="J102" i="12"/>
  <c r="I102" i="12"/>
  <c r="H102" i="12"/>
  <c r="M98" i="12"/>
  <c r="L97" i="12"/>
  <c r="K97" i="12"/>
  <c r="J97" i="12"/>
  <c r="I97" i="12"/>
  <c r="H97" i="12"/>
  <c r="L95" i="12"/>
  <c r="K95" i="12"/>
  <c r="J95" i="12"/>
  <c r="I95" i="12"/>
  <c r="H95" i="12"/>
  <c r="O94" i="12"/>
  <c r="L92" i="12"/>
  <c r="K92" i="12"/>
  <c r="J92" i="12"/>
  <c r="I92" i="12"/>
  <c r="H92" i="12"/>
  <c r="O91" i="12"/>
  <c r="L89" i="12"/>
  <c r="K89" i="12"/>
  <c r="J89" i="12"/>
  <c r="I89" i="12"/>
  <c r="H89" i="12"/>
  <c r="M89" i="12" s="1"/>
  <c r="O89" i="12" s="1"/>
  <c r="X84" i="12"/>
  <c r="L84" i="12"/>
  <c r="K84" i="12"/>
  <c r="J84" i="12"/>
  <c r="I84" i="12"/>
  <c r="H84" i="12"/>
  <c r="L78" i="12"/>
  <c r="K78" i="12"/>
  <c r="J78" i="12"/>
  <c r="I78" i="12"/>
  <c r="H78" i="12"/>
  <c r="M76" i="12"/>
  <c r="O76" i="12" s="1"/>
  <c r="L75" i="12"/>
  <c r="K75" i="12"/>
  <c r="J75" i="12"/>
  <c r="I75" i="12"/>
  <c r="H75" i="12"/>
  <c r="M75" i="12" s="1"/>
  <c r="O75" i="12" s="1"/>
  <c r="L70" i="12"/>
  <c r="K70" i="12"/>
  <c r="J70" i="12"/>
  <c r="I70" i="12"/>
  <c r="H70" i="12"/>
  <c r="M70" i="12" s="1"/>
  <c r="O70" i="12" s="1"/>
  <c r="M67" i="12"/>
  <c r="O67" i="12" s="1"/>
  <c r="M66" i="12"/>
  <c r="O66" i="12" s="1"/>
  <c r="L65" i="12"/>
  <c r="K65" i="12"/>
  <c r="J65" i="12"/>
  <c r="I65" i="12"/>
  <c r="H65" i="12"/>
  <c r="M64" i="12"/>
  <c r="O64" i="12" s="1"/>
  <c r="L63" i="12"/>
  <c r="K63" i="12"/>
  <c r="J63" i="12"/>
  <c r="I63" i="12"/>
  <c r="H63" i="12"/>
  <c r="W61" i="12"/>
  <c r="M61" i="12"/>
  <c r="O61" i="12" s="1"/>
  <c r="L60" i="12"/>
  <c r="K60" i="12"/>
  <c r="J60" i="12"/>
  <c r="I60" i="12"/>
  <c r="H60" i="12"/>
  <c r="M60" i="12" s="1"/>
  <c r="O60" i="12" s="1"/>
  <c r="L57" i="12"/>
  <c r="K57" i="12"/>
  <c r="J57" i="12"/>
  <c r="I57" i="12"/>
  <c r="H57" i="12"/>
  <c r="M57" i="12" s="1"/>
  <c r="O57" i="12" s="1"/>
  <c r="M54" i="12"/>
  <c r="O54" i="12" s="1"/>
  <c r="L52" i="12"/>
  <c r="K52" i="12"/>
  <c r="J52" i="12"/>
  <c r="I52" i="12"/>
  <c r="H52" i="12"/>
  <c r="M50" i="12"/>
  <c r="O50" i="12" s="1"/>
  <c r="L46" i="12"/>
  <c r="K46" i="12"/>
  <c r="J46" i="12"/>
  <c r="I46" i="12"/>
  <c r="H46" i="12"/>
  <c r="M46" i="12" s="1"/>
  <c r="O46" i="12" s="1"/>
  <c r="M43" i="12"/>
  <c r="M42" i="12"/>
  <c r="M41" i="12"/>
  <c r="L40" i="12"/>
  <c r="K40" i="12"/>
  <c r="J40" i="12"/>
  <c r="I40" i="12"/>
  <c r="H40" i="12"/>
  <c r="M40" i="12" s="1"/>
  <c r="O40" i="12" s="1"/>
  <c r="R38" i="12"/>
  <c r="S37" i="12"/>
  <c r="T37" i="12" s="1"/>
  <c r="R37" i="12"/>
  <c r="M37" i="12"/>
  <c r="R36" i="12"/>
  <c r="L36" i="12"/>
  <c r="K36" i="12"/>
  <c r="J36" i="12"/>
  <c r="I36" i="12"/>
  <c r="H36" i="12"/>
  <c r="M34" i="12"/>
  <c r="O34" i="12" s="1"/>
  <c r="M33" i="12"/>
  <c r="O33" i="12" s="1"/>
  <c r="L32" i="12"/>
  <c r="K32" i="12"/>
  <c r="J32" i="12"/>
  <c r="I32" i="12"/>
  <c r="H32" i="12"/>
  <c r="M32" i="12" s="1"/>
  <c r="O32" i="12" s="1"/>
  <c r="L29" i="12"/>
  <c r="K29" i="12"/>
  <c r="J29" i="12"/>
  <c r="I29" i="12"/>
  <c r="H29" i="12"/>
  <c r="M29" i="12" s="1"/>
  <c r="O29" i="12" s="1"/>
  <c r="L26" i="12"/>
  <c r="K26" i="12"/>
  <c r="J26" i="12"/>
  <c r="I26" i="12"/>
  <c r="H26" i="12"/>
  <c r="E24" i="12"/>
  <c r="E22" i="12"/>
  <c r="F22" i="12" s="1"/>
  <c r="E21" i="12"/>
  <c r="R18" i="12"/>
  <c r="S18" i="12" s="1"/>
  <c r="Q18" i="12"/>
  <c r="F18" i="12" s="1"/>
  <c r="F107" i="12" s="1"/>
  <c r="F114" i="12" s="1"/>
  <c r="E17" i="12"/>
  <c r="Q17" i="12" s="1"/>
  <c r="Q16" i="12"/>
  <c r="Q15" i="12"/>
  <c r="Q14" i="12"/>
  <c r="L14" i="12"/>
  <c r="K14" i="12"/>
  <c r="J14" i="12"/>
  <c r="I14" i="12"/>
  <c r="H14" i="12"/>
  <c r="A14" i="12"/>
  <c r="A26" i="12" s="1"/>
  <c r="A29" i="12" s="1"/>
  <c r="A32" i="12" s="1"/>
  <c r="A36" i="12" s="1"/>
  <c r="A40" i="12" s="1"/>
  <c r="A46" i="12" s="1"/>
  <c r="A52" i="12" s="1"/>
  <c r="A57" i="12" s="1"/>
  <c r="A60" i="12" s="1"/>
  <c r="A63" i="12" s="1"/>
  <c r="A65" i="12" s="1"/>
  <c r="A70" i="12" s="1"/>
  <c r="A75" i="12" s="1"/>
  <c r="A78" i="12" s="1"/>
  <c r="A84" i="12" s="1"/>
  <c r="A89" i="12" s="1"/>
  <c r="A92" i="12" s="1"/>
  <c r="A95" i="12" s="1"/>
  <c r="A97" i="12" s="1"/>
  <c r="A103" i="12" s="1"/>
  <c r="A106" i="12" s="1"/>
  <c r="A107" i="12" s="1"/>
  <c r="A108" i="12" s="1"/>
  <c r="A109" i="12" s="1"/>
  <c r="A110" i="12" s="1"/>
  <c r="A111" i="12" s="1"/>
  <c r="A112" i="12" s="1"/>
  <c r="M13" i="12"/>
  <c r="B12" i="12"/>
  <c r="M26" i="12" l="1"/>
  <c r="O26" i="12" s="1"/>
  <c r="I107" i="12"/>
  <c r="I114" i="12" s="1"/>
  <c r="H107" i="12"/>
  <c r="H114" i="12" s="1"/>
  <c r="M14" i="12"/>
  <c r="O14" i="12" s="1"/>
  <c r="J107" i="12"/>
  <c r="J114" i="12" s="1"/>
  <c r="K107" i="12"/>
  <c r="K114" i="12" s="1"/>
  <c r="L107" i="12"/>
  <c r="L114" i="12" s="1"/>
  <c r="M52" i="12"/>
  <c r="O52" i="12" s="1"/>
  <c r="M63" i="12"/>
  <c r="O63" i="12" s="1"/>
  <c r="M65" i="12"/>
  <c r="O65" i="12" s="1"/>
  <c r="M78" i="12"/>
  <c r="O78" i="12" s="1"/>
  <c r="M84" i="12"/>
  <c r="O84" i="12" s="1"/>
  <c r="M92" i="12"/>
  <c r="O92" i="12" s="1"/>
  <c r="M95" i="12"/>
  <c r="O95" i="12" s="1"/>
  <c r="M97" i="12"/>
  <c r="O97" i="12" s="1"/>
  <c r="M102" i="12"/>
  <c r="O102" i="12" s="1"/>
  <c r="M103" i="12"/>
  <c r="O103" i="12" s="1"/>
  <c r="M106" i="12"/>
  <c r="O106" i="12" s="1"/>
  <c r="M108" i="12"/>
  <c r="O108" i="12" s="1"/>
  <c r="M109" i="12"/>
  <c r="O109" i="12" s="1"/>
  <c r="D53" i="13"/>
  <c r="D54" i="13" s="1"/>
  <c r="H49" i="13"/>
  <c r="H17" i="13"/>
  <c r="I17" i="13" s="1"/>
  <c r="A17" i="13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D68" i="13"/>
  <c r="D67" i="13"/>
  <c r="D69" i="13"/>
  <c r="C92" i="13"/>
  <c r="C91" i="13"/>
  <c r="F115" i="12"/>
  <c r="F117" i="12"/>
  <c r="H115" i="12"/>
  <c r="R116" i="12"/>
  <c r="R117" i="12" s="1"/>
  <c r="R118" i="12" s="1"/>
  <c r="G116" i="12" s="1"/>
  <c r="I115" i="12"/>
  <c r="J115" i="12"/>
  <c r="K115" i="12"/>
  <c r="O13" i="12"/>
  <c r="M36" i="12"/>
  <c r="O36" i="12" s="1"/>
  <c r="I49" i="13" l="1"/>
  <c r="D56" i="13"/>
  <c r="D79" i="13" s="1"/>
  <c r="D55" i="13"/>
  <c r="D70" i="13"/>
  <c r="D74" i="13" s="1"/>
  <c r="D80" i="13"/>
  <c r="O107" i="12"/>
  <c r="O114" i="12" s="1"/>
  <c r="M107" i="12"/>
  <c r="M114" i="12" s="1"/>
  <c r="M115" i="12"/>
  <c r="O115" i="12" s="1"/>
  <c r="L116" i="12"/>
  <c r="L117" i="12" s="1"/>
  <c r="K116" i="12"/>
  <c r="K117" i="12" s="1"/>
  <c r="J116" i="12"/>
  <c r="J117" i="12" s="1"/>
  <c r="I116" i="12"/>
  <c r="I117" i="12" s="1"/>
  <c r="H116" i="12"/>
  <c r="G117" i="12"/>
  <c r="H117" i="12"/>
  <c r="D57" i="13" l="1"/>
  <c r="E57" i="13" s="1"/>
  <c r="D81" i="13"/>
  <c r="D82" i="13"/>
  <c r="M116" i="12"/>
  <c r="O116" i="12" s="1"/>
  <c r="O117" i="12" s="1"/>
  <c r="D72" i="13" l="1"/>
  <c r="D77" i="13" s="1"/>
  <c r="D73" i="13"/>
  <c r="M117" i="12"/>
  <c r="L127" i="10" l="1"/>
  <c r="K127" i="10"/>
  <c r="J127" i="10"/>
  <c r="I127" i="10"/>
  <c r="H127" i="10"/>
  <c r="F120" i="10"/>
  <c r="O117" i="10"/>
  <c r="L116" i="10"/>
  <c r="K116" i="10"/>
  <c r="J116" i="10"/>
  <c r="I116" i="10"/>
  <c r="H116" i="10"/>
  <c r="L115" i="10"/>
  <c r="K115" i="10"/>
  <c r="J115" i="10"/>
  <c r="I115" i="10"/>
  <c r="H115" i="10"/>
  <c r="L113" i="10"/>
  <c r="K113" i="10"/>
  <c r="J113" i="10"/>
  <c r="I113" i="10"/>
  <c r="H113" i="10"/>
  <c r="L112" i="10"/>
  <c r="K112" i="10"/>
  <c r="J112" i="10"/>
  <c r="I112" i="10"/>
  <c r="H112" i="10"/>
  <c r="N111" i="10"/>
  <c r="N118" i="10" s="1"/>
  <c r="N121" i="10" s="1"/>
  <c r="G111" i="10"/>
  <c r="L110" i="10"/>
  <c r="K110" i="10"/>
  <c r="J110" i="10"/>
  <c r="I110" i="10"/>
  <c r="H110" i="10"/>
  <c r="L109" i="10"/>
  <c r="K109" i="10"/>
  <c r="J109" i="10"/>
  <c r="I109" i="10"/>
  <c r="H109" i="10"/>
  <c r="L107" i="10"/>
  <c r="K107" i="10"/>
  <c r="J107" i="10"/>
  <c r="I107" i="10"/>
  <c r="H107" i="10"/>
  <c r="L106" i="10"/>
  <c r="K106" i="10"/>
  <c r="J106" i="10"/>
  <c r="I106" i="10"/>
  <c r="H106" i="10"/>
  <c r="M99" i="10"/>
  <c r="L98" i="10"/>
  <c r="K98" i="10"/>
  <c r="J98" i="10"/>
  <c r="I98" i="10"/>
  <c r="H98" i="10"/>
  <c r="L96" i="10"/>
  <c r="K96" i="10"/>
  <c r="J96" i="10"/>
  <c r="I96" i="10"/>
  <c r="H96" i="10"/>
  <c r="O95" i="10"/>
  <c r="L93" i="10"/>
  <c r="K93" i="10"/>
  <c r="J93" i="10"/>
  <c r="I93" i="10"/>
  <c r="H93" i="10"/>
  <c r="O92" i="10"/>
  <c r="L90" i="10"/>
  <c r="K90" i="10"/>
  <c r="J90" i="10"/>
  <c r="I90" i="10"/>
  <c r="H90" i="10"/>
  <c r="X85" i="10"/>
  <c r="L85" i="10"/>
  <c r="K85" i="10"/>
  <c r="J85" i="10"/>
  <c r="I85" i="10"/>
  <c r="H85" i="10"/>
  <c r="L79" i="10"/>
  <c r="K79" i="10"/>
  <c r="J79" i="10"/>
  <c r="I79" i="10"/>
  <c r="H79" i="10"/>
  <c r="M77" i="10"/>
  <c r="O77" i="10" s="1"/>
  <c r="L76" i="10"/>
  <c r="K76" i="10"/>
  <c r="J76" i="10"/>
  <c r="I76" i="10"/>
  <c r="H76" i="10"/>
  <c r="L71" i="10"/>
  <c r="K71" i="10"/>
  <c r="J71" i="10"/>
  <c r="I71" i="10"/>
  <c r="H71" i="10"/>
  <c r="M68" i="10"/>
  <c r="O68" i="10" s="1"/>
  <c r="M67" i="10"/>
  <c r="O67" i="10" s="1"/>
  <c r="L66" i="10"/>
  <c r="K66" i="10"/>
  <c r="J66" i="10"/>
  <c r="I66" i="10"/>
  <c r="H66" i="10"/>
  <c r="M65" i="10"/>
  <c r="O65" i="10" s="1"/>
  <c r="L63" i="10"/>
  <c r="K63" i="10"/>
  <c r="J63" i="10"/>
  <c r="I63" i="10"/>
  <c r="H63" i="10"/>
  <c r="W61" i="10"/>
  <c r="M61" i="10"/>
  <c r="O61" i="10" s="1"/>
  <c r="L60" i="10"/>
  <c r="K60" i="10"/>
  <c r="J60" i="10"/>
  <c r="I60" i="10"/>
  <c r="H60" i="10"/>
  <c r="L57" i="10"/>
  <c r="K57" i="10"/>
  <c r="J57" i="10"/>
  <c r="I57" i="10"/>
  <c r="H57" i="10"/>
  <c r="M54" i="10"/>
  <c r="O54" i="10" s="1"/>
  <c r="L52" i="10"/>
  <c r="K52" i="10"/>
  <c r="J52" i="10"/>
  <c r="I52" i="10"/>
  <c r="H52" i="10"/>
  <c r="M50" i="10"/>
  <c r="O50" i="10" s="1"/>
  <c r="L46" i="10"/>
  <c r="K46" i="10"/>
  <c r="J46" i="10"/>
  <c r="I46" i="10"/>
  <c r="H46" i="10"/>
  <c r="M43" i="10"/>
  <c r="M42" i="10"/>
  <c r="M41" i="10"/>
  <c r="L40" i="10"/>
  <c r="K40" i="10"/>
  <c r="J40" i="10"/>
  <c r="I40" i="10"/>
  <c r="H40" i="10"/>
  <c r="R38" i="10"/>
  <c r="S37" i="10"/>
  <c r="T37" i="10" s="1"/>
  <c r="R37" i="10"/>
  <c r="M37" i="10"/>
  <c r="R36" i="10"/>
  <c r="L36" i="10"/>
  <c r="K36" i="10"/>
  <c r="J36" i="10"/>
  <c r="I36" i="10"/>
  <c r="H36" i="10"/>
  <c r="M34" i="10"/>
  <c r="O34" i="10" s="1"/>
  <c r="M33" i="10"/>
  <c r="O33" i="10" s="1"/>
  <c r="L32" i="10"/>
  <c r="K32" i="10"/>
  <c r="J32" i="10"/>
  <c r="I32" i="10"/>
  <c r="H32" i="10"/>
  <c r="L29" i="10"/>
  <c r="K29" i="10"/>
  <c r="J29" i="10"/>
  <c r="I29" i="10"/>
  <c r="H29" i="10"/>
  <c r="L26" i="10"/>
  <c r="K26" i="10"/>
  <c r="J26" i="10"/>
  <c r="I26" i="10"/>
  <c r="H26" i="10"/>
  <c r="E24" i="10"/>
  <c r="E22" i="10"/>
  <c r="F22" i="10" s="1"/>
  <c r="E21" i="10"/>
  <c r="R18" i="10"/>
  <c r="S18" i="10" s="1"/>
  <c r="Q18" i="10"/>
  <c r="F18" i="10" s="1"/>
  <c r="E17" i="10"/>
  <c r="Q17" i="10" s="1"/>
  <c r="Q16" i="10"/>
  <c r="Q15" i="10"/>
  <c r="Q14" i="10"/>
  <c r="L14" i="10"/>
  <c r="K14" i="10"/>
  <c r="J14" i="10"/>
  <c r="I14" i="10"/>
  <c r="H14" i="10"/>
  <c r="A14" i="10"/>
  <c r="A26" i="10" s="1"/>
  <c r="A29" i="10" s="1"/>
  <c r="A32" i="10" s="1"/>
  <c r="A36" i="10" s="1"/>
  <c r="A40" i="10" s="1"/>
  <c r="A46" i="10" s="1"/>
  <c r="A52" i="10" s="1"/>
  <c r="A57" i="10" s="1"/>
  <c r="A60" i="10" s="1"/>
  <c r="A63" i="10" s="1"/>
  <c r="A66" i="10" s="1"/>
  <c r="A71" i="10" s="1"/>
  <c r="A76" i="10" s="1"/>
  <c r="A79" i="10" s="1"/>
  <c r="A85" i="10" s="1"/>
  <c r="A90" i="10" s="1"/>
  <c r="A93" i="10" s="1"/>
  <c r="A96" i="10" s="1"/>
  <c r="A98" i="10" s="1"/>
  <c r="A110" i="10" s="1"/>
  <c r="A111" i="10" s="1"/>
  <c r="A112" i="10" s="1"/>
  <c r="A113" i="10" s="1"/>
  <c r="A114" i="10" s="1"/>
  <c r="A115" i="10" s="1"/>
  <c r="A116" i="10" s="1"/>
  <c r="M13" i="10"/>
  <c r="O13" i="10" s="1"/>
  <c r="B12" i="10"/>
  <c r="M93" i="10" l="1"/>
  <c r="O93" i="10" s="1"/>
  <c r="M110" i="10"/>
  <c r="O110" i="10" s="1"/>
  <c r="G118" i="10"/>
  <c r="G119" i="10" s="1"/>
  <c r="R120" i="10" s="1"/>
  <c r="R121" i="10" s="1"/>
  <c r="R122" i="10" s="1"/>
  <c r="G120" i="10" s="1"/>
  <c r="G121" i="10" s="1"/>
  <c r="M76" i="10"/>
  <c r="O76" i="10" s="1"/>
  <c r="M106" i="10"/>
  <c r="O106" i="10" s="1"/>
  <c r="M115" i="10"/>
  <c r="O115" i="10" s="1"/>
  <c r="M116" i="10"/>
  <c r="O116" i="10" s="1"/>
  <c r="M90" i="10"/>
  <c r="O90" i="10" s="1"/>
  <c r="M71" i="10"/>
  <c r="O71" i="10" s="1"/>
  <c r="M40" i="10"/>
  <c r="O40" i="10" s="1"/>
  <c r="M66" i="10"/>
  <c r="O66" i="10" s="1"/>
  <c r="H111" i="10"/>
  <c r="M60" i="10"/>
  <c r="O60" i="10" s="1"/>
  <c r="M63" i="10"/>
  <c r="O63" i="10" s="1"/>
  <c r="M14" i="10"/>
  <c r="O14" i="10" s="1"/>
  <c r="K111" i="10"/>
  <c r="K118" i="10" s="1"/>
  <c r="M26" i="10"/>
  <c r="O26" i="10" s="1"/>
  <c r="M32" i="10"/>
  <c r="O32" i="10" s="1"/>
  <c r="M36" i="10"/>
  <c r="O36" i="10" s="1"/>
  <c r="M98" i="10"/>
  <c r="O98" i="10" s="1"/>
  <c r="F111" i="10"/>
  <c r="F118" i="10" s="1"/>
  <c r="F119" i="10" s="1"/>
  <c r="F121" i="10" s="1"/>
  <c r="I111" i="10"/>
  <c r="L111" i="10"/>
  <c r="M46" i="10"/>
  <c r="O46" i="10" s="1"/>
  <c r="M85" i="10"/>
  <c r="O85" i="10" s="1"/>
  <c r="M113" i="10"/>
  <c r="O113" i="10" s="1"/>
  <c r="M57" i="10"/>
  <c r="O57" i="10" s="1"/>
  <c r="M96" i="10"/>
  <c r="O96" i="10" s="1"/>
  <c r="M107" i="10"/>
  <c r="O107" i="10" s="1"/>
  <c r="M29" i="10"/>
  <c r="O29" i="10" s="1"/>
  <c r="M52" i="10"/>
  <c r="O52" i="10" s="1"/>
  <c r="M79" i="10"/>
  <c r="O79" i="10" s="1"/>
  <c r="M112" i="10"/>
  <c r="O112" i="10" s="1"/>
  <c r="J111" i="10"/>
  <c r="J118" i="10" s="1"/>
  <c r="L118" i="10" l="1"/>
  <c r="O111" i="10"/>
  <c r="M111" i="10"/>
  <c r="M118" i="10" s="1"/>
  <c r="I118" i="10"/>
  <c r="H118" i="10"/>
  <c r="H120" i="10"/>
  <c r="L120" i="10"/>
  <c r="K120" i="10"/>
  <c r="I120" i="10"/>
  <c r="J120" i="10"/>
  <c r="I119" i="10"/>
  <c r="H119" i="10"/>
  <c r="L119" i="10"/>
  <c r="J119" i="10"/>
  <c r="K119" i="10"/>
  <c r="O118" i="10" l="1"/>
  <c r="J121" i="10"/>
  <c r="I121" i="10"/>
  <c r="M120" i="10"/>
  <c r="O120" i="10" s="1"/>
  <c r="K121" i="10"/>
  <c r="L121" i="10"/>
  <c r="H121" i="10"/>
  <c r="M119" i="10"/>
  <c r="O119" i="10" l="1"/>
  <c r="O121" i="10" s="1"/>
  <c r="M121" i="10"/>
</calcChain>
</file>

<file path=xl/sharedStrings.xml><?xml version="1.0" encoding="utf-8"?>
<sst xmlns="http://schemas.openxmlformats.org/spreadsheetml/2006/main" count="961" uniqueCount="487">
  <si>
    <t>DCH - A9 &amp; A10</t>
  </si>
  <si>
    <t>MIRAGE INTERNAL</t>
  </si>
  <si>
    <t>Combined</t>
  </si>
  <si>
    <t>FOR EMAAR</t>
  </si>
  <si>
    <t>MIRAGE MULTI-DISCIPLINARY FEE PROPOSAL</t>
  </si>
  <si>
    <t>FEE RECONCILIATION</t>
  </si>
  <si>
    <t>R00</t>
  </si>
  <si>
    <t>ALL VALUES IN AED AND EXCLUDE TAX</t>
  </si>
  <si>
    <t>BUDGET</t>
  </si>
  <si>
    <t>FEES RECEIVED</t>
  </si>
  <si>
    <t>ITEM</t>
  </si>
  <si>
    <t>DISCIPLINE / TRADE</t>
  </si>
  <si>
    <t>CONSULTANT</t>
  </si>
  <si>
    <t>FEE</t>
  </si>
  <si>
    <t>A9</t>
  </si>
  <si>
    <t>A10</t>
  </si>
  <si>
    <t>A9 + A10 Fee</t>
  </si>
  <si>
    <t>Variance from Budgeted Fee</t>
  </si>
  <si>
    <t>A</t>
  </si>
  <si>
    <t>PRE-CONTRACT FEE (PM &amp; DESIGN)</t>
  </si>
  <si>
    <t>Design Project Management</t>
  </si>
  <si>
    <t>Mirage</t>
  </si>
  <si>
    <t>Concept Architect</t>
  </si>
  <si>
    <t>Included</t>
  </si>
  <si>
    <t>Architecture - Tender Documents, Procurement and IFC</t>
  </si>
  <si>
    <t>Structural &amp; Geotechnical Engineering</t>
  </si>
  <si>
    <t>Landscaping, Swimming Pools &amp; Water Features</t>
  </si>
  <si>
    <t>MEPD Engineering</t>
  </si>
  <si>
    <t>Quantity Surveying / Cost Management (excl.)</t>
  </si>
  <si>
    <t>Sub-Total Mirage</t>
  </si>
  <si>
    <r>
      <t xml:space="preserve">Architectural, ID and Structural </t>
    </r>
    <r>
      <rPr>
        <sz val="12"/>
        <color rgb="FFFF0000"/>
        <rFont val="Arial"/>
        <family val="2"/>
      </rPr>
      <t>Specification Writing Only</t>
    </r>
  </si>
  <si>
    <t>Incl in Arch STR &amp; ID fee</t>
  </si>
  <si>
    <t>AOR</t>
  </si>
  <si>
    <t>Civil Engineering</t>
  </si>
  <si>
    <t>Included within plot</t>
  </si>
  <si>
    <t>Interior Design</t>
  </si>
  <si>
    <t>PH Design</t>
  </si>
  <si>
    <t xml:space="preserve">Artwork </t>
  </si>
  <si>
    <t xml:space="preserve">Excluded </t>
  </si>
  <si>
    <t>Telecom</t>
  </si>
  <si>
    <t>Emaar Technologies</t>
  </si>
  <si>
    <t>Acoustics</t>
  </si>
  <si>
    <t>Inhabit</t>
  </si>
  <si>
    <r>
      <t xml:space="preserve">Fire &amp; Life Safety </t>
    </r>
    <r>
      <rPr>
        <sz val="12"/>
        <color rgb="FFFF0000"/>
        <rFont val="Arial"/>
        <family val="2"/>
      </rPr>
      <t>(excl CFD)</t>
    </r>
  </si>
  <si>
    <t>Vortex</t>
  </si>
  <si>
    <t>Vertical Transport</t>
  </si>
  <si>
    <r>
      <t xml:space="preserve">Sustainability </t>
    </r>
    <r>
      <rPr>
        <sz val="12"/>
        <color rgb="FFFF0000"/>
        <rFont val="Arial"/>
        <family val="2"/>
      </rPr>
      <t>(Minimum DM Requirements)</t>
    </r>
  </si>
  <si>
    <t>Platinum</t>
  </si>
  <si>
    <t>Wind Engineering</t>
  </si>
  <si>
    <t>RWDI/CPP</t>
  </si>
  <si>
    <t>RWDI</t>
  </si>
  <si>
    <t>Façade &amp; BMU</t>
  </si>
  <si>
    <t>Thomas Bell-Wright</t>
  </si>
  <si>
    <t>Specialist Lighting</t>
  </si>
  <si>
    <t>Studio Lumen</t>
  </si>
  <si>
    <t>Signage &amp; Wayfinding</t>
  </si>
  <si>
    <t>Waste Management</t>
  </si>
  <si>
    <t>MCTS</t>
  </si>
  <si>
    <t>Spa Consultant - Spa Enabler</t>
  </si>
  <si>
    <t>Excluded</t>
  </si>
  <si>
    <r>
      <t xml:space="preserve">Traffic Engineering </t>
    </r>
    <r>
      <rPr>
        <sz val="12"/>
        <color rgb="FFFF0000"/>
        <rFont val="Arial"/>
        <family val="2"/>
      </rPr>
      <t>(TIS - Level 1)</t>
    </r>
  </si>
  <si>
    <t>Al Turath</t>
  </si>
  <si>
    <t>Topographical Survey</t>
  </si>
  <si>
    <t>F&amp;B, Kitchen</t>
  </si>
  <si>
    <t>F&amp;B Concept Enabler</t>
  </si>
  <si>
    <t>Laundry</t>
  </si>
  <si>
    <t>Gym Consultant</t>
  </si>
  <si>
    <t>Procurement Agent</t>
  </si>
  <si>
    <t>Exclude this</t>
  </si>
  <si>
    <t>EIA (Minimum Local Requirements)</t>
  </si>
  <si>
    <t>3rd Party Structural &amp; Geotechnical Review</t>
  </si>
  <si>
    <t>Salama</t>
  </si>
  <si>
    <t>Security</t>
  </si>
  <si>
    <t>CKR</t>
  </si>
  <si>
    <t>3rd Party MEPD Review</t>
  </si>
  <si>
    <t>3rd Party Fire, Life &amp; Safety Review</t>
  </si>
  <si>
    <t>3rd Party Cost Review</t>
  </si>
  <si>
    <t>Aeronautical Survey</t>
  </si>
  <si>
    <t>Nortech</t>
  </si>
  <si>
    <t>Physical Scale Model</t>
  </si>
  <si>
    <t>A.1</t>
  </si>
  <si>
    <t>Subtotal - Sub-Consultants</t>
  </si>
  <si>
    <t>A.2</t>
  </si>
  <si>
    <t>Expenses (no travel considered)</t>
  </si>
  <si>
    <t>A.3</t>
  </si>
  <si>
    <t>Sub Total: Pre-Contract Costs</t>
  </si>
  <si>
    <t>A.4</t>
  </si>
  <si>
    <t>Risk / Contingency</t>
  </si>
  <si>
    <t>A.5</t>
  </si>
  <si>
    <t>Negotiation</t>
  </si>
  <si>
    <t>A.6</t>
  </si>
  <si>
    <t>Markup / Margin</t>
  </si>
  <si>
    <t>TOTAL PRE-CONTRACT FEE (DM, PM &amp; DESIGN)</t>
  </si>
  <si>
    <t>B</t>
  </si>
  <si>
    <t>POST-CONTRACT FEE (PMC &amp; TECHNICAL)</t>
  </si>
  <si>
    <t>PMC</t>
  </si>
  <si>
    <t>QS / Cost Management (Excluded)</t>
  </si>
  <si>
    <t>Technical Site Supervision</t>
  </si>
  <si>
    <t>Technical Site Supervision Sub-Consultants</t>
  </si>
  <si>
    <t xml:space="preserve">DLP Allowance (12 Months) </t>
  </si>
  <si>
    <t>B.1</t>
  </si>
  <si>
    <t>Sub-total: Post-Contract Services</t>
  </si>
  <si>
    <t>B.2</t>
  </si>
  <si>
    <t>B.3</t>
  </si>
  <si>
    <t>B.4</t>
  </si>
  <si>
    <t>TOTAL POST-CONTRACT FEE (PMC &amp; TECHNICAL)</t>
  </si>
  <si>
    <t>C</t>
  </si>
  <si>
    <t>TOTAL FEE PROPOSAL</t>
  </si>
  <si>
    <t>C.1</t>
  </si>
  <si>
    <t>Pre-Contract Fee</t>
  </si>
  <si>
    <t>C.2</t>
  </si>
  <si>
    <t>Post-Contract Fee</t>
  </si>
  <si>
    <t>D</t>
  </si>
  <si>
    <t>FEE AVAILABLE</t>
  </si>
  <si>
    <t>D.1</t>
  </si>
  <si>
    <t>Variance</t>
  </si>
  <si>
    <t>Margin Check</t>
  </si>
  <si>
    <t>Risk / Contingency Check</t>
  </si>
  <si>
    <t>Negotiation Check</t>
  </si>
  <si>
    <t>Total</t>
  </si>
  <si>
    <t>TARGET HARD COST (AED) (UNFURNISHED, UNSERVICED) 
INCLUDING WHITE GOODS TO APTS &amp; FFE / OSE TO PUBLIC AREAS</t>
  </si>
  <si>
    <t xml:space="preserve">QS Fee </t>
  </si>
  <si>
    <t>BUA up to 32,5000 ft2</t>
  </si>
  <si>
    <t>Fee</t>
  </si>
  <si>
    <t>including Margin</t>
  </si>
  <si>
    <t>Omit Margin &amp; Contingencies</t>
  </si>
  <si>
    <t>Pre</t>
  </si>
  <si>
    <t>Post</t>
  </si>
  <si>
    <t xml:space="preserve">DCH. A9 </t>
  </si>
  <si>
    <t>DESIGN CONSULTANCY SERVICES</t>
  </si>
  <si>
    <t>FEE BREAKDOWN</t>
  </si>
  <si>
    <t>Professional Discipline</t>
  </si>
  <si>
    <t>Sub-Consultant</t>
  </si>
  <si>
    <t>Signed NDA Received</t>
  </si>
  <si>
    <t>FROM Subs</t>
  </si>
  <si>
    <t>Fees 
31.05.24</t>
  </si>
  <si>
    <t>Concept Design</t>
  </si>
  <si>
    <t xml:space="preserve">Stage 2 
Schematic Design </t>
  </si>
  <si>
    <t xml:space="preserve">Stage 3
Detail Design </t>
  </si>
  <si>
    <t xml:space="preserve">Stage 4
Tender Docs, Tender Services &amp; Evaluation  </t>
  </si>
  <si>
    <t xml:space="preserve">Stage 5
IFC &amp; Contract Documentation </t>
  </si>
  <si>
    <t>Total Design</t>
  </si>
  <si>
    <t>Supervision</t>
  </si>
  <si>
    <t>Total
A</t>
  </si>
  <si>
    <t>USD</t>
  </si>
  <si>
    <t>Architecture (PCD to DD)</t>
  </si>
  <si>
    <t>DPA (Upto SD)</t>
  </si>
  <si>
    <t>DPA</t>
  </si>
  <si>
    <t>check AOR</t>
  </si>
  <si>
    <t>DD</t>
  </si>
  <si>
    <t>TD/IFC Review</t>
  </si>
  <si>
    <t>Architecture 02  (PCD ONLY)</t>
  </si>
  <si>
    <t>OMA (Upto SD)</t>
  </si>
  <si>
    <t>OMA (PCD)</t>
  </si>
  <si>
    <t>`</t>
  </si>
  <si>
    <t>TD &amp; IFC Rev / month</t>
  </si>
  <si>
    <t>Strategy, Brand Identity</t>
  </si>
  <si>
    <t>Chandelier</t>
  </si>
  <si>
    <t>Ideation Consultancy (ID Briefing)</t>
  </si>
  <si>
    <t>ERA</t>
  </si>
  <si>
    <t xml:space="preserve">AOR </t>
  </si>
  <si>
    <t>Chawla Architects</t>
  </si>
  <si>
    <t>Dubai Consultants</t>
  </si>
  <si>
    <t>Geotechnical Design</t>
  </si>
  <si>
    <t>RBG</t>
  </si>
  <si>
    <t>Coffey</t>
  </si>
  <si>
    <t>MEP</t>
  </si>
  <si>
    <t>Consistent Engineering Consultants</t>
  </si>
  <si>
    <t>WME</t>
  </si>
  <si>
    <t>Yes</t>
  </si>
  <si>
    <t>LW Design</t>
  </si>
  <si>
    <t>Declined</t>
  </si>
  <si>
    <t>DSGN</t>
  </si>
  <si>
    <t xml:space="preserve">Specialist Lighting </t>
  </si>
  <si>
    <t>Lightvision</t>
  </si>
  <si>
    <t>CD+M</t>
  </si>
  <si>
    <t>Nulty Lighting</t>
  </si>
  <si>
    <t>LDPi</t>
  </si>
  <si>
    <t>Façade and BMU</t>
  </si>
  <si>
    <t>Thomas Bell-Wright International Consultants</t>
  </si>
  <si>
    <t>Meinhardt</t>
  </si>
  <si>
    <t>AESG</t>
  </si>
  <si>
    <t>Ramboll</t>
  </si>
  <si>
    <t>Warner Sobek</t>
  </si>
  <si>
    <t>Signage &amp; Wayfinding Consultant</t>
  </si>
  <si>
    <t>Brimaxx</t>
  </si>
  <si>
    <t>Brimaxx (A9+A10 Combined Offer)</t>
  </si>
  <si>
    <t>Endpoint</t>
  </si>
  <si>
    <t>Trade Inclusive DMCC</t>
  </si>
  <si>
    <t>Wind Tunnel Testing</t>
  </si>
  <si>
    <t>CPP</t>
  </si>
  <si>
    <t xml:space="preserve">Security </t>
  </si>
  <si>
    <t>Jensen Hughes</t>
  </si>
  <si>
    <t>Telecom (AV/ICT)</t>
  </si>
  <si>
    <t>Emaar Tech</t>
  </si>
  <si>
    <t>NV5</t>
  </si>
  <si>
    <t>Pools &amp; Water Specialist</t>
  </si>
  <si>
    <t>Barr + Wray</t>
  </si>
  <si>
    <t>Starpool</t>
  </si>
  <si>
    <t>The Wellness</t>
  </si>
  <si>
    <t>EME</t>
  </si>
  <si>
    <t>Fire Life Study</t>
  </si>
  <si>
    <t>Design Confidence</t>
  </si>
  <si>
    <t>Vertical Transportation</t>
  </si>
  <si>
    <t>Barker Mohandas</t>
  </si>
  <si>
    <t>RBA Vertical Transportation Consultants</t>
  </si>
  <si>
    <t>Traffic Impact Study</t>
  </si>
  <si>
    <t>Zutari</t>
  </si>
  <si>
    <t>Infracad</t>
  </si>
  <si>
    <t>CDM Smith</t>
  </si>
  <si>
    <t>Transpo</t>
  </si>
  <si>
    <t>DARL</t>
  </si>
  <si>
    <t>78000 + 15500</t>
  </si>
  <si>
    <t>3rd Party Structural Peer Review</t>
  </si>
  <si>
    <t>Qualiconsult</t>
  </si>
  <si>
    <t>SSE</t>
  </si>
  <si>
    <t>3rd Party Geotechnical Peer Review</t>
  </si>
  <si>
    <t xml:space="preserve">Aeronautical </t>
  </si>
  <si>
    <t>DMGBC / Al Sa’fat Green Building Facilitation</t>
  </si>
  <si>
    <t>PSDI</t>
  </si>
  <si>
    <t>CDS</t>
  </si>
  <si>
    <t>Building Services</t>
  </si>
  <si>
    <t>GCE</t>
  </si>
  <si>
    <t>Soil Investigation</t>
  </si>
  <si>
    <t xml:space="preserve">By Client </t>
  </si>
  <si>
    <t xml:space="preserve">Topographical Survey </t>
  </si>
  <si>
    <t>External Renderings</t>
  </si>
  <si>
    <t>Environmental Impact Study</t>
  </si>
  <si>
    <t>Misc. Budget - Subs</t>
  </si>
  <si>
    <t>TOTAL SUB-CONSULTANT FEE (INCL CONT)</t>
  </si>
  <si>
    <t xml:space="preserve">Architecture &amp; Project Manager (Mirage Design) </t>
  </si>
  <si>
    <t xml:space="preserve">Structures </t>
  </si>
  <si>
    <t>Landscape</t>
  </si>
  <si>
    <t>Design support during Construction - Mirage</t>
  </si>
  <si>
    <t>Direct Costs (Aconex, PI Insurance, etc) Other Misc. Expenses</t>
  </si>
  <si>
    <t>TOTAL FEE FOR COMPONENT</t>
  </si>
  <si>
    <t>Design Contingency @15%</t>
  </si>
  <si>
    <t>TOTAL MARGIN @ 10%</t>
  </si>
  <si>
    <t xml:space="preserve">TOTAL DESIGN </t>
  </si>
  <si>
    <t xml:space="preserve">DCH. A10 </t>
  </si>
  <si>
    <t>RESOURCING FORECAST FOR BVLGARI, DCG, SE-01/SW-01, AMR EW-8. EW-09, EW-06 &amp; F14</t>
  </si>
  <si>
    <t>#</t>
  </si>
  <si>
    <t>Staff Name</t>
  </si>
  <si>
    <t>Code</t>
  </si>
  <si>
    <t>Staff Role</t>
  </si>
  <si>
    <t>Current Resources</t>
  </si>
  <si>
    <t>Resource Projection</t>
  </si>
  <si>
    <t>FWA Resource</t>
  </si>
  <si>
    <t>Average Resource Required (till Nov end)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</si>
  <si>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</si>
  <si>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</si>
  <si>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</si>
  <si>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</si>
  <si>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</si>
  <si>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</si>
  <si>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</si>
  <si>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</si>
  <si>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</si>
  <si>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</si>
  <si>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</si>
  <si>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</si>
  <si>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</si>
  <si>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</si>
  <si>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</si>
  <si>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</si>
  <si>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</si>
  <si>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</si>
  <si>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</si>
  <si>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</si>
  <si>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</si>
  <si>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</si>
  <si>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</si>
  <si>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</si>
  <si>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</si>
  <si>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</si>
  <si>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</si>
  <si>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</si>
  <si>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</si>
  <si>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</si>
  <si>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</si>
  <si>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</si>
  <si>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</si>
  <si>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</si>
  <si>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</si>
  <si>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</si>
  <si>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</si>
  <si>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</si>
  <si>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</si>
  <si>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</si>
  <si>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</si>
  <si>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MEP Director</t>
  </si>
  <si>
    <t>LME</t>
  </si>
  <si>
    <t>Lead Mech Engr - Dubai</t>
  </si>
  <si>
    <t>LPE</t>
  </si>
  <si>
    <t>Lead PHE Engr - Dubai</t>
  </si>
  <si>
    <t>LEE</t>
  </si>
  <si>
    <t>Lead Elect Engr - Dubai</t>
  </si>
  <si>
    <t>SMED</t>
  </si>
  <si>
    <t>Senior Mech Engr - Dubai</t>
  </si>
  <si>
    <t>SPED</t>
  </si>
  <si>
    <t>Senior PHE Engr - Dubai</t>
  </si>
  <si>
    <t>SEED</t>
  </si>
  <si>
    <t>Senior Elect Engr - Dubai</t>
  </si>
  <si>
    <t>AME</t>
  </si>
  <si>
    <t>Principal Mech Engr</t>
  </si>
  <si>
    <t>SME</t>
  </si>
  <si>
    <t>Senior Mechanical Engineer</t>
  </si>
  <si>
    <t>JME</t>
  </si>
  <si>
    <t>Mechanical Engineer</t>
  </si>
  <si>
    <t>SPE</t>
  </si>
  <si>
    <t>Senior PHE Engr</t>
  </si>
  <si>
    <t>JPE</t>
  </si>
  <si>
    <t>PHE Engineer</t>
  </si>
  <si>
    <t>SEE</t>
  </si>
  <si>
    <t>Senior Electrical Engineer</t>
  </si>
  <si>
    <t>JEE</t>
  </si>
  <si>
    <t>Electrical Engineer</t>
  </si>
  <si>
    <t>BL</t>
  </si>
  <si>
    <t>BIM Manager/Coordinator</t>
  </si>
  <si>
    <t>BML</t>
  </si>
  <si>
    <t>BIM Lead-M</t>
  </si>
  <si>
    <t>BM</t>
  </si>
  <si>
    <t>BIM Modeller-M</t>
  </si>
  <si>
    <t>BJM</t>
  </si>
  <si>
    <t>Junior BIM Modeller-M</t>
  </si>
  <si>
    <t>BPL</t>
  </si>
  <si>
    <t>BIM Lead-P</t>
  </si>
  <si>
    <t>BP</t>
  </si>
  <si>
    <t>BIM Modeller-P</t>
  </si>
  <si>
    <t>BJP</t>
  </si>
  <si>
    <t>Junior BIM Modeller-P</t>
  </si>
  <si>
    <t>BEL</t>
  </si>
  <si>
    <t>BIM Lead-E</t>
  </si>
  <si>
    <t>BE</t>
  </si>
  <si>
    <t>BIM Modeller-E</t>
  </si>
  <si>
    <t>BJE</t>
  </si>
  <si>
    <t>Junior BIM Modeller-E</t>
  </si>
  <si>
    <t>LMEP</t>
  </si>
  <si>
    <t>MEP Lead (Dubai)</t>
  </si>
  <si>
    <t>Lead Mech Engr (Dubai)</t>
  </si>
  <si>
    <t>Lead PHE Engr (Dubai)</t>
  </si>
  <si>
    <t>Lead Elect Engr (Dubai)</t>
  </si>
  <si>
    <t>Senior Mech Engr-Dubai</t>
  </si>
  <si>
    <t>Senior PHE Engr-Dubai</t>
  </si>
  <si>
    <t>Senior Elect Engr-Dubai</t>
  </si>
  <si>
    <t>APE</t>
  </si>
  <si>
    <t>Principal PHE Engr</t>
  </si>
  <si>
    <t>AEE</t>
  </si>
  <si>
    <t>Principal Elect Engr/Director</t>
  </si>
  <si>
    <t>BIM Manager</t>
  </si>
  <si>
    <t>BIM Coordinator</t>
  </si>
  <si>
    <t>Total Hours</t>
  </si>
  <si>
    <t>SE-01/SW-01</t>
  </si>
  <si>
    <t>IFC Documentation Issue</t>
  </si>
  <si>
    <t>CD</t>
  </si>
  <si>
    <t>SD</t>
  </si>
  <si>
    <t>TD</t>
  </si>
  <si>
    <t>IFC</t>
  </si>
  <si>
    <t>Total Full Time Equivalent (FTE)</t>
  </si>
  <si>
    <t>MIRAGE LEISURE AND DEVELOPMENT</t>
  </si>
  <si>
    <t xml:space="preserve">DUBAI CREEK HARBOUR PLOT A9 &amp; A10, RESIDENTIAL TOWERS </t>
  </si>
  <si>
    <t>MIRAGE SCOPE OF SERVICES: LEAD DESIGN CONSULTANCY</t>
  </si>
  <si>
    <t xml:space="preserve">SUB-CONSULTANT TENDER LIST </t>
  </si>
  <si>
    <t>SCOPE &amp; TENDERER</t>
  </si>
  <si>
    <t>CONTACT PERSON</t>
  </si>
  <si>
    <t>EMAIL ADDRESS</t>
  </si>
  <si>
    <t>Architecture (Pre-Concept Architect) - N/A</t>
  </si>
  <si>
    <t>AOR - N/A</t>
  </si>
  <si>
    <t>Gopan Raj</t>
  </si>
  <si>
    <t>g.raj@wmeglobal.com</t>
  </si>
  <si>
    <t>Geotechnical Design - N/A</t>
  </si>
  <si>
    <t>Green Concept Engineering Consulatnt (GCE)</t>
  </si>
  <si>
    <t>Amjad Nassar
Bassam</t>
  </si>
  <si>
    <t>amjad@greencec.ae
bassam@greencec.ae</t>
  </si>
  <si>
    <t>CKR Consulting Engineers</t>
  </si>
  <si>
    <t>Anil Menon</t>
  </si>
  <si>
    <t>amenon@ckr.ae</t>
  </si>
  <si>
    <t>Nathan Cartwright</t>
  </si>
  <si>
    <t>nathan.cartwright@nv5.com</t>
  </si>
  <si>
    <t>Robert Hawkins
Pinar Hawkins</t>
  </si>
  <si>
    <t>admin@phdesignme.com
pinarh@phdesignme.com</t>
  </si>
  <si>
    <t>Emily Webb</t>
  </si>
  <si>
    <t>emily.webb@lw.co</t>
  </si>
  <si>
    <t xml:space="preserve">Trevor Julius </t>
  </si>
  <si>
    <t>Trevor@dsgn.co.za</t>
  </si>
  <si>
    <t xml:space="preserve">Studio Lumen </t>
  </si>
  <si>
    <t>Siddharth Mathur</t>
  </si>
  <si>
    <t>sm@studiolumen.ae
rv@studiolumen.ae
sr@studiolumen.ae
vp@studiolumen.ae</t>
  </si>
  <si>
    <t>Karsten Ehling</t>
  </si>
  <si>
    <t>karsten.ehling@lichtvision.com</t>
  </si>
  <si>
    <t>CD+M Lighting (Dubai)</t>
  </si>
  <si>
    <t xml:space="preserve">
Asera Banu
</t>
  </si>
  <si>
    <t xml:space="preserve">
Asera@cdmlight.com
</t>
  </si>
  <si>
    <t>Mark Vowles</t>
  </si>
  <si>
    <t>mark@nultylighting.co.uk</t>
  </si>
  <si>
    <t>Lawrie Nisbet</t>
  </si>
  <si>
    <t>lnisbet@ldpinternational.com</t>
  </si>
  <si>
    <t>MeinHardt</t>
  </si>
  <si>
    <t xml:space="preserve">
Paul Grove 
Celeste Gariando
Mary Rose Joyce Gaa</t>
  </si>
  <si>
    <t xml:space="preserve">
paul.grove@mfacade.com
celeste.gariando@mfacade.com
joyce.gaa@mfacade.com</t>
  </si>
  <si>
    <t xml:space="preserve">
Mutaz Saheb</t>
  </si>
  <si>
    <t xml:space="preserve">
mutaz.saheb@bell-wright.com</t>
  </si>
  <si>
    <t>Scott Coombes</t>
  </si>
  <si>
    <t>s.coombes@aesg-me.com</t>
  </si>
  <si>
    <t>Afschin Soleimani</t>
  </si>
  <si>
    <t>a.soleimani@ramboll.com</t>
  </si>
  <si>
    <t>Werner Sobek</t>
  </si>
  <si>
    <t>Benjamin Beer
Remoleza Bagaporo</t>
  </si>
  <si>
    <t xml:space="preserve"> benjamin.beer@wernersobek.com
bids.dubai@wernersobek.com</t>
  </si>
  <si>
    <t>Trade Inc</t>
  </si>
  <si>
    <t>Ghouthia Johnson
Chris McCreedy</t>
  </si>
  <si>
    <t>Ghouthia@tradeinc.ae
chrism@tradeinc.ae</t>
  </si>
  <si>
    <t xml:space="preserve">Christian Berglehner
Carlo Schwarzler
</t>
  </si>
  <si>
    <t>chris@brimaxx.eu
chris@brimaxx-limo.com
carlo@brimaxx.eu</t>
  </si>
  <si>
    <t xml:space="preserve">Endpoint </t>
  </si>
  <si>
    <t>Nicole Sassaman</t>
  </si>
  <si>
    <t>nicole.sassaman@weareendpoint.com</t>
  </si>
  <si>
    <t xml:space="preserve">Wind Tunnel Testing </t>
  </si>
  <si>
    <t>Bhami Ilyas
Dr. Roy Denoon</t>
  </si>
  <si>
    <t xml:space="preserve">bilyas@cppwind.com
rdenoon@cppwind.com  </t>
  </si>
  <si>
    <t>Chrissy Lemmex</t>
  </si>
  <si>
    <t>Christine.Lemmex@RWDI.com</t>
  </si>
  <si>
    <t>Security (including Threat &amp; Risk Assessment )</t>
  </si>
  <si>
    <t>Pedro Armijo</t>
  </si>
  <si>
    <t>tenders@jensenhughes.com</t>
  </si>
  <si>
    <t>Telecom (AV/CT)</t>
  </si>
  <si>
    <t xml:space="preserve">Ganesh Mitkari
 Mohammed Shakeel  Neranki </t>
  </si>
  <si>
    <t>ganeshm@emaar.ae
MShakeel@emaar.ae</t>
  </si>
  <si>
    <t>Landscape - N/A</t>
  </si>
  <si>
    <t>Pool and Water Specialist</t>
  </si>
  <si>
    <t>Peter Rietveld</t>
  </si>
  <si>
    <t>prietveld@barrandwray.com</t>
  </si>
  <si>
    <t>Gabriele Marezzi</t>
  </si>
  <si>
    <t>gabriele.marezzi@starpool.com</t>
  </si>
  <si>
    <t>EME - Engineering Marketing EST</t>
  </si>
  <si>
    <t>Nayef Kassissieh</t>
  </si>
  <si>
    <t>nayef@eme-me.com</t>
  </si>
  <si>
    <t>Noha Khalil</t>
  </si>
  <si>
    <t>noha.khalil@thewellness.ae</t>
  </si>
  <si>
    <t xml:space="preserve">Fire Life Safety </t>
  </si>
  <si>
    <t>Vortex Fire Safety Consultancy</t>
  </si>
  <si>
    <t>Faimeen Shah
Katherine Brownlie</t>
  </si>
  <si>
    <t>f.shah@vortexfec.com
k.brownlie@vortexfec.com
a.joy@vortexfec.com
dubai@vortexfec.com</t>
  </si>
  <si>
    <t>Tom Sagris</t>
  </si>
  <si>
    <t>tsagris@designconfidence.com</t>
  </si>
  <si>
    <t>Anand Sivan
Sivakumar Rangaraj</t>
  </si>
  <si>
    <t>as@barkermohandas.com</t>
  </si>
  <si>
    <t>RBA</t>
  </si>
  <si>
    <t>Anthony Lewis</t>
  </si>
  <si>
    <t>anthony@rbavt.com</t>
  </si>
  <si>
    <t>Al Turat Engineering Consultants</t>
  </si>
  <si>
    <t>Tammam
Rashid
Majid Semsar
Mohaned
Alaa Mukdad
Rawaa Najjar</t>
  </si>
  <si>
    <t xml:space="preserve"> tammam@tec.ae
rashed@TEC.AE
majid@tec.ae
mohdm@tec.ae
alaa@tecdxb.com
Rawaa@tec.ae</t>
  </si>
  <si>
    <t xml:space="preserve">Sean Murphy     </t>
  </si>
  <si>
    <t>Sean.Murphy2@zutari.com</t>
  </si>
  <si>
    <t>Hani Al-Alami</t>
  </si>
  <si>
    <t xml:space="preserve">Hani.al-alami@infracad.com
khaled.Nahouli@infracad.com </t>
  </si>
  <si>
    <t>Inhabit Group</t>
  </si>
  <si>
    <t>Gerald Stewart</t>
  </si>
  <si>
    <t>Gerald.Stewart@inhabitgroup.com</t>
  </si>
  <si>
    <t>admin@darl.ae
nadia@darl.ae
tijana@darl.ae</t>
  </si>
  <si>
    <t>3rd Party Structural Review</t>
  </si>
  <si>
    <t>Marianne Magdy</t>
  </si>
  <si>
    <t>mmagdy@sseweb.ae</t>
  </si>
  <si>
    <t>Khaleed Ben Hamouda</t>
  </si>
  <si>
    <t>khaled.ben-hamouda@qualiconsult-uae.com</t>
  </si>
  <si>
    <t>3rd Party Geotechnical Review</t>
  </si>
  <si>
    <t>Nortech Infra</t>
  </si>
  <si>
    <t>Avinash Paul Dsouza</t>
  </si>
  <si>
    <t>paul.dsouza@nortechservices.net</t>
  </si>
  <si>
    <t>Ramesh Narayanan</t>
  </si>
  <si>
    <t>ramesh@platinumsdi.com</t>
  </si>
  <si>
    <t>Waste Management Consultancy</t>
  </si>
  <si>
    <t>CDS Consulting and Design Services</t>
  </si>
  <si>
    <t>Karim Nasreddine</t>
  </si>
  <si>
    <t xml:space="preserve">karim.n@cdsmea.com&gt; </t>
  </si>
  <si>
    <t>Ana Maria Velez</t>
  </si>
  <si>
    <t>ana@mctservices.com</t>
  </si>
  <si>
    <t>APPROVAL</t>
  </si>
  <si>
    <t>Commercial Lead</t>
  </si>
  <si>
    <t>Raihan Saghir</t>
  </si>
  <si>
    <t>Executive Director</t>
  </si>
  <si>
    <t>N/A</t>
  </si>
  <si>
    <t>Managing Director</t>
  </si>
  <si>
    <t>Andre Naude</t>
  </si>
  <si>
    <t>Chief Executive Officer</t>
  </si>
  <si>
    <t>Amar Tahilani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</si>
</sst>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&quot;AED&quot;#,##0_);\(&quot;AED&quot;#,##0\)"/>
    <numFmt numFmtId="166" formatCode="_(* #,##0_);_(* \(#,##0\);_(* &quot;-&quot;??_);_(@_)"/>
    <numFmt numFmtId="167" formatCode="#,##0_)\ &quot;ft2 GFA&quot;"/>
    <numFmt numFmtId="168" formatCode="_(* #,##0.0_);_(* \(#,##0.0\);_(* &quot;-&quot;??_);_(@_)"/>
    <numFmt numFmtId="169" formatCode="0.0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10.5"/>
      <color theme="0"/>
      <name val="Arial"/>
      <family val="2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sz val="10.5"/>
      <color rgb="FFFF0000"/>
      <name val="Arial"/>
      <family val="2"/>
    </font>
    <font>
      <b/>
      <sz val="10.5"/>
      <color rgb="FFFF0000"/>
      <name val="Arial"/>
      <family val="2"/>
    </font>
    <font>
      <sz val="10.5"/>
      <color theme="1"/>
      <name val="Arial"/>
      <family val="2"/>
    </font>
    <font>
      <i/>
      <sz val="10.5"/>
      <name val="Arial"/>
      <family val="2"/>
    </font>
    <font>
      <b/>
      <sz val="10.5"/>
      <color theme="1"/>
      <name val="Arial"/>
      <family val="2"/>
    </font>
    <font>
      <i/>
      <sz val="10.5"/>
      <color rgb="FFFF0000"/>
      <name val="Arial"/>
      <family val="2"/>
    </font>
    <font>
      <sz val="12"/>
      <color rgb="FF0070C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92D050"/>
      <name val="Arial"/>
      <family val="2"/>
    </font>
    <font>
      <sz val="12"/>
      <color theme="8" tint="-0.249977111117893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2"/>
      <color theme="10"/>
      <name val="Arial"/>
      <family val="2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FFD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E7F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hair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7" fillId="0" borderId="0"/>
    <xf numFmtId="43" fontId="6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611">
    <xf numFmtId="0" fontId="0" fillId="0" borderId="0" xfId="0"/>
    <xf numFmtId="0" fontId="8" fillId="0" borderId="0" xfId="2" applyFont="1" applyAlignment="1">
      <alignment horizontal="center"/>
    </xf>
    <xf numFmtId="0" fontId="8" fillId="0" borderId="0" xfId="2" applyFont="1"/>
    <xf numFmtId="9" fontId="8" fillId="2" borderId="0" xfId="2" applyNumberFormat="1" applyFont="1" applyFill="1" applyAlignment="1">
      <alignment horizontal="center"/>
    </xf>
    <xf numFmtId="166" fontId="9" fillId="2" borderId="0" xfId="2" applyNumberFormat="1" applyFont="1" applyFill="1" applyAlignment="1">
      <alignment horizontal="center"/>
    </xf>
    <xf numFmtId="166" fontId="8" fillId="0" borderId="0" xfId="3" applyNumberFormat="1" applyFont="1"/>
    <xf numFmtId="0" fontId="8" fillId="2" borderId="0" xfId="2" applyFont="1" applyFill="1" applyAlignment="1">
      <alignment horizontal="center" vertical="center"/>
    </xf>
    <xf numFmtId="0" fontId="9" fillId="2" borderId="0" xfId="4" applyFont="1" applyFill="1"/>
    <xf numFmtId="166" fontId="8" fillId="2" borderId="0" xfId="3" applyNumberFormat="1" applyFont="1" applyFill="1" applyAlignment="1">
      <alignment vertical="center"/>
    </xf>
    <xf numFmtId="0" fontId="8" fillId="2" borderId="0" xfId="2" applyFont="1" applyFill="1" applyAlignment="1">
      <alignment vertical="center"/>
    </xf>
    <xf numFmtId="49" fontId="9" fillId="2" borderId="0" xfId="4" applyNumberFormat="1" applyFont="1" applyFill="1"/>
    <xf numFmtId="0" fontId="8" fillId="2" borderId="0" xfId="2" applyFont="1" applyFill="1"/>
    <xf numFmtId="0" fontId="8" fillId="2" borderId="0" xfId="2" applyFont="1" applyFill="1" applyAlignment="1">
      <alignment horizontal="center"/>
    </xf>
    <xf numFmtId="0" fontId="9" fillId="0" borderId="0" xfId="2" applyFont="1" applyAlignment="1">
      <alignment horizontal="center"/>
    </xf>
    <xf numFmtId="0" fontId="10" fillId="6" borderId="20" xfId="2" applyFont="1" applyFill="1" applyBorder="1" applyAlignment="1">
      <alignment horizontal="center" vertical="center" wrapText="1"/>
    </xf>
    <xf numFmtId="0" fontId="10" fillId="7" borderId="20" xfId="2" applyFont="1" applyFill="1" applyBorder="1" applyAlignment="1">
      <alignment horizontal="center" vertical="center" wrapText="1"/>
    </xf>
    <xf numFmtId="0" fontId="10" fillId="6" borderId="21" xfId="2" applyFont="1" applyFill="1" applyBorder="1" applyAlignment="1">
      <alignment vertical="center"/>
    </xf>
    <xf numFmtId="0" fontId="10" fillId="6" borderId="22" xfId="2" applyFont="1" applyFill="1" applyBorder="1" applyAlignment="1">
      <alignment vertical="center"/>
    </xf>
    <xf numFmtId="0" fontId="10" fillId="6" borderId="23" xfId="2" applyFont="1" applyFill="1" applyBorder="1" applyAlignment="1">
      <alignment vertical="center"/>
    </xf>
    <xf numFmtId="166" fontId="9" fillId="0" borderId="0" xfId="3" applyNumberFormat="1" applyFont="1"/>
    <xf numFmtId="0" fontId="9" fillId="0" borderId="0" xfId="2" applyFont="1"/>
    <xf numFmtId="0" fontId="10" fillId="6" borderId="25" xfId="2" applyFont="1" applyFill="1" applyBorder="1" applyAlignment="1">
      <alignment horizontal="center" vertical="center" wrapText="1"/>
    </xf>
    <xf numFmtId="0" fontId="11" fillId="6" borderId="25" xfId="2" applyFont="1" applyFill="1" applyBorder="1" applyAlignment="1">
      <alignment horizontal="center" vertical="center" wrapText="1"/>
    </xf>
    <xf numFmtId="0" fontId="10" fillId="7" borderId="26" xfId="2" applyFont="1" applyFill="1" applyBorder="1" applyAlignment="1">
      <alignment horizontal="center" vertical="center" wrapText="1"/>
    </xf>
    <xf numFmtId="0" fontId="10" fillId="6" borderId="26" xfId="2" applyFont="1" applyFill="1" applyBorder="1" applyAlignment="1">
      <alignment horizontal="center" vertical="center"/>
    </xf>
    <xf numFmtId="0" fontId="10" fillId="6" borderId="27" xfId="2" applyFont="1" applyFill="1" applyBorder="1" applyAlignment="1">
      <alignment horizontal="center" vertical="center"/>
    </xf>
    <xf numFmtId="0" fontId="10" fillId="6" borderId="28" xfId="2" applyFont="1" applyFill="1" applyBorder="1" applyAlignment="1">
      <alignment horizontal="center" vertical="center" wrapText="1"/>
    </xf>
    <xf numFmtId="166" fontId="9" fillId="0" borderId="0" xfId="3" applyNumberFormat="1" applyFont="1" applyBorder="1"/>
    <xf numFmtId="0" fontId="9" fillId="2" borderId="29" xfId="2" applyFont="1" applyFill="1" applyBorder="1"/>
    <xf numFmtId="0" fontId="9" fillId="2" borderId="29" xfId="2" applyFont="1" applyFill="1" applyBorder="1" applyAlignment="1">
      <alignment horizontal="center"/>
    </xf>
    <xf numFmtId="9" fontId="9" fillId="2" borderId="29" xfId="2" applyNumberFormat="1" applyFont="1" applyFill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8" borderId="32" xfId="2" applyFont="1" applyFill="1" applyBorder="1" applyAlignment="1">
      <alignment horizontal="left" vertical="center" wrapText="1"/>
    </xf>
    <xf numFmtId="9" fontId="9" fillId="8" borderId="33" xfId="5" applyFont="1" applyFill="1" applyBorder="1" applyAlignment="1">
      <alignment horizontal="center" vertical="center"/>
    </xf>
    <xf numFmtId="9" fontId="9" fillId="8" borderId="34" xfId="5" applyFont="1" applyFill="1" applyBorder="1" applyAlignment="1">
      <alignment horizontal="center" vertical="center"/>
    </xf>
    <xf numFmtId="9" fontId="9" fillId="8" borderId="35" xfId="2" applyNumberFormat="1" applyFont="1" applyFill="1" applyBorder="1" applyAlignment="1">
      <alignment horizontal="center" vertical="center"/>
    </xf>
    <xf numFmtId="166" fontId="9" fillId="0" borderId="0" xfId="3" applyNumberFormat="1" applyFont="1" applyFill="1" applyAlignment="1">
      <alignment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36" xfId="2" applyFont="1" applyBorder="1" applyAlignment="1">
      <alignment vertical="center"/>
    </xf>
    <xf numFmtId="0" fontId="8" fillId="0" borderId="37" xfId="2" applyFont="1" applyBorder="1" applyAlignment="1">
      <alignment horizontal="left" vertical="center"/>
    </xf>
    <xf numFmtId="166" fontId="8" fillId="0" borderId="38" xfId="6" applyNumberFormat="1" applyFont="1" applyBorder="1" applyAlignment="1">
      <alignment horizontal="left" vertical="center"/>
    </xf>
    <xf numFmtId="0" fontId="9" fillId="0" borderId="38" xfId="2" applyFont="1" applyBorder="1" applyAlignment="1">
      <alignment horizontal="left" vertical="center"/>
    </xf>
    <xf numFmtId="166" fontId="13" fillId="0" borderId="38" xfId="3" applyNumberFormat="1" applyFont="1" applyFill="1" applyBorder="1" applyAlignment="1">
      <alignment horizontal="left" vertical="center"/>
    </xf>
    <xf numFmtId="166" fontId="14" fillId="0" borderId="36" xfId="2" applyNumberFormat="1" applyFont="1" applyBorder="1" applyAlignment="1">
      <alignment vertical="center"/>
    </xf>
    <xf numFmtId="166" fontId="8" fillId="0" borderId="37" xfId="2" applyNumberFormat="1" applyFont="1" applyBorder="1" applyAlignment="1">
      <alignment vertical="center"/>
    </xf>
    <xf numFmtId="166" fontId="8" fillId="0" borderId="39" xfId="2" applyNumberFormat="1" applyFont="1" applyBorder="1" applyAlignment="1">
      <alignment vertical="center"/>
    </xf>
    <xf numFmtId="166" fontId="8" fillId="0" borderId="0" xfId="3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15" fillId="9" borderId="36" xfId="2" applyFont="1" applyFill="1" applyBorder="1" applyAlignment="1">
      <alignment vertical="center"/>
    </xf>
    <xf numFmtId="0" fontId="8" fillId="9" borderId="37" xfId="2" applyFont="1" applyFill="1" applyBorder="1" applyAlignment="1">
      <alignment horizontal="left" vertical="center"/>
    </xf>
    <xf numFmtId="166" fontId="16" fillId="9" borderId="38" xfId="6" applyNumberFormat="1" applyFont="1" applyFill="1" applyBorder="1" applyAlignment="1">
      <alignment horizontal="left" vertical="center"/>
    </xf>
    <xf numFmtId="166" fontId="9" fillId="9" borderId="38" xfId="6" applyNumberFormat="1" applyFont="1" applyFill="1" applyBorder="1" applyAlignment="1">
      <alignment horizontal="left" vertical="center"/>
    </xf>
    <xf numFmtId="166" fontId="8" fillId="9" borderId="38" xfId="3" applyNumberFormat="1" applyFont="1" applyFill="1" applyBorder="1" applyAlignment="1">
      <alignment horizontal="left" vertical="center"/>
    </xf>
    <xf numFmtId="166" fontId="9" fillId="9" borderId="36" xfId="2" applyNumberFormat="1" applyFont="1" applyFill="1" applyBorder="1" applyAlignment="1">
      <alignment horizontal="center" vertical="center"/>
    </xf>
    <xf numFmtId="166" fontId="8" fillId="9" borderId="37" xfId="2" applyNumberFormat="1" applyFont="1" applyFill="1" applyBorder="1" applyAlignment="1">
      <alignment horizontal="center" vertical="center"/>
    </xf>
    <xf numFmtId="166" fontId="8" fillId="9" borderId="39" xfId="2" applyNumberFormat="1" applyFont="1" applyFill="1" applyBorder="1" applyAlignment="1">
      <alignment vertical="center"/>
    </xf>
    <xf numFmtId="166" fontId="8" fillId="0" borderId="0" xfId="2" applyNumberFormat="1" applyFont="1" applyAlignment="1">
      <alignment horizontal="center" vertical="center"/>
    </xf>
    <xf numFmtId="0" fontId="17" fillId="9" borderId="36" xfId="2" applyFont="1" applyFill="1" applyBorder="1" applyAlignment="1">
      <alignment vertical="center"/>
    </xf>
    <xf numFmtId="43" fontId="8" fillId="0" borderId="0" xfId="2" applyNumberFormat="1" applyFont="1" applyAlignment="1">
      <alignment vertical="center"/>
    </xf>
    <xf numFmtId="166" fontId="18" fillId="9" borderId="38" xfId="6" applyNumberFormat="1" applyFont="1" applyFill="1" applyBorder="1" applyAlignment="1">
      <alignment horizontal="left" vertical="center"/>
    </xf>
    <xf numFmtId="0" fontId="8" fillId="10" borderId="40" xfId="2" applyFont="1" applyFill="1" applyBorder="1" applyAlignment="1">
      <alignment vertical="center"/>
    </xf>
    <xf numFmtId="0" fontId="8" fillId="10" borderId="41" xfId="2" applyFont="1" applyFill="1" applyBorder="1" applyAlignment="1">
      <alignment horizontal="left" vertical="center"/>
    </xf>
    <xf numFmtId="166" fontId="8" fillId="10" borderId="42" xfId="6" applyNumberFormat="1" applyFont="1" applyFill="1" applyBorder="1" applyAlignment="1">
      <alignment horizontal="left" vertical="center"/>
    </xf>
    <xf numFmtId="166" fontId="9" fillId="10" borderId="42" xfId="6" applyNumberFormat="1" applyFont="1" applyFill="1" applyBorder="1" applyAlignment="1">
      <alignment horizontal="left" vertical="center"/>
    </xf>
    <xf numFmtId="166" fontId="8" fillId="10" borderId="38" xfId="3" applyNumberFormat="1" applyFont="1" applyFill="1" applyBorder="1" applyAlignment="1">
      <alignment horizontal="left" vertical="center"/>
    </xf>
    <xf numFmtId="166" fontId="9" fillId="10" borderId="36" xfId="2" applyNumberFormat="1" applyFont="1" applyFill="1" applyBorder="1" applyAlignment="1">
      <alignment horizontal="center" vertical="center"/>
    </xf>
    <xf numFmtId="166" fontId="8" fillId="10" borderId="41" xfId="7" applyNumberFormat="1" applyFont="1" applyFill="1" applyBorder="1" applyAlignment="1">
      <alignment horizontal="center" vertical="center"/>
    </xf>
    <xf numFmtId="166" fontId="8" fillId="10" borderId="43" xfId="2" applyNumberFormat="1" applyFont="1" applyFill="1" applyBorder="1" applyAlignment="1">
      <alignment horizontal="center" vertical="center"/>
    </xf>
    <xf numFmtId="166" fontId="8" fillId="0" borderId="0" xfId="2" applyNumberFormat="1" applyFont="1" applyAlignment="1">
      <alignment vertical="center"/>
    </xf>
    <xf numFmtId="0" fontId="8" fillId="11" borderId="40" xfId="2" applyFont="1" applyFill="1" applyBorder="1" applyAlignment="1">
      <alignment vertical="center"/>
    </xf>
    <xf numFmtId="0" fontId="8" fillId="11" borderId="41" xfId="2" applyFont="1" applyFill="1" applyBorder="1" applyAlignment="1">
      <alignment horizontal="left" vertical="center"/>
    </xf>
    <xf numFmtId="166" fontId="8" fillId="11" borderId="42" xfId="6" applyNumberFormat="1" applyFont="1" applyFill="1" applyBorder="1" applyAlignment="1">
      <alignment horizontal="right" vertical="center" wrapText="1"/>
    </xf>
    <xf numFmtId="166" fontId="9" fillId="11" borderId="42" xfId="6" applyNumberFormat="1" applyFont="1" applyFill="1" applyBorder="1" applyAlignment="1">
      <alignment horizontal="right" vertical="center" wrapText="1"/>
    </xf>
    <xf numFmtId="166" fontId="9" fillId="11" borderId="42" xfId="6" applyNumberFormat="1" applyFont="1" applyFill="1" applyBorder="1" applyAlignment="1">
      <alignment horizontal="left" vertical="center"/>
    </xf>
    <xf numFmtId="166" fontId="8" fillId="11" borderId="38" xfId="3" applyNumberFormat="1" applyFont="1" applyFill="1" applyBorder="1" applyAlignment="1">
      <alignment horizontal="left" vertical="center"/>
    </xf>
    <xf numFmtId="166" fontId="9" fillId="11" borderId="36" xfId="2" applyNumberFormat="1" applyFont="1" applyFill="1" applyBorder="1" applyAlignment="1">
      <alignment horizontal="center" vertical="center"/>
    </xf>
    <xf numFmtId="166" fontId="8" fillId="11" borderId="41" xfId="7" applyNumberFormat="1" applyFont="1" applyFill="1" applyBorder="1" applyAlignment="1">
      <alignment horizontal="center" vertical="center"/>
    </xf>
    <xf numFmtId="166" fontId="8" fillId="11" borderId="43" xfId="2" applyNumberFormat="1" applyFont="1" applyFill="1" applyBorder="1" applyAlignment="1">
      <alignment horizontal="center" vertical="center"/>
    </xf>
    <xf numFmtId="166" fontId="8" fillId="11" borderId="42" xfId="6" applyNumberFormat="1" applyFont="1" applyFill="1" applyBorder="1" applyAlignment="1">
      <alignment horizontal="left" vertical="center"/>
    </xf>
    <xf numFmtId="166" fontId="9" fillId="10" borderId="42" xfId="6" applyNumberFormat="1" applyFont="1" applyFill="1" applyBorder="1" applyAlignment="1">
      <alignment horizontal="right" vertical="center"/>
    </xf>
    <xf numFmtId="0" fontId="8" fillId="10" borderId="44" xfId="2" applyFont="1" applyFill="1" applyBorder="1" applyAlignment="1">
      <alignment vertical="center"/>
    </xf>
    <xf numFmtId="0" fontId="8" fillId="10" borderId="45" xfId="2" applyFont="1" applyFill="1" applyBorder="1" applyAlignment="1">
      <alignment horizontal="left" vertical="center"/>
    </xf>
    <xf numFmtId="166" fontId="8" fillId="10" borderId="46" xfId="6" applyNumberFormat="1" applyFont="1" applyFill="1" applyBorder="1" applyAlignment="1">
      <alignment horizontal="left" vertical="center"/>
    </xf>
    <xf numFmtId="166" fontId="9" fillId="10" borderId="46" xfId="6" applyNumberFormat="1" applyFont="1" applyFill="1" applyBorder="1" applyAlignment="1">
      <alignment horizontal="left" vertical="center"/>
    </xf>
    <xf numFmtId="166" fontId="8" fillId="10" borderId="12" xfId="3" applyNumberFormat="1" applyFont="1" applyFill="1" applyBorder="1" applyAlignment="1">
      <alignment horizontal="left" vertical="center"/>
    </xf>
    <xf numFmtId="166" fontId="9" fillId="10" borderId="47" xfId="2" applyNumberFormat="1" applyFont="1" applyFill="1" applyBorder="1" applyAlignment="1">
      <alignment horizontal="center" vertical="center"/>
    </xf>
    <xf numFmtId="166" fontId="8" fillId="10" borderId="45" xfId="7" applyNumberFormat="1" applyFont="1" applyFill="1" applyBorder="1" applyAlignment="1">
      <alignment horizontal="center" vertical="center"/>
    </xf>
    <xf numFmtId="166" fontId="8" fillId="10" borderId="48" xfId="2" applyNumberFormat="1" applyFont="1" applyFill="1" applyBorder="1" applyAlignment="1">
      <alignment horizontal="center" vertical="center"/>
    </xf>
    <xf numFmtId="0" fontId="8" fillId="10" borderId="36" xfId="2" applyFont="1" applyFill="1" applyBorder="1" applyAlignment="1">
      <alignment vertical="center"/>
    </xf>
    <xf numFmtId="0" fontId="8" fillId="10" borderId="37" xfId="2" applyFont="1" applyFill="1" applyBorder="1" applyAlignment="1">
      <alignment horizontal="left" vertical="center"/>
    </xf>
    <xf numFmtId="166" fontId="8" fillId="10" borderId="38" xfId="6" applyNumberFormat="1" applyFont="1" applyFill="1" applyBorder="1" applyAlignment="1">
      <alignment horizontal="left" vertical="center"/>
    </xf>
    <xf numFmtId="166" fontId="9" fillId="10" borderId="38" xfId="6" applyNumberFormat="1" applyFont="1" applyFill="1" applyBorder="1" applyAlignment="1">
      <alignment horizontal="left" vertical="center"/>
    </xf>
    <xf numFmtId="166" fontId="8" fillId="10" borderId="37" xfId="7" applyNumberFormat="1" applyFont="1" applyFill="1" applyBorder="1" applyAlignment="1">
      <alignment horizontal="center" vertical="center"/>
    </xf>
    <xf numFmtId="166" fontId="8" fillId="10" borderId="39" xfId="2" applyNumberFormat="1" applyFont="1" applyFill="1" applyBorder="1" applyAlignment="1">
      <alignment horizontal="center" vertical="center"/>
    </xf>
    <xf numFmtId="166" fontId="8" fillId="0" borderId="0" xfId="3" applyNumberFormat="1" applyFont="1" applyBorder="1" applyAlignment="1">
      <alignment vertical="center"/>
    </xf>
    <xf numFmtId="166" fontId="8" fillId="10" borderId="42" xfId="6" applyNumberFormat="1" applyFont="1" applyFill="1" applyBorder="1" applyAlignment="1">
      <alignment horizontal="left" vertical="center" wrapText="1"/>
    </xf>
    <xf numFmtId="166" fontId="8" fillId="10" borderId="42" xfId="6" applyNumberFormat="1" applyFont="1" applyFill="1" applyBorder="1" applyAlignment="1">
      <alignment horizontal="right" vertical="center" wrapText="1"/>
    </xf>
    <xf numFmtId="3" fontId="8" fillId="11" borderId="41" xfId="2" applyNumberFormat="1" applyFont="1" applyFill="1" applyBorder="1" applyAlignment="1">
      <alignment horizontal="left" vertical="center"/>
    </xf>
    <xf numFmtId="0" fontId="8" fillId="11" borderId="44" xfId="2" applyFont="1" applyFill="1" applyBorder="1" applyAlignment="1">
      <alignment vertical="center"/>
    </xf>
    <xf numFmtId="166" fontId="9" fillId="11" borderId="46" xfId="6" applyNumberFormat="1" applyFont="1" applyFill="1" applyBorder="1" applyAlignment="1">
      <alignment horizontal="left" vertical="center"/>
    </xf>
    <xf numFmtId="166" fontId="8" fillId="11" borderId="12" xfId="3" applyNumberFormat="1" applyFont="1" applyFill="1" applyBorder="1" applyAlignment="1">
      <alignment horizontal="left" vertical="center"/>
    </xf>
    <xf numFmtId="166" fontId="9" fillId="11" borderId="47" xfId="2" applyNumberFormat="1" applyFont="1" applyFill="1" applyBorder="1" applyAlignment="1">
      <alignment horizontal="center" vertical="center"/>
    </xf>
    <xf numFmtId="166" fontId="8" fillId="11" borderId="45" xfId="7" applyNumberFormat="1" applyFont="1" applyFill="1" applyBorder="1" applyAlignment="1">
      <alignment horizontal="center" vertical="center"/>
    </xf>
    <xf numFmtId="166" fontId="8" fillId="11" borderId="48" xfId="2" applyNumberFormat="1" applyFont="1" applyFill="1" applyBorder="1" applyAlignment="1">
      <alignment horizontal="center" vertical="center"/>
    </xf>
    <xf numFmtId="0" fontId="8" fillId="11" borderId="36" xfId="2" applyFont="1" applyFill="1" applyBorder="1" applyAlignment="1">
      <alignment vertical="center"/>
    </xf>
    <xf numFmtId="0" fontId="8" fillId="11" borderId="37" xfId="2" applyFont="1" applyFill="1" applyBorder="1" applyAlignment="1">
      <alignment horizontal="left" vertical="center"/>
    </xf>
    <xf numFmtId="166" fontId="9" fillId="11" borderId="38" xfId="6" applyNumberFormat="1" applyFont="1" applyFill="1" applyBorder="1" applyAlignment="1">
      <alignment horizontal="left" vertical="center"/>
    </xf>
    <xf numFmtId="166" fontId="8" fillId="11" borderId="38" xfId="6" applyNumberFormat="1" applyFont="1" applyFill="1" applyBorder="1" applyAlignment="1">
      <alignment horizontal="left" vertical="center"/>
    </xf>
    <xf numFmtId="166" fontId="8" fillId="11" borderId="37" xfId="7" applyNumberFormat="1" applyFont="1" applyFill="1" applyBorder="1" applyAlignment="1">
      <alignment horizontal="center" vertical="center"/>
    </xf>
    <xf numFmtId="166" fontId="8" fillId="11" borderId="39" xfId="2" applyNumberFormat="1" applyFont="1" applyFill="1" applyBorder="1" applyAlignment="1">
      <alignment horizontal="center" vertical="center"/>
    </xf>
    <xf numFmtId="166" fontId="9" fillId="10" borderId="42" xfId="6" applyNumberFormat="1" applyFont="1" applyFill="1" applyBorder="1" applyAlignment="1">
      <alignment horizontal="right" vertical="center" wrapText="1"/>
    </xf>
    <xf numFmtId="166" fontId="13" fillId="10" borderId="41" xfId="7" applyNumberFormat="1" applyFont="1" applyFill="1" applyBorder="1" applyAlignment="1">
      <alignment horizontal="center" vertical="center"/>
    </xf>
    <xf numFmtId="166" fontId="8" fillId="11" borderId="42" xfId="6" applyNumberFormat="1" applyFont="1" applyFill="1" applyBorder="1" applyAlignment="1">
      <alignment horizontal="right" vertical="center"/>
    </xf>
    <xf numFmtId="3" fontId="8" fillId="0" borderId="0" xfId="2" applyNumberFormat="1" applyFont="1" applyAlignment="1">
      <alignment vertical="center"/>
    </xf>
    <xf numFmtId="166" fontId="8" fillId="11" borderId="46" xfId="6" applyNumberFormat="1" applyFont="1" applyFill="1" applyBorder="1" applyAlignment="1">
      <alignment horizontal="right" vertical="center" wrapText="1"/>
    </xf>
    <xf numFmtId="0" fontId="8" fillId="11" borderId="41" xfId="2" applyFont="1" applyFill="1" applyBorder="1" applyAlignment="1">
      <alignment horizontal="left" vertical="center" wrapText="1"/>
    </xf>
    <xf numFmtId="166" fontId="13" fillId="10" borderId="42" xfId="6" applyNumberFormat="1" applyFont="1" applyFill="1" applyBorder="1" applyAlignment="1">
      <alignment horizontal="left" vertical="center"/>
    </xf>
    <xf numFmtId="0" fontId="8" fillId="0" borderId="40" xfId="2" applyFont="1" applyBorder="1" applyAlignment="1">
      <alignment vertical="center"/>
    </xf>
    <xf numFmtId="0" fontId="8" fillId="0" borderId="41" xfId="2" applyFont="1" applyBorder="1" applyAlignment="1">
      <alignment horizontal="left" vertical="center"/>
    </xf>
    <xf numFmtId="166" fontId="8" fillId="0" borderId="42" xfId="6" applyNumberFormat="1" applyFont="1" applyBorder="1" applyAlignment="1">
      <alignment horizontal="left" vertical="center"/>
    </xf>
    <xf numFmtId="166" fontId="9" fillId="0" borderId="42" xfId="6" applyNumberFormat="1" applyFont="1" applyBorder="1" applyAlignment="1">
      <alignment horizontal="left" vertical="center"/>
    </xf>
    <xf numFmtId="166" fontId="8" fillId="0" borderId="38" xfId="3" applyNumberFormat="1" applyFont="1" applyFill="1" applyBorder="1" applyAlignment="1">
      <alignment horizontal="left" vertical="center"/>
    </xf>
    <xf numFmtId="166" fontId="9" fillId="0" borderId="36" xfId="2" applyNumberFormat="1" applyFont="1" applyBorder="1" applyAlignment="1">
      <alignment horizontal="center" vertical="center"/>
    </xf>
    <xf numFmtId="166" fontId="8" fillId="0" borderId="41" xfId="7" applyNumberFormat="1" applyFont="1" applyFill="1" applyBorder="1" applyAlignment="1">
      <alignment horizontal="center" vertical="center"/>
    </xf>
    <xf numFmtId="166" fontId="8" fillId="0" borderId="43" xfId="2" applyNumberFormat="1" applyFont="1" applyBorder="1" applyAlignment="1">
      <alignment horizontal="center" vertical="center"/>
    </xf>
    <xf numFmtId="0" fontId="9" fillId="0" borderId="41" xfId="2" applyFont="1" applyBorder="1" applyAlignment="1">
      <alignment horizontal="left" vertical="center"/>
    </xf>
    <xf numFmtId="0" fontId="9" fillId="8" borderId="49" xfId="2" applyFont="1" applyFill="1" applyBorder="1" applyAlignment="1">
      <alignment vertical="center"/>
    </xf>
    <xf numFmtId="0" fontId="9" fillId="8" borderId="50" xfId="2" applyFont="1" applyFill="1" applyBorder="1" applyAlignment="1">
      <alignment horizontal="center" vertical="center"/>
    </xf>
    <xf numFmtId="0" fontId="9" fillId="8" borderId="51" xfId="2" applyFont="1" applyFill="1" applyBorder="1" applyAlignment="1">
      <alignment horizontal="center" vertical="center"/>
    </xf>
    <xf numFmtId="166" fontId="9" fillId="8" borderId="51" xfId="2" applyNumberFormat="1" applyFont="1" applyFill="1" applyBorder="1" applyAlignment="1">
      <alignment horizontal="center" vertical="center"/>
    </xf>
    <xf numFmtId="166" fontId="9" fillId="8" borderId="49" xfId="2" applyNumberFormat="1" applyFont="1" applyFill="1" applyBorder="1" applyAlignment="1">
      <alignment horizontal="center" vertical="center"/>
    </xf>
    <xf numFmtId="166" fontId="9" fillId="8" borderId="52" xfId="2" applyNumberFormat="1" applyFont="1" applyFill="1" applyBorder="1" applyAlignment="1">
      <alignment horizontal="center" vertical="center"/>
    </xf>
    <xf numFmtId="0" fontId="8" fillId="0" borderId="40" xfId="2" applyFont="1" applyBorder="1" applyAlignment="1">
      <alignment vertical="center" wrapText="1"/>
    </xf>
    <xf numFmtId="0" fontId="9" fillId="0" borderId="42" xfId="2" applyFont="1" applyBorder="1" applyAlignment="1">
      <alignment horizontal="left" vertical="center"/>
    </xf>
    <xf numFmtId="166" fontId="14" fillId="0" borderId="42" xfId="6" applyNumberFormat="1" applyFont="1" applyBorder="1" applyAlignment="1">
      <alignment horizontal="left" vertical="center"/>
    </xf>
    <xf numFmtId="0" fontId="15" fillId="0" borderId="36" xfId="2" applyFont="1" applyBorder="1" applyAlignment="1">
      <alignment vertical="center"/>
    </xf>
    <xf numFmtId="0" fontId="9" fillId="0" borderId="37" xfId="2" applyFont="1" applyBorder="1" applyAlignment="1">
      <alignment horizontal="left" vertical="center"/>
    </xf>
    <xf numFmtId="0" fontId="8" fillId="0" borderId="44" xfId="2" applyFont="1" applyBorder="1" applyAlignment="1">
      <alignment vertical="center"/>
    </xf>
    <xf numFmtId="0" fontId="9" fillId="0" borderId="45" xfId="2" applyFont="1" applyBorder="1" applyAlignment="1">
      <alignment horizontal="left" vertical="center"/>
    </xf>
    <xf numFmtId="0" fontId="9" fillId="0" borderId="46" xfId="2" applyFont="1" applyBorder="1" applyAlignment="1">
      <alignment horizontal="left" vertical="center"/>
    </xf>
    <xf numFmtId="166" fontId="8" fillId="0" borderId="46" xfId="3" applyNumberFormat="1" applyFont="1" applyFill="1" applyBorder="1" applyAlignment="1">
      <alignment horizontal="left" vertical="center"/>
    </xf>
    <xf numFmtId="166" fontId="9" fillId="0" borderId="44" xfId="7" applyNumberFormat="1" applyFont="1" applyFill="1" applyBorder="1" applyAlignment="1">
      <alignment horizontal="center" vertical="center"/>
    </xf>
    <xf numFmtId="166" fontId="8" fillId="0" borderId="45" xfId="7" applyNumberFormat="1" applyFont="1" applyFill="1" applyBorder="1" applyAlignment="1">
      <alignment horizontal="center" vertical="center"/>
    </xf>
    <xf numFmtId="166" fontId="8" fillId="0" borderId="48" xfId="2" applyNumberFormat="1" applyFont="1" applyBorder="1" applyAlignment="1">
      <alignment horizontal="center" vertical="center"/>
    </xf>
    <xf numFmtId="166" fontId="9" fillId="8" borderId="50" xfId="2" applyNumberFormat="1" applyFont="1" applyFill="1" applyBorder="1" applyAlignment="1">
      <alignment horizontal="center" vertical="center"/>
    </xf>
    <xf numFmtId="0" fontId="9" fillId="8" borderId="47" xfId="2" applyFont="1" applyFill="1" applyBorder="1" applyAlignment="1">
      <alignment vertical="center"/>
    </xf>
    <xf numFmtId="166" fontId="9" fillId="8" borderId="12" xfId="2" applyNumberFormat="1" applyFont="1" applyFill="1" applyBorder="1" applyAlignment="1">
      <alignment horizontal="center" vertical="center"/>
    </xf>
    <xf numFmtId="166" fontId="9" fillId="8" borderId="41" xfId="2" applyNumberFormat="1" applyFont="1" applyFill="1" applyBorder="1" applyAlignment="1">
      <alignment horizontal="center" vertical="center"/>
    </xf>
    <xf numFmtId="166" fontId="8" fillId="8" borderId="38" xfId="3" applyNumberFormat="1" applyFont="1" applyFill="1" applyBorder="1" applyAlignment="1">
      <alignment horizontal="left" vertical="center"/>
    </xf>
    <xf numFmtId="166" fontId="9" fillId="8" borderId="36" xfId="2" applyNumberFormat="1" applyFont="1" applyFill="1" applyBorder="1" applyAlignment="1">
      <alignment horizontal="center" vertical="center"/>
    </xf>
    <xf numFmtId="166" fontId="9" fillId="8" borderId="5" xfId="2" applyNumberFormat="1" applyFont="1" applyFill="1" applyBorder="1" applyAlignment="1">
      <alignment horizontal="center" vertical="center"/>
    </xf>
    <xf numFmtId="166" fontId="8" fillId="8" borderId="43" xfId="2" applyNumberFormat="1" applyFont="1" applyFill="1" applyBorder="1" applyAlignment="1">
      <alignment horizontal="center" vertical="center"/>
    </xf>
    <xf numFmtId="0" fontId="9" fillId="8" borderId="44" xfId="2" applyFont="1" applyFill="1" applyBorder="1" applyAlignment="1">
      <alignment vertical="center"/>
    </xf>
    <xf numFmtId="0" fontId="9" fillId="8" borderId="46" xfId="2" applyFont="1" applyFill="1" applyBorder="1" applyAlignment="1">
      <alignment horizontal="center" vertical="center"/>
    </xf>
    <xf numFmtId="0" fontId="9" fillId="8" borderId="12" xfId="2" applyFont="1" applyFill="1" applyBorder="1" applyAlignment="1">
      <alignment horizontal="center" vertical="center"/>
    </xf>
    <xf numFmtId="166" fontId="9" fillId="8" borderId="45" xfId="2" applyNumberFormat="1" applyFont="1" applyFill="1" applyBorder="1" applyAlignment="1">
      <alignment horizontal="center" vertical="center"/>
    </xf>
    <xf numFmtId="0" fontId="9" fillId="8" borderId="33" xfId="2" applyFont="1" applyFill="1" applyBorder="1" applyAlignment="1">
      <alignment vertical="center"/>
    </xf>
    <xf numFmtId="0" fontId="9" fillId="8" borderId="34" xfId="2" applyFont="1" applyFill="1" applyBorder="1" applyAlignment="1">
      <alignment horizontal="center" vertical="center"/>
    </xf>
    <xf numFmtId="0" fontId="9" fillId="8" borderId="53" xfId="2" applyFont="1" applyFill="1" applyBorder="1" applyAlignment="1">
      <alignment horizontal="center" vertical="center"/>
    </xf>
    <xf numFmtId="166" fontId="9" fillId="8" borderId="53" xfId="2" applyNumberFormat="1" applyFont="1" applyFill="1" applyBorder="1" applyAlignment="1">
      <alignment horizontal="center" vertical="center"/>
    </xf>
    <xf numFmtId="166" fontId="9" fillId="8" borderId="33" xfId="2" applyNumberFormat="1" applyFont="1" applyFill="1" applyBorder="1" applyAlignment="1">
      <alignment horizontal="center" vertical="center"/>
    </xf>
    <xf numFmtId="166" fontId="9" fillId="8" borderId="34" xfId="2" applyNumberFormat="1" applyFont="1" applyFill="1" applyBorder="1" applyAlignment="1">
      <alignment horizontal="center" vertical="center"/>
    </xf>
    <xf numFmtId="166" fontId="9" fillId="8" borderId="35" xfId="2" applyNumberFormat="1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/>
    </xf>
    <xf numFmtId="0" fontId="9" fillId="2" borderId="0" xfId="2" applyFont="1" applyFill="1" applyAlignment="1">
      <alignment horizontal="left"/>
    </xf>
    <xf numFmtId="166" fontId="9" fillId="2" borderId="0" xfId="3" applyNumberFormat="1" applyFont="1" applyFill="1" applyBorder="1"/>
    <xf numFmtId="0" fontId="9" fillId="2" borderId="0" xfId="2" applyFont="1" applyFill="1"/>
    <xf numFmtId="9" fontId="8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0" fontId="8" fillId="0" borderId="38" xfId="2" applyFont="1" applyBorder="1" applyAlignment="1">
      <alignment horizontal="left" vertical="center"/>
    </xf>
    <xf numFmtId="0" fontId="8" fillId="9" borderId="38" xfId="2" applyFont="1" applyFill="1" applyBorder="1" applyAlignment="1">
      <alignment horizontal="left" vertical="center"/>
    </xf>
    <xf numFmtId="0" fontId="8" fillId="10" borderId="42" xfId="2" applyFont="1" applyFill="1" applyBorder="1" applyAlignment="1">
      <alignment horizontal="left" vertical="center"/>
    </xf>
    <xf numFmtId="0" fontId="8" fillId="11" borderId="42" xfId="2" applyFont="1" applyFill="1" applyBorder="1" applyAlignment="1">
      <alignment horizontal="left" vertical="center"/>
    </xf>
    <xf numFmtId="3" fontId="8" fillId="11" borderId="42" xfId="2" applyNumberFormat="1" applyFont="1" applyFill="1" applyBorder="1" applyAlignment="1">
      <alignment horizontal="left" vertical="center"/>
    </xf>
    <xf numFmtId="0" fontId="8" fillId="10" borderId="38" xfId="2" applyFont="1" applyFill="1" applyBorder="1" applyAlignment="1">
      <alignment horizontal="left" vertical="center"/>
    </xf>
    <xf numFmtId="0" fontId="8" fillId="11" borderId="42" xfId="2" applyFont="1" applyFill="1" applyBorder="1" applyAlignment="1">
      <alignment horizontal="left" vertical="center" wrapText="1"/>
    </xf>
    <xf numFmtId="0" fontId="8" fillId="11" borderId="46" xfId="2" applyFont="1" applyFill="1" applyBorder="1" applyAlignment="1">
      <alignment horizontal="left" vertical="center"/>
    </xf>
    <xf numFmtId="0" fontId="8" fillId="11" borderId="38" xfId="2" applyFont="1" applyFill="1" applyBorder="1" applyAlignment="1">
      <alignment horizontal="left" vertical="center"/>
    </xf>
    <xf numFmtId="0" fontId="8" fillId="10" borderId="46" xfId="2" applyFont="1" applyFill="1" applyBorder="1" applyAlignment="1">
      <alignment horizontal="left" vertical="center"/>
    </xf>
    <xf numFmtId="0" fontId="8" fillId="0" borderId="42" xfId="2" applyFont="1" applyBorder="1" applyAlignment="1">
      <alignment horizontal="left" vertical="center"/>
    </xf>
    <xf numFmtId="0" fontId="8" fillId="10" borderId="41" xfId="2" applyFont="1" applyFill="1" applyBorder="1" applyAlignment="1">
      <alignment horizontal="left" vertical="center" wrapText="1"/>
    </xf>
    <xf numFmtId="0" fontId="8" fillId="11" borderId="45" xfId="2" applyFont="1" applyFill="1" applyBorder="1" applyAlignment="1">
      <alignment horizontal="left" vertical="center" wrapText="1"/>
    </xf>
    <xf numFmtId="43" fontId="8" fillId="10" borderId="42" xfId="6" quotePrefix="1" applyFont="1" applyFill="1" applyBorder="1" applyAlignment="1">
      <alignment horizontal="right" vertical="center" wrapText="1"/>
    </xf>
    <xf numFmtId="43" fontId="8" fillId="10" borderId="42" xfId="6" applyFont="1" applyFill="1" applyBorder="1" applyAlignment="1">
      <alignment horizontal="left" vertical="center"/>
    </xf>
    <xf numFmtId="43" fontId="8" fillId="11" borderId="42" xfId="6" applyFont="1" applyFill="1" applyBorder="1" applyAlignment="1">
      <alignment horizontal="left" vertical="center"/>
    </xf>
    <xf numFmtId="43" fontId="8" fillId="11" borderId="42" xfId="6" applyFont="1" applyFill="1" applyBorder="1" applyAlignment="1">
      <alignment horizontal="right" vertical="center" wrapText="1"/>
    </xf>
    <xf numFmtId="43" fontId="8" fillId="10" borderId="42" xfId="6" applyFont="1" applyFill="1" applyBorder="1" applyAlignment="1">
      <alignment horizontal="right" vertical="center" wrapText="1"/>
    </xf>
    <xf numFmtId="43" fontId="8" fillId="11" borderId="42" xfId="6" applyFont="1" applyFill="1" applyBorder="1" applyAlignment="1">
      <alignment horizontal="right" vertical="center"/>
    </xf>
    <xf numFmtId="43" fontId="9" fillId="11" borderId="42" xfId="6" applyFont="1" applyFill="1" applyBorder="1" applyAlignment="1">
      <alignment horizontal="left" vertical="center"/>
    </xf>
    <xf numFmtId="43" fontId="8" fillId="11" borderId="46" xfId="6" applyFont="1" applyFill="1" applyBorder="1" applyAlignment="1">
      <alignment horizontal="right" vertical="center" wrapText="1"/>
    </xf>
    <xf numFmtId="43" fontId="15" fillId="10" borderId="42" xfId="6" applyFont="1" applyFill="1" applyBorder="1" applyAlignment="1">
      <alignment horizontal="left" vertical="center"/>
    </xf>
    <xf numFmtId="43" fontId="8" fillId="10" borderId="46" xfId="6" applyFont="1" applyFill="1" applyBorder="1" applyAlignment="1">
      <alignment horizontal="left" vertical="center"/>
    </xf>
    <xf numFmtId="43" fontId="9" fillId="10" borderId="42" xfId="6" applyFont="1" applyFill="1" applyBorder="1" applyAlignment="1">
      <alignment horizontal="left" vertical="center"/>
    </xf>
    <xf numFmtId="43" fontId="9" fillId="11" borderId="42" xfId="6" applyFont="1" applyFill="1" applyBorder="1" applyAlignment="1">
      <alignment horizontal="right" vertical="center" wrapText="1"/>
    </xf>
    <xf numFmtId="43" fontId="8" fillId="10" borderId="42" xfId="6" applyFont="1" applyFill="1" applyBorder="1" applyAlignment="1">
      <alignment horizontal="left" vertical="center" wrapText="1"/>
    </xf>
    <xf numFmtId="43" fontId="8" fillId="0" borderId="42" xfId="6" applyFont="1" applyBorder="1" applyAlignment="1">
      <alignment horizontal="left" vertical="center"/>
    </xf>
    <xf numFmtId="43" fontId="9" fillId="0" borderId="42" xfId="6" applyFont="1" applyBorder="1" applyAlignment="1">
      <alignment horizontal="left" vertical="center"/>
    </xf>
    <xf numFmtId="43" fontId="9" fillId="8" borderId="51" xfId="2" applyNumberFormat="1" applyFont="1" applyFill="1" applyBorder="1" applyAlignment="1">
      <alignment horizontal="center" vertical="center"/>
    </xf>
    <xf numFmtId="43" fontId="9" fillId="0" borderId="42" xfId="2" applyNumberFormat="1" applyFont="1" applyBorder="1" applyAlignment="1">
      <alignment horizontal="left" vertical="center"/>
    </xf>
    <xf numFmtId="43" fontId="9" fillId="0" borderId="38" xfId="2" applyNumberFormat="1" applyFont="1" applyBorder="1" applyAlignment="1">
      <alignment horizontal="left" vertical="center"/>
    </xf>
    <xf numFmtId="43" fontId="9" fillId="0" borderId="46" xfId="2" applyNumberFormat="1" applyFont="1" applyBorder="1" applyAlignment="1">
      <alignment horizontal="left" vertical="center"/>
    </xf>
    <xf numFmtId="43" fontId="9" fillId="8" borderId="12" xfId="2" applyNumberFormat="1" applyFont="1" applyFill="1" applyBorder="1" applyAlignment="1">
      <alignment horizontal="center" vertical="center"/>
    </xf>
    <xf numFmtId="43" fontId="9" fillId="8" borderId="53" xfId="2" applyNumberFormat="1" applyFont="1" applyFill="1" applyBorder="1" applyAlignment="1">
      <alignment horizontal="center" vertical="center"/>
    </xf>
    <xf numFmtId="43" fontId="9" fillId="11" borderId="38" xfId="6" applyFont="1" applyFill="1" applyBorder="1" applyAlignment="1">
      <alignment horizontal="right" vertical="center"/>
    </xf>
    <xf numFmtId="43" fontId="8" fillId="10" borderId="42" xfId="6" applyFont="1" applyFill="1" applyBorder="1" applyAlignment="1">
      <alignment horizontal="right" vertical="center"/>
    </xf>
    <xf numFmtId="0" fontId="3" fillId="0" borderId="0" xfId="9" applyFont="1" applyAlignment="1">
      <alignment vertical="center"/>
    </xf>
    <xf numFmtId="0" fontId="2" fillId="0" borderId="0" xfId="9" applyFont="1" applyAlignment="1">
      <alignment vertical="center"/>
    </xf>
    <xf numFmtId="0" fontId="3" fillId="3" borderId="1" xfId="9" applyFont="1" applyFill="1" applyBorder="1" applyAlignment="1">
      <alignment horizontal="center" vertical="center"/>
    </xf>
    <xf numFmtId="0" fontId="19" fillId="0" borderId="0" xfId="9" applyFont="1" applyAlignment="1">
      <alignment vertical="center"/>
    </xf>
    <xf numFmtId="0" fontId="20" fillId="0" borderId="0" xfId="9" applyFont="1" applyAlignment="1">
      <alignment vertical="center"/>
    </xf>
    <xf numFmtId="0" fontId="3" fillId="12" borderId="33" xfId="9" applyFont="1" applyFill="1" applyBorder="1" applyAlignment="1">
      <alignment horizontal="center" vertical="center" wrapText="1"/>
    </xf>
    <xf numFmtId="0" fontId="3" fillId="12" borderId="34" xfId="9" applyFont="1" applyFill="1" applyBorder="1" applyAlignment="1">
      <alignment horizontal="center" vertical="center" wrapText="1"/>
    </xf>
    <xf numFmtId="0" fontId="3" fillId="12" borderId="35" xfId="9" applyFont="1" applyFill="1" applyBorder="1" applyAlignment="1">
      <alignment horizontal="center" vertical="center" wrapText="1"/>
    </xf>
    <xf numFmtId="0" fontId="2" fillId="0" borderId="0" xfId="9" applyFont="1" applyAlignment="1">
      <alignment horizontal="center" vertical="center" wrapText="1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vertical="center"/>
    </xf>
    <xf numFmtId="166" fontId="3" fillId="12" borderId="35" xfId="6" applyNumberFormat="1" applyFont="1" applyFill="1" applyBorder="1" applyAlignment="1">
      <alignment vertical="center"/>
    </xf>
    <xf numFmtId="0" fontId="2" fillId="0" borderId="54" xfId="9" applyFont="1" applyBorder="1" applyAlignment="1">
      <alignment horizontal="center" vertical="center"/>
    </xf>
    <xf numFmtId="0" fontId="2" fillId="0" borderId="4" xfId="9" applyFont="1" applyBorder="1" applyAlignment="1">
      <alignment vertical="center"/>
    </xf>
    <xf numFmtId="0" fontId="2" fillId="0" borderId="0" xfId="9" applyFont="1" applyAlignment="1">
      <alignment horizontal="center" vertical="center"/>
    </xf>
    <xf numFmtId="0" fontId="2" fillId="0" borderId="1" xfId="9" applyFont="1" applyBorder="1" applyAlignment="1">
      <alignment vertical="center"/>
    </xf>
    <xf numFmtId="0" fontId="21" fillId="0" borderId="58" xfId="9" applyFont="1" applyBorder="1" applyAlignment="1">
      <alignment horizontal="center" vertical="center"/>
    </xf>
    <xf numFmtId="0" fontId="21" fillId="0" borderId="1" xfId="9" applyFont="1" applyBorder="1" applyAlignment="1">
      <alignment vertical="center"/>
    </xf>
    <xf numFmtId="0" fontId="2" fillId="14" borderId="58" xfId="9" applyFont="1" applyFill="1" applyBorder="1" applyAlignment="1">
      <alignment horizontal="center" vertical="center"/>
    </xf>
    <xf numFmtId="0" fontId="2" fillId="14" borderId="1" xfId="9" applyFont="1" applyFill="1" applyBorder="1" applyAlignment="1">
      <alignment vertical="center"/>
    </xf>
    <xf numFmtId="0" fontId="2" fillId="14" borderId="1" xfId="9" applyFont="1" applyFill="1" applyBorder="1" applyAlignment="1">
      <alignment horizontal="center" vertical="center"/>
    </xf>
    <xf numFmtId="0" fontId="2" fillId="0" borderId="58" xfId="9" applyFont="1" applyBorder="1" applyAlignment="1">
      <alignment horizontal="center" vertical="center"/>
    </xf>
    <xf numFmtId="0" fontId="2" fillId="0" borderId="1" xfId="9" applyFont="1" applyBorder="1" applyAlignment="1">
      <alignment horizontal="center" vertical="center"/>
    </xf>
    <xf numFmtId="0" fontId="5" fillId="0" borderId="1" xfId="9" applyFont="1" applyBorder="1" applyAlignment="1">
      <alignment vertical="center"/>
    </xf>
    <xf numFmtId="0" fontId="21" fillId="0" borderId="1" xfId="9" applyFont="1" applyBorder="1" applyAlignment="1">
      <alignment horizontal="center" vertical="center"/>
    </xf>
    <xf numFmtId="0" fontId="21" fillId="0" borderId="0" xfId="9" applyFont="1" applyAlignment="1">
      <alignment vertical="center"/>
    </xf>
    <xf numFmtId="2" fontId="2" fillId="0" borderId="58" xfId="9" applyNumberFormat="1" applyFont="1" applyBorder="1" applyAlignment="1">
      <alignment horizontal="center" vertical="center"/>
    </xf>
    <xf numFmtId="0" fontId="2" fillId="0" borderId="3" xfId="9" applyFont="1" applyBorder="1" applyAlignment="1">
      <alignment vertical="center"/>
    </xf>
    <xf numFmtId="0" fontId="2" fillId="0" borderId="3" xfId="9" quotePrefix="1" applyFont="1" applyBorder="1" applyAlignment="1">
      <alignment horizontal="center" vertical="center"/>
    </xf>
    <xf numFmtId="0" fontId="2" fillId="14" borderId="33" xfId="9" applyFont="1" applyFill="1" applyBorder="1" applyAlignment="1">
      <alignment horizontal="center" vertical="center"/>
    </xf>
    <xf numFmtId="0" fontId="3" fillId="14" borderId="34" xfId="9" applyFont="1" applyFill="1" applyBorder="1" applyAlignment="1">
      <alignment vertical="center"/>
    </xf>
    <xf numFmtId="0" fontId="2" fillId="14" borderId="34" xfId="9" applyFont="1" applyFill="1" applyBorder="1" applyAlignment="1">
      <alignment horizontal="center" vertical="center"/>
    </xf>
    <xf numFmtId="0" fontId="2" fillId="0" borderId="4" xfId="9" applyFont="1" applyBorder="1" applyAlignment="1">
      <alignment horizontal="center" vertical="center"/>
    </xf>
    <xf numFmtId="0" fontId="3" fillId="14" borderId="1" xfId="9" applyFont="1" applyFill="1" applyBorder="1" applyAlignment="1">
      <alignment vertical="center"/>
    </xf>
    <xf numFmtId="0" fontId="2" fillId="0" borderId="59" xfId="9" applyFont="1" applyBorder="1" applyAlignment="1">
      <alignment horizontal="center" vertical="center"/>
    </xf>
    <xf numFmtId="2" fontId="2" fillId="15" borderId="61" xfId="9" applyNumberFormat="1" applyFont="1" applyFill="1" applyBorder="1" applyAlignment="1">
      <alignment horizontal="center" vertical="center"/>
    </xf>
    <xf numFmtId="0" fontId="2" fillId="15" borderId="62" xfId="9" applyFont="1" applyFill="1" applyBorder="1" applyAlignment="1">
      <alignment vertical="center"/>
    </xf>
    <xf numFmtId="2" fontId="2" fillId="15" borderId="58" xfId="9" applyNumberFormat="1" applyFont="1" applyFill="1" applyBorder="1" applyAlignment="1">
      <alignment horizontal="center" vertical="center"/>
    </xf>
    <xf numFmtId="0" fontId="2" fillId="15" borderId="1" xfId="9" applyFont="1" applyFill="1" applyBorder="1" applyAlignment="1">
      <alignment vertical="center"/>
    </xf>
    <xf numFmtId="10" fontId="5" fillId="15" borderId="1" xfId="10" applyNumberFormat="1" applyFont="1" applyFill="1" applyBorder="1" applyAlignment="1">
      <alignment horizontal="center" vertical="center"/>
    </xf>
    <xf numFmtId="0" fontId="2" fillId="15" borderId="3" xfId="9" applyFont="1" applyFill="1" applyBorder="1" applyAlignment="1">
      <alignment vertical="center"/>
    </xf>
    <xf numFmtId="10" fontId="21" fillId="15" borderId="1" xfId="10" applyNumberFormat="1" applyFont="1" applyFill="1" applyBorder="1" applyAlignment="1">
      <alignment horizontal="center" vertical="center"/>
    </xf>
    <xf numFmtId="10" fontId="2" fillId="15" borderId="3" xfId="10" applyNumberFormat="1" applyFont="1" applyFill="1" applyBorder="1" applyAlignment="1">
      <alignment horizontal="center" vertical="center"/>
    </xf>
    <xf numFmtId="0" fontId="2" fillId="0" borderId="64" xfId="9" applyFont="1" applyBorder="1" applyAlignment="1">
      <alignment horizontal="center" vertical="center"/>
    </xf>
    <xf numFmtId="0" fontId="2" fillId="0" borderId="65" xfId="9" applyFont="1" applyBorder="1" applyAlignment="1">
      <alignment vertical="center"/>
    </xf>
    <xf numFmtId="0" fontId="2" fillId="0" borderId="61" xfId="9" applyFont="1" applyBorder="1" applyAlignment="1">
      <alignment horizontal="center" vertical="center"/>
    </xf>
    <xf numFmtId="0" fontId="2" fillId="0" borderId="62" xfId="9" applyFont="1" applyBorder="1" applyAlignment="1">
      <alignment vertical="center"/>
    </xf>
    <xf numFmtId="0" fontId="2" fillId="15" borderId="61" xfId="9" applyFont="1" applyFill="1" applyBorder="1" applyAlignment="1">
      <alignment horizontal="center" vertical="center"/>
    </xf>
    <xf numFmtId="0" fontId="2" fillId="15" borderId="58" xfId="9" applyFont="1" applyFill="1" applyBorder="1" applyAlignment="1">
      <alignment horizontal="center" vertical="center"/>
    </xf>
    <xf numFmtId="0" fontId="3" fillId="16" borderId="33" xfId="9" applyFont="1" applyFill="1" applyBorder="1" applyAlignment="1">
      <alignment horizontal="center" vertical="center"/>
    </xf>
    <xf numFmtId="0" fontId="3" fillId="16" borderId="34" xfId="9" applyFont="1" applyFill="1" applyBorder="1" applyAlignment="1">
      <alignment vertical="center"/>
    </xf>
    <xf numFmtId="0" fontId="2" fillId="10" borderId="54" xfId="9" applyFont="1" applyFill="1" applyBorder="1" applyAlignment="1">
      <alignment horizontal="center" vertical="center"/>
    </xf>
    <xf numFmtId="0" fontId="2" fillId="10" borderId="4" xfId="9" applyFont="1" applyFill="1" applyBorder="1" applyAlignment="1">
      <alignment vertical="center"/>
    </xf>
    <xf numFmtId="0" fontId="2" fillId="10" borderId="67" xfId="9" applyFont="1" applyFill="1" applyBorder="1" applyAlignment="1">
      <alignment horizontal="center" vertical="center"/>
    </xf>
    <xf numFmtId="0" fontId="2" fillId="10" borderId="68" xfId="9" applyFont="1" applyFill="1" applyBorder="1" applyAlignment="1">
      <alignment vertical="center"/>
    </xf>
    <xf numFmtId="0" fontId="3" fillId="3" borderId="70" xfId="9" applyFont="1" applyFill="1" applyBorder="1" applyAlignment="1">
      <alignment horizontal="center" vertical="center"/>
    </xf>
    <xf numFmtId="0" fontId="3" fillId="3" borderId="71" xfId="9" applyFont="1" applyFill="1" applyBorder="1" applyAlignment="1">
      <alignment vertical="center"/>
    </xf>
    <xf numFmtId="0" fontId="3" fillId="3" borderId="73" xfId="9" applyFont="1" applyFill="1" applyBorder="1" applyAlignment="1">
      <alignment horizontal="center" vertical="center"/>
    </xf>
    <xf numFmtId="0" fontId="3" fillId="3" borderId="29" xfId="9" applyFont="1" applyFill="1" applyBorder="1" applyAlignment="1">
      <alignment vertical="center"/>
    </xf>
    <xf numFmtId="0" fontId="3" fillId="17" borderId="61" xfId="9" applyFont="1" applyFill="1" applyBorder="1" applyAlignment="1">
      <alignment vertical="center"/>
    </xf>
    <xf numFmtId="166" fontId="3" fillId="17" borderId="63" xfId="9" applyNumberFormat="1" applyFont="1" applyFill="1" applyBorder="1" applyAlignment="1">
      <alignment vertical="center"/>
    </xf>
    <xf numFmtId="0" fontId="3" fillId="17" borderId="58" xfId="9" applyFont="1" applyFill="1" applyBorder="1" applyAlignment="1">
      <alignment vertical="center"/>
    </xf>
    <xf numFmtId="166" fontId="3" fillId="17" borderId="57" xfId="9" applyNumberFormat="1" applyFont="1" applyFill="1" applyBorder="1" applyAlignment="1">
      <alignment vertical="center"/>
    </xf>
    <xf numFmtId="0" fontId="3" fillId="17" borderId="67" xfId="9" applyFont="1" applyFill="1" applyBorder="1" applyAlignment="1">
      <alignment vertical="center"/>
    </xf>
    <xf numFmtId="166" fontId="3" fillId="17" borderId="69" xfId="9" applyNumberFormat="1" applyFont="1" applyFill="1" applyBorder="1" applyAlignment="1">
      <alignment vertical="center"/>
    </xf>
    <xf numFmtId="0" fontId="3" fillId="17" borderId="33" xfId="9" applyFont="1" applyFill="1" applyBorder="1" applyAlignment="1">
      <alignment vertical="center"/>
    </xf>
    <xf numFmtId="166" fontId="3" fillId="17" borderId="35" xfId="9" applyNumberFormat="1" applyFont="1" applyFill="1" applyBorder="1" applyAlignment="1">
      <alignment vertical="center"/>
    </xf>
    <xf numFmtId="0" fontId="22" fillId="18" borderId="33" xfId="9" applyFont="1" applyFill="1" applyBorder="1" applyAlignment="1">
      <alignment horizontal="center" vertical="center"/>
    </xf>
    <xf numFmtId="0" fontId="22" fillId="18" borderId="34" xfId="9" applyFont="1" applyFill="1" applyBorder="1" applyAlignment="1">
      <alignment vertical="center" wrapText="1"/>
    </xf>
    <xf numFmtId="165" fontId="22" fillId="18" borderId="75" xfId="6" applyNumberFormat="1" applyFont="1" applyFill="1" applyBorder="1" applyAlignment="1">
      <alignment vertical="center"/>
    </xf>
    <xf numFmtId="167" fontId="22" fillId="18" borderId="34" xfId="9" applyNumberFormat="1" applyFont="1" applyFill="1" applyBorder="1" applyAlignment="1">
      <alignment horizontal="right" vertical="center"/>
    </xf>
    <xf numFmtId="0" fontId="4" fillId="0" borderId="0" xfId="9" applyFont="1" applyAlignment="1">
      <alignment vertical="center"/>
    </xf>
    <xf numFmtId="0" fontId="2" fillId="0" borderId="70" xfId="9" applyFont="1" applyBorder="1" applyAlignment="1">
      <alignment vertical="center"/>
    </xf>
    <xf numFmtId="0" fontId="2" fillId="0" borderId="71" xfId="9" applyFont="1" applyBorder="1" applyAlignment="1">
      <alignment vertical="center"/>
    </xf>
    <xf numFmtId="0" fontId="2" fillId="0" borderId="72" xfId="9" applyFont="1" applyBorder="1" applyAlignment="1">
      <alignment vertical="center"/>
    </xf>
    <xf numFmtId="0" fontId="2" fillId="0" borderId="64" xfId="9" applyFont="1" applyBorder="1" applyAlignment="1">
      <alignment vertical="center"/>
    </xf>
    <xf numFmtId="10" fontId="2" fillId="0" borderId="0" xfId="9" applyNumberFormat="1" applyFont="1" applyAlignment="1">
      <alignment vertical="center"/>
    </xf>
    <xf numFmtId="166" fontId="2" fillId="0" borderId="0" xfId="6" applyNumberFormat="1" applyFont="1" applyBorder="1" applyAlignment="1">
      <alignment vertical="center"/>
    </xf>
    <xf numFmtId="166" fontId="2" fillId="0" borderId="76" xfId="9" applyNumberFormat="1" applyFont="1" applyBorder="1" applyAlignment="1">
      <alignment vertical="center"/>
    </xf>
    <xf numFmtId="166" fontId="2" fillId="13" borderId="0" xfId="6" applyNumberFormat="1" applyFont="1" applyFill="1" applyBorder="1" applyAlignment="1">
      <alignment vertical="center"/>
    </xf>
    <xf numFmtId="9" fontId="2" fillId="0" borderId="65" xfId="9" applyNumberFormat="1" applyFont="1" applyBorder="1" applyAlignment="1">
      <alignment vertical="center"/>
    </xf>
    <xf numFmtId="0" fontId="2" fillId="0" borderId="73" xfId="9" applyFont="1" applyBorder="1" applyAlignment="1">
      <alignment vertical="center"/>
    </xf>
    <xf numFmtId="166" fontId="2" fillId="13" borderId="29" xfId="6" applyNumberFormat="1" applyFont="1" applyFill="1" applyBorder="1" applyAlignment="1">
      <alignment vertical="center"/>
    </xf>
    <xf numFmtId="9" fontId="2" fillId="0" borderId="74" xfId="9" applyNumberFormat="1" applyFont="1" applyBorder="1" applyAlignment="1">
      <alignment vertical="center"/>
    </xf>
    <xf numFmtId="0" fontId="23" fillId="0" borderId="0" xfId="9" applyFont="1" applyAlignment="1">
      <alignment vertical="center"/>
    </xf>
    <xf numFmtId="43" fontId="3" fillId="0" borderId="0" xfId="8" applyFont="1" applyAlignment="1">
      <alignment horizontal="right" vertical="center"/>
    </xf>
    <xf numFmtId="43" fontId="2" fillId="0" borderId="56" xfId="6" applyFont="1" applyFill="1" applyBorder="1" applyAlignment="1">
      <alignment vertical="center"/>
    </xf>
    <xf numFmtId="43" fontId="21" fillId="0" borderId="56" xfId="6" applyFont="1" applyFill="1" applyBorder="1" applyAlignment="1">
      <alignment horizontal="center" vertical="center"/>
    </xf>
    <xf numFmtId="43" fontId="2" fillId="0" borderId="57" xfId="6" applyFont="1" applyFill="1" applyBorder="1" applyAlignment="1">
      <alignment vertical="center"/>
    </xf>
    <xf numFmtId="43" fontId="2" fillId="13" borderId="57" xfId="6" applyFont="1" applyFill="1" applyBorder="1" applyAlignment="1">
      <alignment vertical="center"/>
    </xf>
    <xf numFmtId="43" fontId="3" fillId="14" borderId="57" xfId="6" applyFont="1" applyFill="1" applyBorder="1" applyAlignment="1">
      <alignment vertical="center"/>
    </xf>
    <xf numFmtId="43" fontId="2" fillId="0" borderId="56" xfId="6" applyFont="1" applyFill="1" applyBorder="1" applyAlignment="1">
      <alignment horizontal="right" vertical="center"/>
    </xf>
    <xf numFmtId="43" fontId="21" fillId="0" borderId="57" xfId="6" applyFont="1" applyFill="1" applyBorder="1" applyAlignment="1">
      <alignment horizontal="left" vertical="center"/>
    </xf>
    <xf numFmtId="43" fontId="21" fillId="0" borderId="56" xfId="6" applyFont="1" applyFill="1" applyBorder="1" applyAlignment="1">
      <alignment horizontal="right" vertical="center"/>
    </xf>
    <xf numFmtId="43" fontId="5" fillId="0" borderId="57" xfId="6" applyFont="1" applyFill="1" applyBorder="1" applyAlignment="1">
      <alignment vertical="center"/>
    </xf>
    <xf numFmtId="43" fontId="3" fillId="14" borderId="35" xfId="6" applyFont="1" applyFill="1" applyBorder="1" applyAlignment="1">
      <alignment vertical="center"/>
    </xf>
    <xf numFmtId="43" fontId="2" fillId="0" borderId="60" xfId="6" applyFont="1" applyBorder="1" applyAlignment="1">
      <alignment vertical="center"/>
    </xf>
    <xf numFmtId="43" fontId="3" fillId="15" borderId="63" xfId="6" applyFont="1" applyFill="1" applyBorder="1" applyAlignment="1">
      <alignment vertical="center"/>
    </xf>
    <xf numFmtId="43" fontId="2" fillId="15" borderId="57" xfId="6" applyFont="1" applyFill="1" applyBorder="1" applyAlignment="1">
      <alignment vertical="center"/>
    </xf>
    <xf numFmtId="43" fontId="2" fillId="15" borderId="60" xfId="6" applyFont="1" applyFill="1" applyBorder="1" applyAlignment="1">
      <alignment vertical="center"/>
    </xf>
    <xf numFmtId="43" fontId="3" fillId="12" borderId="35" xfId="6" applyFont="1" applyFill="1" applyBorder="1" applyAlignment="1">
      <alignment vertical="center"/>
    </xf>
    <xf numFmtId="43" fontId="2" fillId="0" borderId="65" xfId="9" applyNumberFormat="1" applyFont="1" applyBorder="1" applyAlignment="1">
      <alignment vertical="center"/>
    </xf>
    <xf numFmtId="43" fontId="3" fillId="12" borderId="35" xfId="9" applyNumberFormat="1" applyFont="1" applyFill="1" applyBorder="1" applyAlignment="1">
      <alignment horizontal="center" vertical="center" wrapText="1"/>
    </xf>
    <xf numFmtId="43" fontId="2" fillId="0" borderId="66" xfId="6" applyFont="1" applyFill="1" applyBorder="1" applyAlignment="1">
      <alignment vertical="center"/>
    </xf>
    <xf numFmtId="43" fontId="21" fillId="13" borderId="57" xfId="6" applyFont="1" applyFill="1" applyBorder="1" applyAlignment="1">
      <alignment vertical="center"/>
    </xf>
    <xf numFmtId="43" fontId="21" fillId="0" borderId="57" xfId="6" applyFont="1" applyFill="1" applyBorder="1" applyAlignment="1">
      <alignment vertical="center"/>
    </xf>
    <xf numFmtId="43" fontId="2" fillId="0" borderId="60" xfId="6" applyFont="1" applyFill="1" applyBorder="1" applyAlignment="1">
      <alignment vertical="center"/>
    </xf>
    <xf numFmtId="43" fontId="2" fillId="0" borderId="0" xfId="9" applyNumberFormat="1" applyFont="1" applyAlignment="1">
      <alignment vertical="center"/>
    </xf>
    <xf numFmtId="43" fontId="3" fillId="16" borderId="35" xfId="9" applyNumberFormat="1" applyFont="1" applyFill="1" applyBorder="1" applyAlignment="1">
      <alignment vertical="center"/>
    </xf>
    <xf numFmtId="43" fontId="2" fillId="10" borderId="56" xfId="9" applyNumberFormat="1" applyFont="1" applyFill="1" applyBorder="1" applyAlignment="1">
      <alignment vertical="center"/>
    </xf>
    <xf numFmtId="43" fontId="2" fillId="10" borderId="69" xfId="9" applyNumberFormat="1" applyFont="1" applyFill="1" applyBorder="1" applyAlignment="1">
      <alignment vertical="center"/>
    </xf>
    <xf numFmtId="43" fontId="3" fillId="3" borderId="72" xfId="6" applyFont="1" applyFill="1" applyBorder="1" applyAlignment="1">
      <alignment vertical="center"/>
    </xf>
    <xf numFmtId="43" fontId="3" fillId="3" borderId="74" xfId="6" applyFont="1" applyFill="1" applyBorder="1" applyAlignment="1">
      <alignment vertical="center"/>
    </xf>
    <xf numFmtId="0" fontId="2" fillId="0" borderId="55" xfId="9" applyFont="1" applyBorder="1" applyAlignment="1">
      <alignment horizontal="center" vertical="center"/>
    </xf>
    <xf numFmtId="0" fontId="2" fillId="0" borderId="5" xfId="9" applyFont="1" applyBorder="1" applyAlignment="1">
      <alignment horizontal="center" vertical="center"/>
    </xf>
    <xf numFmtId="0" fontId="25" fillId="0" borderId="0" xfId="9" applyFont="1" applyAlignment="1">
      <alignment vertical="center"/>
    </xf>
    <xf numFmtId="0" fontId="3" fillId="12" borderId="75" xfId="9" applyFont="1" applyFill="1" applyBorder="1" applyAlignment="1">
      <alignment horizontal="center" vertical="center" wrapText="1"/>
    </xf>
    <xf numFmtId="166" fontId="3" fillId="12" borderId="75" xfId="6" applyNumberFormat="1" applyFont="1" applyFill="1" applyBorder="1" applyAlignment="1">
      <alignment vertical="center"/>
    </xf>
    <xf numFmtId="43" fontId="2" fillId="0" borderId="14" xfId="6" applyFont="1" applyFill="1" applyBorder="1" applyAlignment="1">
      <alignment vertical="center"/>
    </xf>
    <xf numFmtId="43" fontId="21" fillId="0" borderId="14" xfId="6" applyFont="1" applyFill="1" applyBorder="1" applyAlignment="1">
      <alignment horizontal="center" vertical="center"/>
    </xf>
    <xf numFmtId="43" fontId="2" fillId="0" borderId="2" xfId="6" applyFont="1" applyFill="1" applyBorder="1" applyAlignment="1">
      <alignment vertical="center"/>
    </xf>
    <xf numFmtId="43" fontId="5" fillId="0" borderId="2" xfId="6" applyFont="1" applyFill="1" applyBorder="1" applyAlignment="1">
      <alignment vertical="center"/>
    </xf>
    <xf numFmtId="43" fontId="2" fillId="13" borderId="2" xfId="6" applyFont="1" applyFill="1" applyBorder="1" applyAlignment="1">
      <alignment vertical="center"/>
    </xf>
    <xf numFmtId="43" fontId="3" fillId="14" borderId="2" xfId="6" applyFont="1" applyFill="1" applyBorder="1" applyAlignment="1">
      <alignment vertical="center"/>
    </xf>
    <xf numFmtId="43" fontId="2" fillId="0" borderId="14" xfId="6" applyFont="1" applyFill="1" applyBorder="1" applyAlignment="1">
      <alignment horizontal="right" vertical="center"/>
    </xf>
    <xf numFmtId="43" fontId="21" fillId="0" borderId="2" xfId="6" applyFont="1" applyFill="1" applyBorder="1" applyAlignment="1">
      <alignment horizontal="left" vertical="center"/>
    </xf>
    <xf numFmtId="43" fontId="21" fillId="0" borderId="14" xfId="6" applyFont="1" applyFill="1" applyBorder="1" applyAlignment="1">
      <alignment horizontal="right" vertical="center"/>
    </xf>
    <xf numFmtId="43" fontId="3" fillId="14" borderId="75" xfId="6" applyFont="1" applyFill="1" applyBorder="1" applyAlignment="1">
      <alignment vertical="center"/>
    </xf>
    <xf numFmtId="0" fontId="3" fillId="0" borderId="77" xfId="9" applyFont="1" applyBorder="1" applyAlignment="1">
      <alignment horizontal="center" vertical="center" wrapText="1"/>
    </xf>
    <xf numFmtId="0" fontId="2" fillId="0" borderId="78" xfId="9" applyFont="1" applyBorder="1" applyAlignment="1">
      <alignment vertical="center"/>
    </xf>
    <xf numFmtId="43" fontId="20" fillId="0" borderId="78" xfId="9" applyNumberFormat="1" applyFont="1" applyBorder="1" applyAlignment="1">
      <alignment horizontal="center" vertical="center"/>
    </xf>
    <xf numFmtId="43" fontId="2" fillId="0" borderId="78" xfId="9" applyNumberFormat="1" applyFont="1" applyBorder="1" applyAlignment="1">
      <alignment horizontal="center" vertical="center"/>
    </xf>
    <xf numFmtId="43" fontId="24" fillId="0" borderId="78" xfId="9" applyNumberFormat="1" applyFont="1" applyBorder="1" applyAlignment="1">
      <alignment horizontal="center" vertical="center"/>
    </xf>
    <xf numFmtId="43" fontId="2" fillId="0" borderId="79" xfId="9" applyNumberFormat="1" applyFont="1" applyBorder="1" applyAlignment="1">
      <alignment horizontal="center" vertical="center"/>
    </xf>
    <xf numFmtId="0" fontId="3" fillId="12" borderId="55" xfId="9" applyFont="1" applyFill="1" applyBorder="1" applyAlignment="1">
      <alignment vertical="center"/>
    </xf>
    <xf numFmtId="43" fontId="2" fillId="0" borderId="1" xfId="8" applyFont="1" applyBorder="1" applyAlignment="1">
      <alignment horizontal="right" vertical="center"/>
    </xf>
    <xf numFmtId="43" fontId="21" fillId="0" borderId="1" xfId="8" applyFont="1" applyBorder="1" applyAlignment="1">
      <alignment horizontal="right" vertical="center"/>
    </xf>
    <xf numFmtId="43" fontId="2" fillId="14" borderId="1" xfId="8" applyFont="1" applyFill="1" applyBorder="1" applyAlignment="1">
      <alignment horizontal="right" vertical="center"/>
    </xf>
    <xf numFmtId="43" fontId="2" fillId="0" borderId="5" xfId="8" applyFont="1" applyBorder="1" applyAlignment="1">
      <alignment horizontal="right" vertical="center"/>
    </xf>
    <xf numFmtId="43" fontId="2" fillId="0" borderId="3" xfId="8" quotePrefix="1" applyFont="1" applyBorder="1" applyAlignment="1">
      <alignment horizontal="right" vertical="center"/>
    </xf>
    <xf numFmtId="43" fontId="2" fillId="0" borderId="10" xfId="8" applyFont="1" applyBorder="1" applyAlignment="1">
      <alignment horizontal="right" vertical="center"/>
    </xf>
    <xf numFmtId="43" fontId="21" fillId="0" borderId="10" xfId="8" applyFont="1" applyBorder="1" applyAlignment="1">
      <alignment horizontal="right" vertical="center"/>
    </xf>
    <xf numFmtId="43" fontId="2" fillId="0" borderId="63" xfId="6" applyFont="1" applyFill="1" applyBorder="1" applyAlignment="1">
      <alignment vertical="center"/>
    </xf>
    <xf numFmtId="43" fontId="3" fillId="14" borderId="34" xfId="8" applyFont="1" applyFill="1" applyBorder="1" applyAlignment="1">
      <alignment horizontal="right" vertical="center"/>
    </xf>
    <xf numFmtId="43" fontId="21" fillId="0" borderId="57" xfId="6" applyFont="1" applyFill="1" applyBorder="1" applyAlignment="1">
      <alignment horizontal="right" vertical="center"/>
    </xf>
    <xf numFmtId="0" fontId="25" fillId="0" borderId="0" xfId="9" applyFont="1" applyAlignment="1">
      <alignment horizontal="center" vertical="center"/>
    </xf>
    <xf numFmtId="43" fontId="19" fillId="0" borderId="0" xfId="9" applyNumberFormat="1" applyFont="1" applyAlignment="1">
      <alignment vertical="center"/>
    </xf>
    <xf numFmtId="0" fontId="3" fillId="12" borderId="32" xfId="9" applyFont="1" applyFill="1" applyBorder="1" applyAlignment="1">
      <alignment horizontal="center" vertical="center"/>
    </xf>
    <xf numFmtId="166" fontId="3" fillId="12" borderId="80" xfId="6" applyNumberFormat="1" applyFont="1" applyFill="1" applyBorder="1" applyAlignment="1">
      <alignment vertical="center"/>
    </xf>
    <xf numFmtId="43" fontId="2" fillId="0" borderId="15" xfId="6" applyFont="1" applyFill="1" applyBorder="1" applyAlignment="1">
      <alignment vertical="center"/>
    </xf>
    <xf numFmtId="43" fontId="2" fillId="13" borderId="9" xfId="6" applyFont="1" applyFill="1" applyBorder="1" applyAlignment="1">
      <alignment vertical="center"/>
    </xf>
    <xf numFmtId="43" fontId="2" fillId="0" borderId="11" xfId="6" applyFont="1" applyFill="1" applyBorder="1" applyAlignment="1">
      <alignment horizontal="right" vertical="center"/>
    </xf>
    <xf numFmtId="43" fontId="21" fillId="0" borderId="2" xfId="6" applyFont="1" applyFill="1" applyBorder="1" applyAlignment="1">
      <alignment horizontal="right" vertical="center"/>
    </xf>
    <xf numFmtId="43" fontId="2" fillId="0" borderId="0" xfId="6" applyFont="1" applyFill="1" applyBorder="1" applyAlignment="1">
      <alignment vertical="center"/>
    </xf>
    <xf numFmtId="43" fontId="3" fillId="14" borderId="0" xfId="6" applyFont="1" applyFill="1" applyBorder="1" applyAlignment="1">
      <alignment vertical="center"/>
    </xf>
    <xf numFmtId="43" fontId="2" fillId="0" borderId="0" xfId="6" applyFont="1" applyBorder="1" applyAlignment="1">
      <alignment vertical="center"/>
    </xf>
    <xf numFmtId="43" fontId="3" fillId="15" borderId="0" xfId="6" applyFont="1" applyFill="1" applyBorder="1" applyAlignment="1">
      <alignment vertical="center"/>
    </xf>
    <xf numFmtId="43" fontId="2" fillId="15" borderId="0" xfId="6" applyFont="1" applyFill="1" applyBorder="1" applyAlignment="1">
      <alignment vertical="center"/>
    </xf>
    <xf numFmtId="43" fontId="3" fillId="12" borderId="0" xfId="6" applyFont="1" applyFill="1" applyBorder="1" applyAlignment="1">
      <alignment vertical="center"/>
    </xf>
    <xf numFmtId="43" fontId="3" fillId="12" borderId="0" xfId="9" applyNumberFormat="1" applyFont="1" applyFill="1" applyAlignment="1">
      <alignment horizontal="center" vertical="center" wrapText="1"/>
    </xf>
    <xf numFmtId="43" fontId="21" fillId="13" borderId="0" xfId="6" applyFont="1" applyFill="1" applyBorder="1" applyAlignment="1">
      <alignment vertical="center"/>
    </xf>
    <xf numFmtId="43" fontId="21" fillId="0" borderId="0" xfId="6" applyFont="1" applyFill="1" applyBorder="1" applyAlignment="1">
      <alignment vertical="center"/>
    </xf>
    <xf numFmtId="43" fontId="3" fillId="16" borderId="0" xfId="9" applyNumberFormat="1" applyFont="1" applyFill="1" applyAlignment="1">
      <alignment vertical="center"/>
    </xf>
    <xf numFmtId="43" fontId="2" fillId="10" borderId="0" xfId="9" applyNumberFormat="1" applyFont="1" applyFill="1" applyAlignment="1">
      <alignment vertical="center"/>
    </xf>
    <xf numFmtId="43" fontId="3" fillId="3" borderId="0" xfId="6" applyFont="1" applyFill="1" applyBorder="1" applyAlignment="1">
      <alignment vertical="center"/>
    </xf>
    <xf numFmtId="166" fontId="3" fillId="17" borderId="0" xfId="9" applyNumberFormat="1" applyFont="1" applyFill="1" applyAlignment="1">
      <alignment vertical="center"/>
    </xf>
    <xf numFmtId="167" fontId="22" fillId="18" borderId="0" xfId="9" applyNumberFormat="1" applyFont="1" applyFill="1" applyAlignment="1">
      <alignment horizontal="right" vertical="center"/>
    </xf>
    <xf numFmtId="9" fontId="2" fillId="0" borderId="0" xfId="9" applyNumberFormat="1" applyFont="1" applyAlignment="1">
      <alignment vertical="center"/>
    </xf>
    <xf numFmtId="43" fontId="15" fillId="10" borderId="42" xfId="6" applyFont="1" applyFill="1" applyBorder="1" applyAlignment="1">
      <alignment horizontal="right" vertical="center"/>
    </xf>
    <xf numFmtId="43" fontId="21" fillId="0" borderId="78" xfId="9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5" borderId="81" xfId="0" applyFont="1" applyFill="1" applyBorder="1" applyAlignment="1">
      <alignment horizontal="center" vertical="center" wrapText="1"/>
    </xf>
    <xf numFmtId="0" fontId="3" fillId="5" borderId="82" xfId="0" applyFont="1" applyFill="1" applyBorder="1" applyAlignment="1">
      <alignment horizontal="center" vertical="center" wrapText="1"/>
    </xf>
    <xf numFmtId="0" fontId="3" fillId="5" borderId="8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vertical="center"/>
    </xf>
    <xf numFmtId="0" fontId="2" fillId="0" borderId="86" xfId="0" applyFont="1" applyBorder="1" applyAlignment="1">
      <alignment vertical="center"/>
    </xf>
    <xf numFmtId="0" fontId="3" fillId="5" borderId="8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/>
    </xf>
    <xf numFmtId="0" fontId="3" fillId="5" borderId="88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 indent="1"/>
    </xf>
    <xf numFmtId="0" fontId="27" fillId="0" borderId="12" xfId="16" applyFont="1" applyBorder="1" applyAlignment="1" applyProtection="1">
      <alignment horizontal="left" indent="1"/>
    </xf>
    <xf numFmtId="0" fontId="2" fillId="0" borderId="87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indent="1"/>
    </xf>
    <xf numFmtId="0" fontId="28" fillId="0" borderId="88" xfId="16" applyFont="1" applyBorder="1" applyAlignment="1" applyProtection="1">
      <alignment vertical="center"/>
    </xf>
    <xf numFmtId="0" fontId="28" fillId="0" borderId="12" xfId="16" applyFont="1" applyBorder="1" applyAlignment="1" applyProtection="1">
      <alignment vertical="center"/>
    </xf>
    <xf numFmtId="0" fontId="2" fillId="0" borderId="85" xfId="0" applyFont="1" applyBorder="1" applyAlignment="1">
      <alignment horizontal="left" vertical="center" indent="1"/>
    </xf>
    <xf numFmtId="0" fontId="2" fillId="0" borderId="13" xfId="0" applyFont="1" applyBorder="1" applyAlignment="1">
      <alignment vertical="center"/>
    </xf>
    <xf numFmtId="0" fontId="2" fillId="0" borderId="88" xfId="0" applyFont="1" applyBorder="1" applyAlignment="1">
      <alignment vertical="center"/>
    </xf>
    <xf numFmtId="0" fontId="2" fillId="0" borderId="85" xfId="0" applyFont="1" applyBorder="1" applyAlignment="1">
      <alignment vertical="top" wrapText="1"/>
    </xf>
    <xf numFmtId="0" fontId="28" fillId="0" borderId="88" xfId="16" applyFont="1" applyBorder="1" applyAlignment="1" applyProtection="1">
      <alignment vertical="top" wrapText="1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left" vertical="center" indent="1"/>
    </xf>
    <xf numFmtId="0" fontId="2" fillId="0" borderId="90" xfId="0" applyFont="1" applyBorder="1" applyAlignment="1">
      <alignment vertical="center"/>
    </xf>
    <xf numFmtId="0" fontId="28" fillId="0" borderId="91" xfId="16" applyFont="1" applyBorder="1" applyAlignment="1" applyProtection="1">
      <alignment vertical="center"/>
    </xf>
    <xf numFmtId="0" fontId="2" fillId="0" borderId="92" xfId="0" applyFont="1" applyBorder="1" applyAlignment="1">
      <alignment vertical="center"/>
    </xf>
    <xf numFmtId="0" fontId="2" fillId="0" borderId="93" xfId="0" applyFont="1" applyBorder="1" applyAlignment="1">
      <alignment horizontal="center" vertical="center"/>
    </xf>
    <xf numFmtId="0" fontId="2" fillId="0" borderId="94" xfId="0" applyFont="1" applyBorder="1" applyAlignment="1">
      <alignment horizontal="left" vertical="center" indent="1"/>
    </xf>
    <xf numFmtId="0" fontId="2" fillId="0" borderId="94" xfId="0" applyFont="1" applyBorder="1" applyAlignment="1">
      <alignment vertical="center"/>
    </xf>
    <xf numFmtId="0" fontId="2" fillId="0" borderId="95" xfId="0" applyFont="1" applyBorder="1" applyAlignment="1">
      <alignment vertical="center"/>
    </xf>
    <xf numFmtId="17" fontId="5" fillId="0" borderId="88" xfId="16" applyNumberFormat="1" applyFont="1" applyBorder="1" applyAlignment="1" applyProtection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96" xfId="0" applyFont="1" applyBorder="1" applyAlignment="1">
      <alignment vertical="center"/>
    </xf>
    <xf numFmtId="0" fontId="12" fillId="0" borderId="0" xfId="12"/>
    <xf numFmtId="0" fontId="12" fillId="0" borderId="0" xfId="12" applyAlignment="1">
      <alignment horizontal="center"/>
    </xf>
    <xf numFmtId="0" fontId="30" fillId="8" borderId="0" xfId="12" applyFont="1" applyFill="1" applyAlignment="1">
      <alignment horizontal="center"/>
    </xf>
    <xf numFmtId="0" fontId="30" fillId="0" borderId="0" xfId="12" applyFont="1" applyAlignment="1">
      <alignment horizontal="center"/>
    </xf>
    <xf numFmtId="0" fontId="30" fillId="0" borderId="0" xfId="12" applyFont="1"/>
    <xf numFmtId="0" fontId="31" fillId="0" borderId="0" xfId="12" applyFont="1" applyAlignment="1">
      <alignment horizontal="center"/>
    </xf>
    <xf numFmtId="0" fontId="12" fillId="0" borderId="0" xfId="12" applyAlignment="1" applyProtection="1">
      <alignment horizontal="center" wrapText="1"/>
      <protection locked="0" hidden="1"/>
    </xf>
    <xf numFmtId="0" fontId="12" fillId="0" borderId="0" xfId="12" applyProtection="1">
      <protection locked="0" hidden="1"/>
    </xf>
    <xf numFmtId="0" fontId="31" fillId="8" borderId="70" xfId="12" applyFont="1" applyFill="1" applyBorder="1" applyAlignment="1">
      <alignment vertical="center"/>
    </xf>
    <xf numFmtId="0" fontId="31" fillId="0" borderId="64" xfId="12" applyFont="1" applyBorder="1" applyAlignment="1">
      <alignment horizontal="center"/>
    </xf>
    <xf numFmtId="166" fontId="12" fillId="0" borderId="0" xfId="12" applyNumberFormat="1" applyAlignment="1">
      <alignment horizontal="center"/>
    </xf>
    <xf numFmtId="15" fontId="30" fillId="0" borderId="100" xfId="12" applyNumberFormat="1" applyFont="1" applyBorder="1" applyAlignment="1">
      <alignment horizontal="center" textRotation="90"/>
    </xf>
    <xf numFmtId="0" fontId="30" fillId="0" borderId="7" xfId="12" applyFont="1" applyBorder="1" applyAlignment="1" applyProtection="1">
      <alignment horizontal="center" wrapText="1"/>
      <protection locked="0" hidden="1"/>
    </xf>
    <xf numFmtId="0" fontId="31" fillId="0" borderId="2" xfId="12" applyFont="1" applyBorder="1" applyAlignment="1">
      <alignment horizontal="center"/>
    </xf>
    <xf numFmtId="0" fontId="31" fillId="0" borderId="9" xfId="12" applyFont="1" applyBorder="1" applyAlignment="1" applyProtection="1">
      <alignment horizontal="center"/>
      <protection locked="0" hidden="1"/>
    </xf>
    <xf numFmtId="0" fontId="31" fillId="0" borderId="9" xfId="12" applyFont="1" applyBorder="1" applyAlignment="1">
      <alignment horizontal="center"/>
    </xf>
    <xf numFmtId="0" fontId="31" fillId="0" borderId="10" xfId="12" applyFont="1" applyBorder="1" applyAlignment="1">
      <alignment horizontal="center"/>
    </xf>
    <xf numFmtId="168" fontId="12" fillId="19" borderId="13" xfId="8" applyNumberFormat="1" applyFont="1" applyFill="1" applyBorder="1"/>
    <xf numFmtId="0" fontId="31" fillId="0" borderId="9" xfId="12" applyFont="1" applyBorder="1" applyAlignment="1">
      <alignment horizontal="center" wrapText="1"/>
    </xf>
    <xf numFmtId="0" fontId="12" fillId="3" borderId="0" xfId="12" applyFill="1" applyProtection="1">
      <protection locked="0" hidden="1"/>
    </xf>
    <xf numFmtId="0" fontId="31" fillId="0" borderId="7" xfId="12" applyFont="1" applyBorder="1" applyAlignment="1">
      <alignment horizontal="center"/>
    </xf>
    <xf numFmtId="15" fontId="31" fillId="20" borderId="105" xfId="12" applyNumberFormat="1" applyFont="1" applyFill="1" applyBorder="1" applyAlignment="1">
      <alignment vertical="center" wrapText="1"/>
    </xf>
    <xf numFmtId="15" fontId="31" fillId="20" borderId="108" xfId="12" applyNumberFormat="1" applyFont="1" applyFill="1" applyBorder="1" applyAlignment="1">
      <alignment horizontal="center" vertical="center" wrapText="1"/>
    </xf>
    <xf numFmtId="0" fontId="30" fillId="0" borderId="0" xfId="12" applyFont="1" applyAlignment="1">
      <alignment wrapText="1"/>
    </xf>
    <xf numFmtId="0" fontId="31" fillId="0" borderId="8" xfId="12" applyFont="1" applyBorder="1" applyAlignment="1">
      <alignment horizontal="center"/>
    </xf>
    <xf numFmtId="168" fontId="12" fillId="0" borderId="0" xfId="12" applyNumberFormat="1"/>
    <xf numFmtId="168" fontId="12" fillId="19" borderId="85" xfId="8" applyNumberFormat="1" applyFont="1" applyFill="1" applyBorder="1"/>
    <xf numFmtId="168" fontId="12" fillId="19" borderId="94" xfId="8" applyNumberFormat="1" applyFont="1" applyFill="1" applyBorder="1"/>
    <xf numFmtId="168" fontId="12" fillId="19" borderId="98" xfId="8" applyNumberFormat="1" applyFont="1" applyFill="1" applyBorder="1"/>
    <xf numFmtId="168" fontId="12" fillId="19" borderId="90" xfId="8" applyNumberFormat="1" applyFont="1" applyFill="1" applyBorder="1"/>
    <xf numFmtId="15" fontId="30" fillId="0" borderId="112" xfId="12" applyNumberFormat="1" applyFont="1" applyBorder="1" applyAlignment="1">
      <alignment horizontal="center" textRotation="90"/>
    </xf>
    <xf numFmtId="15" fontId="30" fillId="0" borderId="113" xfId="12" applyNumberFormat="1" applyFont="1" applyBorder="1" applyAlignment="1">
      <alignment horizontal="center" textRotation="90"/>
    </xf>
    <xf numFmtId="168" fontId="12" fillId="19" borderId="87" xfId="8" applyNumberFormat="1" applyFont="1" applyFill="1" applyBorder="1"/>
    <xf numFmtId="168" fontId="12" fillId="19" borderId="88" xfId="8" applyNumberFormat="1" applyFont="1" applyFill="1" applyBorder="1"/>
    <xf numFmtId="168" fontId="12" fillId="19" borderId="93" xfId="8" applyNumberFormat="1" applyFont="1" applyFill="1" applyBorder="1"/>
    <xf numFmtId="168" fontId="12" fillId="19" borderId="95" xfId="8" applyNumberFormat="1" applyFont="1" applyFill="1" applyBorder="1"/>
    <xf numFmtId="168" fontId="12" fillId="19" borderId="97" xfId="8" applyNumberFormat="1" applyFont="1" applyFill="1" applyBorder="1"/>
    <xf numFmtId="168" fontId="12" fillId="19" borderId="99" xfId="8" applyNumberFormat="1" applyFont="1" applyFill="1" applyBorder="1"/>
    <xf numFmtId="168" fontId="12" fillId="19" borderId="84" xfId="8" applyNumberFormat="1" applyFont="1" applyFill="1" applyBorder="1"/>
    <xf numFmtId="168" fontId="12" fillId="19" borderId="86" xfId="8" applyNumberFormat="1" applyFont="1" applyFill="1" applyBorder="1"/>
    <xf numFmtId="168" fontId="12" fillId="19" borderId="89" xfId="8" applyNumberFormat="1" applyFont="1" applyFill="1" applyBorder="1"/>
    <xf numFmtId="168" fontId="12" fillId="19" borderId="91" xfId="8" applyNumberFormat="1" applyFont="1" applyFill="1" applyBorder="1"/>
    <xf numFmtId="0" fontId="33" fillId="19" borderId="114" xfId="12" applyFont="1" applyFill="1" applyBorder="1"/>
    <xf numFmtId="0" fontId="33" fillId="19" borderId="115" xfId="12" applyFont="1" applyFill="1" applyBorder="1"/>
    <xf numFmtId="0" fontId="33" fillId="19" borderId="116" xfId="12" applyFont="1" applyFill="1" applyBorder="1"/>
    <xf numFmtId="15" fontId="31" fillId="20" borderId="117" xfId="12" applyNumberFormat="1" applyFont="1" applyFill="1" applyBorder="1" applyAlignment="1">
      <alignment horizontal="center" vertical="center" wrapText="1"/>
    </xf>
    <xf numFmtId="15" fontId="31" fillId="20" borderId="119" xfId="12" applyNumberFormat="1" applyFont="1" applyFill="1" applyBorder="1" applyAlignment="1">
      <alignment horizontal="center" vertical="center" wrapText="1"/>
    </xf>
    <xf numFmtId="0" fontId="30" fillId="0" borderId="9" xfId="12" applyFont="1" applyBorder="1" applyAlignment="1">
      <alignment horizontal="center"/>
    </xf>
    <xf numFmtId="0" fontId="31" fillId="0" borderId="7" xfId="12" applyFont="1" applyBorder="1" applyAlignment="1" applyProtection="1">
      <alignment horizontal="center" vertical="center"/>
      <protection locked="0" hidden="1"/>
    </xf>
    <xf numFmtId="0" fontId="33" fillId="19" borderId="121" xfId="12" applyFont="1" applyFill="1" applyBorder="1"/>
    <xf numFmtId="0" fontId="33" fillId="19" borderId="41" xfId="12" applyFont="1" applyFill="1" applyBorder="1"/>
    <xf numFmtId="0" fontId="33" fillId="19" borderId="37" xfId="12" applyFont="1" applyFill="1" applyBorder="1"/>
    <xf numFmtId="0" fontId="33" fillId="19" borderId="122" xfId="12" applyFont="1" applyFill="1" applyBorder="1"/>
    <xf numFmtId="0" fontId="31" fillId="0" borderId="6" xfId="12" applyFont="1" applyBorder="1" applyAlignment="1">
      <alignment horizontal="center"/>
    </xf>
    <xf numFmtId="0" fontId="33" fillId="19" borderId="45" xfId="12" applyFont="1" applyFill="1" applyBorder="1"/>
    <xf numFmtId="15" fontId="31" fillId="0" borderId="101" xfId="12" applyNumberFormat="1" applyFont="1" applyBorder="1" applyAlignment="1">
      <alignment horizontal="center" textRotation="90"/>
    </xf>
    <xf numFmtId="15" fontId="31" fillId="0" borderId="102" xfId="12" applyNumberFormat="1" applyFont="1" applyBorder="1" applyAlignment="1">
      <alignment horizontal="center" textRotation="90"/>
    </xf>
    <xf numFmtId="0" fontId="12" fillId="0" borderId="121" xfId="12" applyBorder="1" applyAlignment="1">
      <alignment horizontal="center"/>
    </xf>
    <xf numFmtId="0" fontId="12" fillId="0" borderId="41" xfId="12" applyBorder="1" applyAlignment="1">
      <alignment horizontal="center"/>
    </xf>
    <xf numFmtId="0" fontId="12" fillId="0" borderId="122" xfId="12" applyBorder="1" applyAlignment="1">
      <alignment horizontal="center"/>
    </xf>
    <xf numFmtId="0" fontId="12" fillId="19" borderId="125" xfId="12" applyFill="1" applyBorder="1"/>
    <xf numFmtId="0" fontId="12" fillId="19" borderId="126" xfId="12" applyFill="1" applyBorder="1"/>
    <xf numFmtId="0" fontId="12" fillId="19" borderId="127" xfId="12" applyFill="1" applyBorder="1"/>
    <xf numFmtId="0" fontId="12" fillId="19" borderId="128" xfId="12" applyFill="1" applyBorder="1"/>
    <xf numFmtId="0" fontId="12" fillId="19" borderId="129" xfId="12" applyFill="1" applyBorder="1"/>
    <xf numFmtId="0" fontId="12" fillId="19" borderId="130" xfId="12" applyFill="1" applyBorder="1"/>
    <xf numFmtId="0" fontId="12" fillId="19" borderId="131" xfId="12" applyFill="1" applyBorder="1"/>
    <xf numFmtId="0" fontId="12" fillId="19" borderId="132" xfId="12" applyFill="1" applyBorder="1"/>
    <xf numFmtId="0" fontId="12" fillId="19" borderId="114" xfId="12" applyFill="1" applyBorder="1"/>
    <xf numFmtId="0" fontId="12" fillId="19" borderId="115" xfId="12" applyFill="1" applyBorder="1"/>
    <xf numFmtId="0" fontId="12" fillId="19" borderId="116" xfId="12" applyFill="1" applyBorder="1"/>
    <xf numFmtId="0" fontId="12" fillId="19" borderId="106" xfId="12" applyFill="1" applyBorder="1"/>
    <xf numFmtId="0" fontId="12" fillId="19" borderId="133" xfId="12" applyFill="1" applyBorder="1"/>
    <xf numFmtId="0" fontId="12" fillId="19" borderId="134" xfId="12" applyFill="1" applyBorder="1"/>
    <xf numFmtId="0" fontId="12" fillId="19" borderId="135" xfId="12" applyFill="1" applyBorder="1"/>
    <xf numFmtId="0" fontId="12" fillId="19" borderId="136" xfId="12" applyFill="1" applyBorder="1"/>
    <xf numFmtId="0" fontId="12" fillId="19" borderId="140" xfId="12" applyFill="1" applyBorder="1"/>
    <xf numFmtId="0" fontId="12" fillId="19" borderId="137" xfId="12" applyFill="1" applyBorder="1"/>
    <xf numFmtId="0" fontId="12" fillId="19" borderId="138" xfId="12" applyFill="1" applyBorder="1"/>
    <xf numFmtId="0" fontId="12" fillId="19" borderId="141" xfId="12" applyFill="1" applyBorder="1"/>
    <xf numFmtId="0" fontId="12" fillId="19" borderId="139" xfId="12" applyFill="1" applyBorder="1"/>
    <xf numFmtId="0" fontId="12" fillId="19" borderId="142" xfId="12" applyFill="1" applyBorder="1"/>
    <xf numFmtId="0" fontId="12" fillId="19" borderId="143" xfId="12" applyFill="1" applyBorder="1"/>
    <xf numFmtId="0" fontId="12" fillId="19" borderId="144" xfId="12" applyFill="1" applyBorder="1"/>
    <xf numFmtId="15" fontId="31" fillId="20" borderId="145" xfId="12" applyNumberFormat="1" applyFont="1" applyFill="1" applyBorder="1" applyAlignment="1">
      <alignment horizontal="center" vertical="center" wrapText="1"/>
    </xf>
    <xf numFmtId="0" fontId="30" fillId="19" borderId="146" xfId="12" applyFont="1" applyFill="1" applyBorder="1"/>
    <xf numFmtId="0" fontId="30" fillId="19" borderId="147" xfId="12" applyFont="1" applyFill="1" applyBorder="1"/>
    <xf numFmtId="0" fontId="31" fillId="0" borderId="1" xfId="12" applyFont="1" applyBorder="1" applyAlignment="1">
      <alignment horizontal="center"/>
    </xf>
    <xf numFmtId="0" fontId="31" fillId="0" borderId="1" xfId="12" applyFont="1" applyBorder="1" applyAlignment="1" applyProtection="1">
      <alignment horizontal="center"/>
      <protection locked="0" hidden="1"/>
    </xf>
    <xf numFmtId="0" fontId="30" fillId="19" borderId="37" xfId="12" applyFont="1" applyFill="1" applyBorder="1"/>
    <xf numFmtId="0" fontId="30" fillId="19" borderId="41" xfId="12" applyFont="1" applyFill="1" applyBorder="1"/>
    <xf numFmtId="166" fontId="12" fillId="19" borderId="41" xfId="13" applyNumberFormat="1" applyFont="1" applyFill="1" applyBorder="1" applyAlignment="1" applyProtection="1">
      <alignment horizontal="center" wrapText="1"/>
      <protection locked="0" hidden="1"/>
    </xf>
    <xf numFmtId="0" fontId="30" fillId="19" borderId="122" xfId="12" applyFont="1" applyFill="1" applyBorder="1"/>
    <xf numFmtId="166" fontId="12" fillId="19" borderId="122" xfId="13" applyNumberFormat="1" applyFont="1" applyFill="1" applyBorder="1" applyAlignment="1" applyProtection="1">
      <alignment horizontal="center" wrapText="1"/>
      <protection locked="0" hidden="1"/>
    </xf>
    <xf numFmtId="0" fontId="30" fillId="19" borderId="121" xfId="12" applyFont="1" applyFill="1" applyBorder="1"/>
    <xf numFmtId="166" fontId="12" fillId="19" borderId="121" xfId="13" applyNumberFormat="1" applyFont="1" applyFill="1" applyBorder="1" applyAlignment="1" applyProtection="1">
      <alignment horizontal="center" wrapText="1"/>
      <protection locked="0" hidden="1"/>
    </xf>
    <xf numFmtId="0" fontId="30" fillId="19" borderId="45" xfId="12" applyFont="1" applyFill="1" applyBorder="1"/>
    <xf numFmtId="166" fontId="12" fillId="19" borderId="104" xfId="13" applyNumberFormat="1" applyFont="1" applyFill="1" applyBorder="1" applyAlignment="1">
      <alignment horizontal="center"/>
    </xf>
    <xf numFmtId="166" fontId="12" fillId="19" borderId="103" xfId="13" applyNumberFormat="1" applyFont="1" applyFill="1" applyBorder="1" applyAlignment="1">
      <alignment horizontal="center"/>
    </xf>
    <xf numFmtId="166" fontId="12" fillId="19" borderId="110" xfId="13" applyNumberFormat="1" applyFont="1" applyFill="1" applyBorder="1" applyAlignment="1">
      <alignment horizontal="center"/>
    </xf>
    <xf numFmtId="166" fontId="12" fillId="19" borderId="111" xfId="13" applyNumberFormat="1" applyFont="1" applyFill="1" applyBorder="1" applyAlignment="1">
      <alignment horizontal="center"/>
    </xf>
    <xf numFmtId="166" fontId="12" fillId="19" borderId="109" xfId="13" applyNumberFormat="1" applyFont="1" applyFill="1" applyBorder="1" applyAlignment="1">
      <alignment horizontal="center"/>
    </xf>
    <xf numFmtId="0" fontId="29" fillId="0" borderId="0" xfId="12" applyFont="1" applyAlignment="1">
      <alignment horizontal="center"/>
    </xf>
    <xf numFmtId="0" fontId="31" fillId="0" borderId="1" xfId="12" applyFont="1" applyBorder="1" applyAlignment="1" applyProtection="1">
      <alignment horizontal="center" wrapText="1"/>
      <protection locked="0" hidden="1"/>
    </xf>
    <xf numFmtId="166" fontId="31" fillId="20" borderId="5" xfId="12" applyNumberFormat="1" applyFont="1" applyFill="1" applyBorder="1" applyAlignment="1" applyProtection="1">
      <alignment horizontal="center" wrapText="1"/>
      <protection locked="0" hidden="1"/>
    </xf>
    <xf numFmtId="43" fontId="31" fillId="20" borderId="5" xfId="8" applyFont="1" applyFill="1" applyBorder="1" applyAlignment="1" applyProtection="1">
      <alignment horizontal="center" wrapText="1"/>
      <protection locked="0" hidden="1"/>
    </xf>
    <xf numFmtId="0" fontId="36" fillId="0" borderId="0" xfId="12" applyFont="1" applyAlignment="1" applyProtection="1">
      <alignment horizontal="right"/>
      <protection locked="0" hidden="1"/>
    </xf>
    <xf numFmtId="168" fontId="36" fillId="0" borderId="0" xfId="12" applyNumberFormat="1" applyFont="1" applyAlignment="1">
      <alignment horizontal="center"/>
    </xf>
    <xf numFmtId="43" fontId="32" fillId="19" borderId="104" xfId="13" applyFont="1" applyFill="1" applyBorder="1" applyAlignment="1">
      <alignment horizontal="center"/>
    </xf>
    <xf numFmtId="43" fontId="32" fillId="19" borderId="103" xfId="13" applyFont="1" applyFill="1" applyBorder="1" applyAlignment="1">
      <alignment horizontal="center"/>
    </xf>
    <xf numFmtId="43" fontId="32" fillId="19" borderId="110" xfId="13" applyFont="1" applyFill="1" applyBorder="1" applyAlignment="1">
      <alignment horizontal="center"/>
    </xf>
    <xf numFmtId="43" fontId="32" fillId="19" borderId="111" xfId="13" applyFont="1" applyFill="1" applyBorder="1" applyAlignment="1">
      <alignment horizontal="center"/>
    </xf>
    <xf numFmtId="43" fontId="32" fillId="19" borderId="109" xfId="13" applyFont="1" applyFill="1" applyBorder="1" applyAlignment="1">
      <alignment horizontal="center"/>
    </xf>
    <xf numFmtId="43" fontId="32" fillId="0" borderId="0" xfId="12" applyNumberFormat="1" applyFont="1" applyAlignment="1">
      <alignment horizontal="center"/>
    </xf>
    <xf numFmtId="15" fontId="31" fillId="20" borderId="105" xfId="12" applyNumberFormat="1" applyFont="1" applyFill="1" applyBorder="1" applyAlignment="1">
      <alignment horizontal="center" vertical="center" wrapText="1"/>
    </xf>
    <xf numFmtId="15" fontId="31" fillId="20" borderId="107" xfId="12" applyNumberFormat="1" applyFont="1" applyFill="1" applyBorder="1" applyAlignment="1">
      <alignment horizontal="center" vertical="center" wrapText="1"/>
    </xf>
    <xf numFmtId="15" fontId="31" fillId="20" borderId="118" xfId="12" applyNumberFormat="1" applyFont="1" applyFill="1" applyBorder="1" applyAlignment="1">
      <alignment horizontal="center" vertical="center" wrapText="1"/>
    </xf>
    <xf numFmtId="168" fontId="32" fillId="20" borderId="0" xfId="8" applyNumberFormat="1" applyFont="1" applyFill="1" applyBorder="1" applyAlignment="1">
      <alignment horizontal="center"/>
    </xf>
    <xf numFmtId="166" fontId="12" fillId="19" borderId="97" xfId="13" applyNumberFormat="1" applyFont="1" applyFill="1" applyBorder="1" applyAlignment="1" applyProtection="1">
      <alignment horizontal="center" wrapText="1"/>
      <protection locked="0" hidden="1"/>
    </xf>
    <xf numFmtId="166" fontId="12" fillId="19" borderId="84" xfId="13" applyNumberFormat="1" applyFont="1" applyFill="1" applyBorder="1" applyAlignment="1" applyProtection="1">
      <alignment horizontal="center" wrapText="1"/>
      <protection locked="0" hidden="1"/>
    </xf>
    <xf numFmtId="166" fontId="12" fillId="19" borderId="87" xfId="13" applyNumberFormat="1" applyFont="1" applyFill="1" applyBorder="1" applyAlignment="1" applyProtection="1">
      <alignment horizontal="center" wrapText="1"/>
      <protection locked="0" hidden="1"/>
    </xf>
    <xf numFmtId="166" fontId="12" fillId="19" borderId="93" xfId="13" applyNumberFormat="1" applyFont="1" applyFill="1" applyBorder="1" applyAlignment="1" applyProtection="1">
      <alignment horizontal="center" wrapText="1"/>
      <protection locked="0" hidden="1"/>
    </xf>
    <xf numFmtId="166" fontId="12" fillId="19" borderId="89" xfId="13" applyNumberFormat="1" applyFont="1" applyFill="1" applyBorder="1" applyAlignment="1" applyProtection="1">
      <alignment horizontal="center" wrapText="1"/>
      <protection locked="0" hidden="1"/>
    </xf>
    <xf numFmtId="169" fontId="12" fillId="0" borderId="0" xfId="12" applyNumberFormat="1"/>
    <xf numFmtId="2" fontId="12" fillId="0" borderId="0" xfId="12" applyNumberFormat="1" applyAlignment="1">
      <alignment horizontal="center"/>
    </xf>
    <xf numFmtId="1" fontId="12" fillId="0" borderId="0" xfId="12" applyNumberFormat="1" applyAlignment="1">
      <alignment horizontal="center"/>
    </xf>
    <xf numFmtId="0" fontId="36" fillId="0" borderId="9" xfId="12" applyFont="1" applyBorder="1" applyAlignment="1">
      <alignment horizontal="center" wrapText="1"/>
    </xf>
    <xf numFmtId="166" fontId="37" fillId="19" borderId="104" xfId="13" applyNumberFormat="1" applyFont="1" applyFill="1" applyBorder="1" applyAlignment="1">
      <alignment horizontal="center"/>
    </xf>
    <xf numFmtId="166" fontId="37" fillId="19" borderId="103" xfId="13" applyNumberFormat="1" applyFont="1" applyFill="1" applyBorder="1" applyAlignment="1">
      <alignment horizontal="center"/>
    </xf>
    <xf numFmtId="166" fontId="37" fillId="19" borderId="110" xfId="13" applyNumberFormat="1" applyFont="1" applyFill="1" applyBorder="1" applyAlignment="1">
      <alignment horizontal="center"/>
    </xf>
    <xf numFmtId="166" fontId="37" fillId="19" borderId="111" xfId="13" applyNumberFormat="1" applyFont="1" applyFill="1" applyBorder="1" applyAlignment="1">
      <alignment horizontal="center"/>
    </xf>
    <xf numFmtId="166" fontId="37" fillId="19" borderId="109" xfId="13" applyNumberFormat="1" applyFont="1" applyFill="1" applyBorder="1" applyAlignment="1">
      <alignment horizontal="center"/>
    </xf>
    <xf numFmtId="166" fontId="37" fillId="0" borderId="0" xfId="12" applyNumberFormat="1" applyFont="1" applyAlignment="1">
      <alignment horizontal="center"/>
    </xf>
    <xf numFmtId="0" fontId="33" fillId="0" borderId="0" xfId="12" applyFont="1"/>
    <xf numFmtId="0" fontId="33" fillId="0" borderId="0" xfId="12" applyFont="1" applyAlignment="1" applyProtection="1">
      <alignment horizontal="center" wrapText="1"/>
      <protection locked="0" hidden="1"/>
    </xf>
    <xf numFmtId="0" fontId="33" fillId="0" borderId="0" xfId="12" applyFont="1" applyAlignment="1">
      <alignment horizontal="center"/>
    </xf>
    <xf numFmtId="2" fontId="33" fillId="0" borderId="0" xfId="12" applyNumberFormat="1" applyFont="1" applyAlignment="1">
      <alignment horizontal="center"/>
    </xf>
    <xf numFmtId="0" fontId="31" fillId="20" borderId="14" xfId="12" applyFont="1" applyFill="1" applyBorder="1" applyAlignment="1">
      <alignment horizontal="center" vertical="center"/>
    </xf>
    <xf numFmtId="39" fontId="12" fillId="0" borderId="0" xfId="12" applyNumberFormat="1" applyProtection="1">
      <protection locked="0" hidden="1"/>
    </xf>
    <xf numFmtId="43" fontId="12" fillId="0" borderId="0" xfId="8" applyFont="1" applyProtection="1">
      <protection locked="0" hidden="1"/>
    </xf>
    <xf numFmtId="43" fontId="12" fillId="0" borderId="0" xfId="12" applyNumberFormat="1" applyProtection="1">
      <protection locked="0" hidden="1"/>
    </xf>
    <xf numFmtId="15" fontId="31" fillId="20" borderId="123" xfId="12" applyNumberFormat="1" applyFont="1" applyFill="1" applyBorder="1" applyAlignment="1">
      <alignment horizontal="center" vertical="center" wrapText="1"/>
    </xf>
    <xf numFmtId="15" fontId="31" fillId="20" borderId="150" xfId="12" applyNumberFormat="1" applyFont="1" applyFill="1" applyBorder="1" applyAlignment="1">
      <alignment horizontal="center" vertical="center" wrapText="1"/>
    </xf>
    <xf numFmtId="15" fontId="31" fillId="20" borderId="151" xfId="12" applyNumberFormat="1" applyFont="1" applyFill="1" applyBorder="1" applyAlignment="1">
      <alignment horizontal="center" vertical="center" wrapText="1"/>
    </xf>
    <xf numFmtId="15" fontId="31" fillId="20" borderId="152" xfId="12" applyNumberFormat="1" applyFont="1" applyFill="1" applyBorder="1" applyAlignment="1">
      <alignment horizontal="center" vertical="center" wrapText="1"/>
    </xf>
    <xf numFmtId="15" fontId="31" fillId="20" borderId="153" xfId="12" applyNumberFormat="1" applyFont="1" applyFill="1" applyBorder="1" applyAlignment="1">
      <alignment vertical="center" wrapText="1"/>
    </xf>
    <xf numFmtId="15" fontId="31" fillId="20" borderId="154" xfId="12" applyNumberFormat="1" applyFont="1" applyFill="1" applyBorder="1" applyAlignment="1">
      <alignment horizontal="center" vertical="center" wrapText="1"/>
    </xf>
    <xf numFmtId="15" fontId="31" fillId="20" borderId="155" xfId="12" applyNumberFormat="1" applyFont="1" applyFill="1" applyBorder="1" applyAlignment="1">
      <alignment horizontal="center" vertical="center" wrapText="1"/>
    </xf>
    <xf numFmtId="15" fontId="31" fillId="20" borderId="124" xfId="12" applyNumberFormat="1" applyFont="1" applyFill="1" applyBorder="1" applyAlignment="1">
      <alignment horizontal="center" vertical="center" wrapText="1"/>
    </xf>
    <xf numFmtId="15" fontId="31" fillId="20" borderId="156" xfId="12" applyNumberFormat="1" applyFont="1" applyFill="1" applyBorder="1" applyAlignment="1">
      <alignment horizontal="center" vertical="center" wrapText="1"/>
    </xf>
    <xf numFmtId="15" fontId="31" fillId="20" borderId="157" xfId="12" applyNumberFormat="1" applyFont="1" applyFill="1" applyBorder="1" applyAlignment="1">
      <alignment horizontal="center" vertical="center" wrapText="1"/>
    </xf>
    <xf numFmtId="15" fontId="31" fillId="20" borderId="0" xfId="12" applyNumberFormat="1" applyFont="1" applyFill="1" applyAlignment="1">
      <alignment horizontal="center" vertical="center" wrapText="1"/>
    </xf>
    <xf numFmtId="15" fontId="31" fillId="20" borderId="158" xfId="12" applyNumberFormat="1" applyFont="1" applyFill="1" applyBorder="1" applyAlignment="1">
      <alignment horizontal="center" vertical="center" wrapText="1"/>
    </xf>
    <xf numFmtId="15" fontId="31" fillId="20" borderId="159" xfId="12" applyNumberFormat="1" applyFont="1" applyFill="1" applyBorder="1" applyAlignment="1">
      <alignment horizontal="center" vertical="center" wrapText="1"/>
    </xf>
    <xf numFmtId="0" fontId="33" fillId="19" borderId="106" xfId="12" applyFont="1" applyFill="1" applyBorder="1"/>
    <xf numFmtId="0" fontId="32" fillId="19" borderId="114" xfId="12" applyFont="1" applyFill="1" applyBorder="1"/>
    <xf numFmtId="0" fontId="32" fillId="19" borderId="116" xfId="12" applyFont="1" applyFill="1" applyBorder="1"/>
    <xf numFmtId="0" fontId="32" fillId="19" borderId="115" xfId="12" applyFont="1" applyFill="1" applyBorder="1"/>
    <xf numFmtId="0" fontId="32" fillId="19" borderId="137" xfId="12" applyFont="1" applyFill="1" applyBorder="1"/>
    <xf numFmtId="0" fontId="32" fillId="19" borderId="139" xfId="12" applyFont="1" applyFill="1" applyBorder="1"/>
    <xf numFmtId="0" fontId="32" fillId="19" borderId="138" xfId="12" applyFont="1" applyFill="1" applyBorder="1"/>
    <xf numFmtId="168" fontId="32" fillId="20" borderId="4" xfId="8" applyNumberFormat="1" applyFont="1" applyFill="1" applyBorder="1" applyAlignment="1">
      <alignment horizontal="center"/>
    </xf>
    <xf numFmtId="0" fontId="31" fillId="20" borderId="4" xfId="12" applyFont="1" applyFill="1" applyBorder="1" applyAlignment="1">
      <alignment horizontal="right" vertical="center"/>
    </xf>
    <xf numFmtId="168" fontId="32" fillId="20" borderId="160" xfId="8" applyNumberFormat="1" applyFont="1" applyFill="1" applyBorder="1" applyAlignment="1">
      <alignment horizontal="center"/>
    </xf>
    <xf numFmtId="168" fontId="32" fillId="20" borderId="161" xfId="8" applyNumberFormat="1" applyFont="1" applyFill="1" applyBorder="1" applyAlignment="1">
      <alignment horizontal="center"/>
    </xf>
    <xf numFmtId="168" fontId="32" fillId="20" borderId="162" xfId="8" applyNumberFormat="1" applyFont="1" applyFill="1" applyBorder="1" applyAlignment="1">
      <alignment horizontal="center"/>
    </xf>
    <xf numFmtId="168" fontId="32" fillId="20" borderId="163" xfId="8" applyNumberFormat="1" applyFont="1" applyFill="1" applyBorder="1" applyAlignment="1">
      <alignment horizontal="center"/>
    </xf>
    <xf numFmtId="0" fontId="32" fillId="0" borderId="0" xfId="12" applyFont="1" applyAlignment="1">
      <alignment horizontal="center"/>
    </xf>
    <xf numFmtId="0" fontId="35" fillId="0" borderId="0" xfId="12" applyFont="1" applyAlignment="1">
      <alignment horizontal="center"/>
    </xf>
    <xf numFmtId="15" fontId="31" fillId="20" borderId="117" xfId="12" applyNumberFormat="1" applyFont="1" applyFill="1" applyBorder="1" applyAlignment="1">
      <alignment horizontal="center" vertical="center" wrapText="1"/>
    </xf>
    <xf numFmtId="15" fontId="31" fillId="20" borderId="119" xfId="12" applyNumberFormat="1" applyFont="1" applyFill="1" applyBorder="1" applyAlignment="1">
      <alignment horizontal="center" vertical="center" wrapText="1"/>
    </xf>
    <xf numFmtId="15" fontId="31" fillId="20" borderId="118" xfId="12" applyNumberFormat="1" applyFont="1" applyFill="1" applyBorder="1" applyAlignment="1">
      <alignment horizontal="center" vertical="center" wrapText="1"/>
    </xf>
    <xf numFmtId="15" fontId="31" fillId="20" borderId="120" xfId="12" applyNumberFormat="1" applyFont="1" applyFill="1" applyBorder="1" applyAlignment="1">
      <alignment horizontal="center" vertical="center" wrapText="1"/>
    </xf>
    <xf numFmtId="15" fontId="31" fillId="20" borderId="105" xfId="12" applyNumberFormat="1" applyFont="1" applyFill="1" applyBorder="1" applyAlignment="1">
      <alignment horizontal="center" vertical="center" wrapText="1"/>
    </xf>
    <xf numFmtId="15" fontId="31" fillId="20" borderId="108" xfId="12" applyNumberFormat="1" applyFont="1" applyFill="1" applyBorder="1" applyAlignment="1">
      <alignment horizontal="center" vertical="center" wrapText="1"/>
    </xf>
    <xf numFmtId="15" fontId="31" fillId="20" borderId="107" xfId="12" applyNumberFormat="1" applyFont="1" applyFill="1" applyBorder="1" applyAlignment="1">
      <alignment horizontal="center" vertical="center" wrapText="1"/>
    </xf>
    <xf numFmtId="0" fontId="31" fillId="20" borderId="3" xfId="12" applyFont="1" applyFill="1" applyBorder="1" applyAlignment="1">
      <alignment horizontal="center" vertical="center" wrapText="1"/>
    </xf>
    <xf numFmtId="0" fontId="31" fillId="20" borderId="5" xfId="12" applyFont="1" applyFill="1" applyBorder="1" applyAlignment="1">
      <alignment horizontal="center" vertical="center" wrapText="1"/>
    </xf>
    <xf numFmtId="0" fontId="31" fillId="20" borderId="6" xfId="12" applyFont="1" applyFill="1" applyBorder="1" applyAlignment="1">
      <alignment horizontal="center" vertical="center"/>
    </xf>
    <xf numFmtId="0" fontId="31" fillId="20" borderId="11" xfId="12" applyFont="1" applyFill="1" applyBorder="1" applyAlignment="1">
      <alignment horizontal="center" vertical="center"/>
    </xf>
    <xf numFmtId="0" fontId="3" fillId="12" borderId="30" xfId="9" applyFont="1" applyFill="1" applyBorder="1" applyAlignment="1">
      <alignment horizontal="center" vertical="center"/>
    </xf>
    <xf numFmtId="0" fontId="3" fillId="12" borderId="31" xfId="9" applyFont="1" applyFill="1" applyBorder="1" applyAlignment="1">
      <alignment horizontal="center" vertical="center"/>
    </xf>
    <xf numFmtId="0" fontId="3" fillId="12" borderId="32" xfId="9" applyFont="1" applyFill="1" applyBorder="1" applyAlignment="1">
      <alignment horizontal="center" vertical="center"/>
    </xf>
    <xf numFmtId="0" fontId="10" fillId="6" borderId="16" xfId="2" quotePrefix="1" applyFont="1" applyFill="1" applyBorder="1" applyAlignment="1">
      <alignment horizontal="left"/>
    </xf>
    <xf numFmtId="0" fontId="10" fillId="6" borderId="17" xfId="2" applyFont="1" applyFill="1" applyBorder="1" applyAlignment="1">
      <alignment horizontal="left"/>
    </xf>
    <xf numFmtId="0" fontId="10" fillId="6" borderId="18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6" borderId="19" xfId="2" applyFont="1" applyFill="1" applyBorder="1" applyAlignment="1">
      <alignment horizontal="center" vertical="center" wrapText="1"/>
    </xf>
    <xf numFmtId="0" fontId="9" fillId="8" borderId="30" xfId="2" applyFont="1" applyFill="1" applyBorder="1" applyAlignment="1">
      <alignment horizontal="left" vertical="center" wrapText="1"/>
    </xf>
    <xf numFmtId="0" fontId="9" fillId="8" borderId="31" xfId="2" applyFont="1" applyFill="1" applyBorder="1" applyAlignment="1">
      <alignment horizontal="left" vertical="center" wrapText="1"/>
    </xf>
    <xf numFmtId="0" fontId="31" fillId="8" borderId="148" xfId="12" applyFont="1" applyFill="1" applyBorder="1" applyAlignment="1">
      <alignment horizontal="center" vertical="center"/>
    </xf>
    <xf numFmtId="0" fontId="31" fillId="8" borderId="149" xfId="12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17">
    <cellStyle name="Comma" xfId="8" builtinId="3"/>
    <cellStyle name="Comma 2" xfId="6" xr:uid="{ACB957C6-A9EF-46F1-9AC5-0AF678859BD3}"/>
    <cellStyle name="Comma 2 2" xfId="11" xr:uid="{B5B68986-B078-4C80-881C-AA863DEE9245}"/>
    <cellStyle name="Comma 3" xfId="13" xr:uid="{7F25AC23-3053-4633-A863-EB01FCEC131A}"/>
    <cellStyle name="Comma 3 2" xfId="7" xr:uid="{D7BF9DF5-4877-4319-9D6C-D6E619708CF8}"/>
    <cellStyle name="Comma 4" xfId="3" xr:uid="{D0AF9D70-5928-4D25-9BE9-4D6CAB8DD40D}"/>
    <cellStyle name="Hyperlink 2" xfId="16" xr:uid="{C26D8F8B-B532-433B-9804-C291591BBB4B}"/>
    <cellStyle name="Normal" xfId="0" builtinId="0"/>
    <cellStyle name="Normal 2" xfId="1" xr:uid="{B9CD27DC-31AF-4D70-98D0-834B8C9BCADF}"/>
    <cellStyle name="Normal 2 2" xfId="2" xr:uid="{B4C3C169-A0F5-4229-B486-52B83BD1C3F9}"/>
    <cellStyle name="Normal 2 2 2" xfId="4" xr:uid="{B858306F-D0BB-4AC0-B6A2-0CC2D795F502}"/>
    <cellStyle name="Normal 2 2 3" xfId="12" xr:uid="{0931ACDE-B650-47DB-8DE2-F2A8614A5690}"/>
    <cellStyle name="Normal 2 3" xfId="15" xr:uid="{928361AF-F6B2-42C5-B4D8-CAE46080F717}"/>
    <cellStyle name="Normal 3" xfId="9" xr:uid="{50EA2734-E1B0-4E1E-91F8-1DFC91FE61B5}"/>
    <cellStyle name="Percent 2" xfId="10" xr:uid="{97F277D4-0EC1-407B-9C52-B2CC21DDBEE5}"/>
    <cellStyle name="Percent 2 2" xfId="5" xr:uid="{97ABD5BC-68FC-4F24-92D4-BBE226C72614}"/>
    <cellStyle name="Percent 2 2 2" xfId="14" xr:uid="{395CB39C-688D-488D-A540-FA91B7117E1B}"/>
  </cellStyles>
  <dxfs count="3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129542</xdr:colOff>
      <xdr:row>108</xdr:row>
      <xdr:rowOff>47497</xdr:rowOff>
    </xdr:from>
    <xdr:ext cx="910588" cy="559752"/>
    <xdr:pic>
      <xdr:nvPicPr>
        <xdr:cNvPr id="2" name="Picture 1">
          <a:extLst>
            <a:ext uri="{FF2B5EF4-FFF2-40B4-BE49-F238E27FC236}">
              <a16:creationId xmlns:a16="http://schemas.microsoft.com/office/drawing/2014/main" id="{26796070-7FD9-4100-A674-F6FE0EE4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0654" y="27460447"/>
          <a:ext cx="910588" cy="559752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1276350" cy="689573"/>
    <xdr:pic>
      <xdr:nvPicPr>
        <xdr:cNvPr id="3" name="Picture 2" descr="A picture containing text&#10;&#10;Description automatically generated">
          <a:extLst>
            <a:ext uri="{FF2B5EF4-FFF2-40B4-BE49-F238E27FC236}">
              <a16:creationId xmlns:a16="http://schemas.microsoft.com/office/drawing/2014/main" id="{B3FDE6C2-FDCB-4E39-921B-7E64441E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28689300"/>
          <a:ext cx="1276350" cy="6895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brian.johnson@gaj-uae.com" TargetMode="External"/><Relationship Id="rId18" Type="http://schemas.openxmlformats.org/officeDocument/2006/relationships/hyperlink" Target="mailto:brian.johnson@gaj-uae.com" TargetMode="External"/><Relationship Id="rId26" Type="http://schemas.openxmlformats.org/officeDocument/2006/relationships/hyperlink" Target="mailto:brian.johnson@gaj-uae.com" TargetMode="External"/><Relationship Id="rId39" Type="http://schemas.openxmlformats.org/officeDocument/2006/relationships/hyperlink" Target="mailto:brian.johnson@gaj-uae.com" TargetMode="External"/><Relationship Id="rId21" Type="http://schemas.openxmlformats.org/officeDocument/2006/relationships/hyperlink" Target="mailto:brian.johnson@gaj-uae.com" TargetMode="External"/><Relationship Id="rId34" Type="http://schemas.openxmlformats.org/officeDocument/2006/relationships/hyperlink" Target="mailto:brian.johnson@gaj-uae.com" TargetMode="External"/><Relationship Id="rId42" Type="http://schemas.openxmlformats.org/officeDocument/2006/relationships/hyperlink" Target="mailto:brian.johnson@gaj-uae.com" TargetMode="External"/><Relationship Id="rId47" Type="http://schemas.openxmlformats.org/officeDocument/2006/relationships/hyperlink" Target="mailto:brian.johnson@gaj-uae.com" TargetMode="External"/><Relationship Id="rId50" Type="http://schemas.openxmlformats.org/officeDocument/2006/relationships/drawing" Target="../drawings/drawing1.xml"/><Relationship Id="rId7" Type="http://schemas.openxmlformats.org/officeDocument/2006/relationships/hyperlink" Target="mailto:brian.johnson@gaj-uae.com" TargetMode="External"/><Relationship Id="rId2" Type="http://schemas.openxmlformats.org/officeDocument/2006/relationships/hyperlink" Target="mailto:brian.johnson@gaj-uae.com" TargetMode="External"/><Relationship Id="rId16" Type="http://schemas.openxmlformats.org/officeDocument/2006/relationships/hyperlink" Target="mailto:brian.johnson@gaj-uae.com" TargetMode="External"/><Relationship Id="rId29" Type="http://schemas.openxmlformats.org/officeDocument/2006/relationships/hyperlink" Target="mailto:brian.johnson@gaj-uae.com" TargetMode="External"/><Relationship Id="rId11" Type="http://schemas.openxmlformats.org/officeDocument/2006/relationships/hyperlink" Target="mailto:brian.johnson@gaj-uae.com" TargetMode="External"/><Relationship Id="rId24" Type="http://schemas.openxmlformats.org/officeDocument/2006/relationships/hyperlink" Target="mailto:brian.johnson@gaj-uae.com" TargetMode="External"/><Relationship Id="rId32" Type="http://schemas.openxmlformats.org/officeDocument/2006/relationships/hyperlink" Target="mailto:brian.johnson@gaj-uae.com" TargetMode="External"/><Relationship Id="rId37" Type="http://schemas.openxmlformats.org/officeDocument/2006/relationships/hyperlink" Target="mailto:brian.johnson@gaj-uae.com" TargetMode="External"/><Relationship Id="rId40" Type="http://schemas.openxmlformats.org/officeDocument/2006/relationships/hyperlink" Target="mailto:brian.johnson@gaj-uae.com" TargetMode="External"/><Relationship Id="rId45" Type="http://schemas.openxmlformats.org/officeDocument/2006/relationships/hyperlink" Target="mailto:brian.johnson@gaj-uae.com" TargetMode="External"/><Relationship Id="rId5" Type="http://schemas.openxmlformats.org/officeDocument/2006/relationships/hyperlink" Target="mailto:brian.johnson@gaj-uae.com" TargetMode="External"/><Relationship Id="rId15" Type="http://schemas.openxmlformats.org/officeDocument/2006/relationships/hyperlink" Target="mailto:brian.johnson@gaj-uae.com" TargetMode="External"/><Relationship Id="rId23" Type="http://schemas.openxmlformats.org/officeDocument/2006/relationships/hyperlink" Target="mailto:brian.johnson@gaj-uae.com" TargetMode="External"/><Relationship Id="rId28" Type="http://schemas.openxmlformats.org/officeDocument/2006/relationships/hyperlink" Target="mailto:brian.johnson@gaj-uae.com" TargetMode="External"/><Relationship Id="rId36" Type="http://schemas.openxmlformats.org/officeDocument/2006/relationships/hyperlink" Target="mailto:brian.johnson@gaj-uae.com" TargetMode="External"/><Relationship Id="rId49" Type="http://schemas.openxmlformats.org/officeDocument/2006/relationships/printerSettings" Target="../printerSettings/printerSettings6.bin"/><Relationship Id="rId10" Type="http://schemas.openxmlformats.org/officeDocument/2006/relationships/hyperlink" Target="mailto:brian.johnson@gaj-uae.com" TargetMode="External"/><Relationship Id="rId19" Type="http://schemas.openxmlformats.org/officeDocument/2006/relationships/hyperlink" Target="mailto:brian.johnson@gaj-uae.com" TargetMode="External"/><Relationship Id="rId31" Type="http://schemas.openxmlformats.org/officeDocument/2006/relationships/hyperlink" Target="mailto:brian.johnson@gaj-uae.com" TargetMode="External"/><Relationship Id="rId44" Type="http://schemas.openxmlformats.org/officeDocument/2006/relationships/hyperlink" Target="mailto:brian.johnson@gaj-uae.com" TargetMode="External"/><Relationship Id="rId4" Type="http://schemas.openxmlformats.org/officeDocument/2006/relationships/hyperlink" Target="mailto:brian.johnson@gaj-uae.com" TargetMode="External"/><Relationship Id="rId9" Type="http://schemas.openxmlformats.org/officeDocument/2006/relationships/hyperlink" Target="mailto:brian.johnson@gaj-uae.com" TargetMode="External"/><Relationship Id="rId14" Type="http://schemas.openxmlformats.org/officeDocument/2006/relationships/hyperlink" Target="mailto:brian.johnson@gaj-uae.com" TargetMode="External"/><Relationship Id="rId22" Type="http://schemas.openxmlformats.org/officeDocument/2006/relationships/hyperlink" Target="mailto:brian.johnson@gaj-uae.com" TargetMode="External"/><Relationship Id="rId27" Type="http://schemas.openxmlformats.org/officeDocument/2006/relationships/hyperlink" Target="mailto:brian.johnson@gaj-uae.com" TargetMode="External"/><Relationship Id="rId30" Type="http://schemas.openxmlformats.org/officeDocument/2006/relationships/hyperlink" Target="mailto:brian.johnson@gaj-uae.com" TargetMode="External"/><Relationship Id="rId35" Type="http://schemas.openxmlformats.org/officeDocument/2006/relationships/hyperlink" Target="mailto:brian.johnson@gaj-uae.com" TargetMode="External"/><Relationship Id="rId43" Type="http://schemas.openxmlformats.org/officeDocument/2006/relationships/hyperlink" Target="mailto:brian.johnson@gaj-uae.com" TargetMode="External"/><Relationship Id="rId48" Type="http://schemas.openxmlformats.org/officeDocument/2006/relationships/hyperlink" Target="mailto:brian.johnson@gaj-uae.com" TargetMode="External"/><Relationship Id="rId8" Type="http://schemas.openxmlformats.org/officeDocument/2006/relationships/hyperlink" Target="mailto:brian.johnson@gaj-uae.com" TargetMode="External"/><Relationship Id="rId3" Type="http://schemas.openxmlformats.org/officeDocument/2006/relationships/hyperlink" Target="mailto:brian.johnson@gaj-uae.com" TargetMode="External"/><Relationship Id="rId12" Type="http://schemas.openxmlformats.org/officeDocument/2006/relationships/hyperlink" Target="mailto:brian.johnson@gaj-uae.com" TargetMode="External"/><Relationship Id="rId17" Type="http://schemas.openxmlformats.org/officeDocument/2006/relationships/hyperlink" Target="mailto:brian.johnson@gaj-uae.com" TargetMode="External"/><Relationship Id="rId25" Type="http://schemas.openxmlformats.org/officeDocument/2006/relationships/hyperlink" Target="mailto:brian.johnson@gaj-uae.com" TargetMode="External"/><Relationship Id="rId33" Type="http://schemas.openxmlformats.org/officeDocument/2006/relationships/hyperlink" Target="mailto:brian.johnson@gaj-uae.com" TargetMode="External"/><Relationship Id="rId38" Type="http://schemas.openxmlformats.org/officeDocument/2006/relationships/hyperlink" Target="mailto:brian.johnson@gaj-uae.com" TargetMode="External"/><Relationship Id="rId46" Type="http://schemas.openxmlformats.org/officeDocument/2006/relationships/hyperlink" Target="mailto:brian.johnson@gaj-uae.com" TargetMode="External"/><Relationship Id="rId20" Type="http://schemas.openxmlformats.org/officeDocument/2006/relationships/hyperlink" Target="mailto:brian.johnson@gaj-uae.com" TargetMode="External"/><Relationship Id="rId41" Type="http://schemas.openxmlformats.org/officeDocument/2006/relationships/hyperlink" Target="mailto:brian.johnson@gaj-uae.com" TargetMode="External"/><Relationship Id="rId1" Type="http://schemas.openxmlformats.org/officeDocument/2006/relationships/hyperlink" Target="mailto:g.raj@wmeglobal.com" TargetMode="External"/><Relationship Id="rId6" Type="http://schemas.openxmlformats.org/officeDocument/2006/relationships/hyperlink" Target="mailto:brian.johnson@gaj-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1C4A-4F81-41A4-9E85-9ACE1CC01A0F}">
  <sheetPr codeName="Sheet1">
    <tabColor rgb="FFFF0000"/>
    <pageSetUpPr fitToPage="1"/>
  </sheetPr>
  <dimension ref="A1:J95"/>
  <sheetViews>
    <sheetView view="pageBreakPreview" zoomScaleNormal="100" zoomScaleSheetLayoutView="100" workbookViewId="0">
      <pane xSplit="3" ySplit="9" topLeftCell="D43" activePane="bottomRight" state="frozen"/>
      <selection pane="bottomRight" activeCell="D16" sqref="D16"/>
      <selection pane="bottomLeft" activeCell="D16" sqref="D16"/>
      <selection pane="topRight" activeCell="D16" sqref="D16"/>
    </sheetView>
  </sheetViews>
  <sheetFormatPr defaultColWidth="12.42578125" defaultRowHeight="20.25" customHeight="1"/>
  <cols>
    <col min="1" max="1" width="8.42578125" style="207" customWidth="1"/>
    <col min="2" max="2" width="87.42578125" style="207" bestFit="1" customWidth="1"/>
    <col min="3" max="3" width="28.42578125" style="207" customWidth="1"/>
    <col min="4" max="4" width="23.42578125" style="207" bestFit="1" customWidth="1"/>
    <col min="5" max="5" width="23.42578125" style="207" customWidth="1"/>
    <col min="6" max="6" width="16.5703125" style="206" bestFit="1" customWidth="1"/>
    <col min="7" max="7" width="18.42578125" style="206" customWidth="1"/>
    <col min="8" max="8" width="18" style="207" bestFit="1" customWidth="1"/>
    <col min="9" max="9" width="20.42578125" style="207" customWidth="1"/>
    <col min="10" max="16384" width="12.42578125" style="207"/>
  </cols>
  <sheetData>
    <row r="1" spans="1:9" ht="20.25" customHeight="1">
      <c r="A1" s="206" t="s">
        <v>0</v>
      </c>
      <c r="C1" s="208" t="s">
        <v>1</v>
      </c>
      <c r="D1" s="231" t="s">
        <v>2</v>
      </c>
    </row>
    <row r="2" spans="1:9" ht="20.25" customHeight="1">
      <c r="A2" s="206" t="s">
        <v>3</v>
      </c>
    </row>
    <row r="3" spans="1:9" ht="20.25" customHeight="1">
      <c r="A3" s="206" t="s">
        <v>4</v>
      </c>
    </row>
    <row r="4" spans="1:9" ht="20.25" customHeight="1">
      <c r="A4" s="206" t="s">
        <v>5</v>
      </c>
    </row>
    <row r="5" spans="1:9" ht="20.25" customHeight="1">
      <c r="A5" s="206" t="s">
        <v>6</v>
      </c>
    </row>
    <row r="6" spans="1:9" ht="20.25" customHeight="1" thickBot="1">
      <c r="A6" s="210" t="s">
        <v>7</v>
      </c>
      <c r="E6" s="373">
        <v>0.1</v>
      </c>
    </row>
    <row r="7" spans="1:9" ht="20.25" customHeight="1" thickBot="1">
      <c r="C7" s="596" t="s">
        <v>8</v>
      </c>
      <c r="D7" s="597"/>
      <c r="E7" s="353"/>
      <c r="F7" s="596" t="s">
        <v>9</v>
      </c>
      <c r="G7" s="598"/>
      <c r="H7" s="597"/>
    </row>
    <row r="8" spans="1:9" s="214" customFormat="1" ht="45" customHeight="1" thickBot="1">
      <c r="A8" s="211" t="s">
        <v>10</v>
      </c>
      <c r="B8" s="212" t="s">
        <v>11</v>
      </c>
      <c r="C8" s="212" t="s">
        <v>12</v>
      </c>
      <c r="D8" s="213" t="s">
        <v>13</v>
      </c>
      <c r="E8" s="322"/>
      <c r="F8" s="212" t="s">
        <v>14</v>
      </c>
      <c r="G8" s="213" t="s">
        <v>15</v>
      </c>
      <c r="H8" s="322" t="s">
        <v>16</v>
      </c>
      <c r="I8" s="334" t="s">
        <v>17</v>
      </c>
    </row>
    <row r="9" spans="1:9" ht="20.25" customHeight="1" thickBot="1">
      <c r="A9" s="215" t="s">
        <v>18</v>
      </c>
      <c r="B9" s="216" t="s">
        <v>19</v>
      </c>
      <c r="C9" s="216"/>
      <c r="D9" s="217"/>
      <c r="E9" s="354"/>
      <c r="F9" s="340"/>
      <c r="G9" s="217"/>
      <c r="H9" s="323"/>
      <c r="I9" s="335"/>
    </row>
    <row r="10" spans="1:9" s="220" customFormat="1" ht="20.25" customHeight="1">
      <c r="A10" s="218">
        <v>1.01</v>
      </c>
      <c r="B10" s="219" t="s">
        <v>20</v>
      </c>
      <c r="C10" s="319" t="s">
        <v>21</v>
      </c>
      <c r="D10" s="348">
        <v>500000</v>
      </c>
      <c r="E10" s="355">
        <f>D10/0.8</f>
        <v>625000</v>
      </c>
      <c r="F10" s="346">
        <v>638918</v>
      </c>
      <c r="G10" s="292">
        <v>638918</v>
      </c>
      <c r="H10" s="324">
        <f>F10+G10</f>
        <v>1277836</v>
      </c>
      <c r="I10" s="336">
        <f>D10-H10</f>
        <v>-777836</v>
      </c>
    </row>
    <row r="11" spans="1:9" s="220" customFormat="1" ht="20.25" customHeight="1">
      <c r="A11" s="218">
        <v>1.01</v>
      </c>
      <c r="B11" s="219" t="s">
        <v>22</v>
      </c>
      <c r="C11" s="320"/>
      <c r="D11" s="299" t="s">
        <v>23</v>
      </c>
      <c r="E11" s="355"/>
      <c r="F11" s="346"/>
      <c r="G11" s="293"/>
      <c r="H11" s="325">
        <f t="shared" ref="H11:H48" si="0">F11+G11</f>
        <v>0</v>
      </c>
      <c r="I11" s="336"/>
    </row>
    <row r="12" spans="1:9" s="220" customFormat="1" ht="20.25" customHeight="1">
      <c r="A12" s="218">
        <f>A10+0.01</f>
        <v>1.02</v>
      </c>
      <c r="B12" s="219" t="s">
        <v>24</v>
      </c>
      <c r="C12" s="320"/>
      <c r="D12" s="292">
        <v>3000000</v>
      </c>
      <c r="E12" s="355">
        <f t="shared" ref="E12:E15" si="1">D12/0.8</f>
        <v>3750000</v>
      </c>
      <c r="F12" s="346">
        <v>2032787</v>
      </c>
      <c r="G12" s="292">
        <v>2032787</v>
      </c>
      <c r="H12" s="324">
        <f t="shared" si="0"/>
        <v>4065574</v>
      </c>
      <c r="I12" s="336">
        <f t="shared" ref="I12:I49" si="2">D12-H12</f>
        <v>-1065574</v>
      </c>
    </row>
    <row r="13" spans="1:9" ht="20.25" customHeight="1">
      <c r="A13" s="218">
        <f t="shared" ref="A13:A16" si="3">A12+0.01</f>
        <v>1.03</v>
      </c>
      <c r="B13" s="221" t="s">
        <v>25</v>
      </c>
      <c r="C13" s="320"/>
      <c r="D13" s="292">
        <v>2200000</v>
      </c>
      <c r="E13" s="355">
        <f t="shared" si="1"/>
        <v>2750000</v>
      </c>
      <c r="F13" s="346">
        <v>1346573</v>
      </c>
      <c r="G13" s="292">
        <v>1346573</v>
      </c>
      <c r="H13" s="324">
        <f t="shared" si="0"/>
        <v>2693146</v>
      </c>
      <c r="I13" s="336">
        <f t="shared" si="2"/>
        <v>-493146</v>
      </c>
    </row>
    <row r="14" spans="1:9" ht="20.25" customHeight="1">
      <c r="A14" s="218">
        <f t="shared" si="3"/>
        <v>1.04</v>
      </c>
      <c r="B14" s="221" t="s">
        <v>26</v>
      </c>
      <c r="C14" s="320"/>
      <c r="D14" s="294">
        <v>600000</v>
      </c>
      <c r="E14" s="355">
        <f t="shared" si="1"/>
        <v>750000</v>
      </c>
      <c r="F14" s="346">
        <v>693233</v>
      </c>
      <c r="G14" s="294">
        <v>693233</v>
      </c>
      <c r="H14" s="326">
        <f t="shared" si="0"/>
        <v>1386466</v>
      </c>
      <c r="I14" s="336">
        <f t="shared" si="2"/>
        <v>-786466</v>
      </c>
    </row>
    <row r="15" spans="1:9" s="231" customFormat="1" ht="20.25" customHeight="1">
      <c r="A15" s="218">
        <f t="shared" si="3"/>
        <v>1.05</v>
      </c>
      <c r="B15" s="229" t="s">
        <v>27</v>
      </c>
      <c r="C15" s="230"/>
      <c r="D15" s="300">
        <v>1300000</v>
      </c>
      <c r="E15" s="355">
        <f t="shared" si="1"/>
        <v>1625000</v>
      </c>
      <c r="F15" s="347">
        <v>1048910</v>
      </c>
      <c r="G15" s="300">
        <v>1048910</v>
      </c>
      <c r="H15" s="327">
        <f t="shared" si="0"/>
        <v>2097820</v>
      </c>
      <c r="I15" s="336">
        <f t="shared" si="2"/>
        <v>-797820</v>
      </c>
    </row>
    <row r="16" spans="1:9" ht="20.25" customHeight="1">
      <c r="A16" s="218">
        <f t="shared" si="3"/>
        <v>1.06</v>
      </c>
      <c r="B16" s="223" t="s">
        <v>28</v>
      </c>
      <c r="C16" s="320"/>
      <c r="D16" s="295">
        <v>0</v>
      </c>
      <c r="E16" s="356"/>
      <c r="F16" s="346"/>
      <c r="G16" s="295"/>
      <c r="H16" s="328">
        <f t="shared" si="0"/>
        <v>0</v>
      </c>
      <c r="I16" s="336">
        <f t="shared" si="2"/>
        <v>0</v>
      </c>
    </row>
    <row r="17" spans="1:10" ht="20.25" customHeight="1">
      <c r="A17" s="224">
        <f>+A16+0.01</f>
        <v>1.07</v>
      </c>
      <c r="B17" s="225" t="s">
        <v>29</v>
      </c>
      <c r="C17" s="226"/>
      <c r="D17" s="296">
        <f>SUM(D10:D16)</f>
        <v>7600000</v>
      </c>
      <c r="E17" s="296">
        <f>SUM(E10:E16)</f>
        <v>9500000</v>
      </c>
      <c r="F17" s="343">
        <f>SUM(F10:F16)</f>
        <v>5760421</v>
      </c>
      <c r="G17" s="296">
        <f>SUM(G10:G16)</f>
        <v>5760421</v>
      </c>
      <c r="H17" s="329">
        <f t="shared" si="0"/>
        <v>11520842</v>
      </c>
      <c r="I17" s="336">
        <f t="shared" si="2"/>
        <v>-3920842</v>
      </c>
    </row>
    <row r="18" spans="1:10" ht="20.25" customHeight="1">
      <c r="A18" s="232">
        <f>+A17+0.01</f>
        <v>1.08</v>
      </c>
      <c r="B18" s="221" t="s">
        <v>30</v>
      </c>
      <c r="C18" s="320" t="s">
        <v>31</v>
      </c>
      <c r="D18" s="297" t="s">
        <v>23</v>
      </c>
      <c r="E18" s="357"/>
      <c r="F18" s="344"/>
      <c r="G18" s="297"/>
      <c r="H18" s="330">
        <f t="shared" si="0"/>
        <v>0</v>
      </c>
      <c r="I18" s="337"/>
    </row>
    <row r="19" spans="1:10" ht="20.25" customHeight="1">
      <c r="A19" s="232">
        <f t="shared" ref="A19:A48" si="4">+A18+0.01</f>
        <v>1.0900000000000001</v>
      </c>
      <c r="B19" s="221" t="s">
        <v>32</v>
      </c>
      <c r="C19" s="228"/>
      <c r="D19" s="297" t="s">
        <v>23</v>
      </c>
      <c r="E19" s="330"/>
      <c r="F19" s="341"/>
      <c r="G19" s="297"/>
      <c r="H19" s="330">
        <f t="shared" si="0"/>
        <v>0</v>
      </c>
      <c r="I19" s="337"/>
    </row>
    <row r="20" spans="1:10" ht="20.25" customHeight="1">
      <c r="A20" s="232">
        <f t="shared" si="4"/>
        <v>1.1000000000000001</v>
      </c>
      <c r="B20" s="221" t="s">
        <v>33</v>
      </c>
      <c r="C20" s="228"/>
      <c r="D20" s="350" t="s">
        <v>34</v>
      </c>
      <c r="E20" s="358"/>
      <c r="F20" s="341"/>
      <c r="G20" s="298"/>
      <c r="H20" s="331">
        <f t="shared" si="0"/>
        <v>0</v>
      </c>
      <c r="I20" s="337"/>
    </row>
    <row r="21" spans="1:10" s="231" customFormat="1" ht="20.25" customHeight="1">
      <c r="A21" s="232">
        <f t="shared" si="4"/>
        <v>1.1100000000000001</v>
      </c>
      <c r="B21" s="229" t="s">
        <v>35</v>
      </c>
      <c r="C21" s="351" t="s">
        <v>36</v>
      </c>
      <c r="D21" s="297">
        <f>750000*1.5</f>
        <v>1125000</v>
      </c>
      <c r="E21" s="330">
        <f>D21/0.9</f>
        <v>1250000</v>
      </c>
      <c r="F21" s="342">
        <v>763120</v>
      </c>
      <c r="G21" s="297">
        <v>763120</v>
      </c>
      <c r="H21" s="330">
        <f t="shared" si="0"/>
        <v>1526240</v>
      </c>
      <c r="I21" s="336">
        <f t="shared" si="2"/>
        <v>-401240</v>
      </c>
      <c r="J21" s="321" t="s">
        <v>36</v>
      </c>
    </row>
    <row r="22" spans="1:10" ht="20.25" customHeight="1">
      <c r="A22" s="232">
        <f t="shared" si="4"/>
        <v>1.1200000000000001</v>
      </c>
      <c r="B22" s="229" t="s">
        <v>37</v>
      </c>
      <c r="C22" s="230"/>
      <c r="D22" s="299" t="s">
        <v>38</v>
      </c>
      <c r="E22" s="330"/>
      <c r="F22" s="342"/>
      <c r="G22" s="299"/>
      <c r="H22" s="332">
        <f t="shared" si="0"/>
        <v>0</v>
      </c>
      <c r="I22" s="337"/>
      <c r="J22" s="321"/>
    </row>
    <row r="23" spans="1:10" s="231" customFormat="1" ht="20.25" customHeight="1">
      <c r="A23" s="232">
        <f t="shared" si="4"/>
        <v>1.1300000000000001</v>
      </c>
      <c r="B23" s="229" t="s">
        <v>39</v>
      </c>
      <c r="C23" s="351" t="s">
        <v>40</v>
      </c>
      <c r="D23" s="297">
        <v>140000</v>
      </c>
      <c r="E23" s="330">
        <f t="shared" ref="E23:E47" si="5">D23/0.9</f>
        <v>155555.55555555556</v>
      </c>
      <c r="F23" s="342">
        <v>72000</v>
      </c>
      <c r="G23" s="297">
        <v>72000</v>
      </c>
      <c r="H23" s="330">
        <f t="shared" si="0"/>
        <v>144000</v>
      </c>
      <c r="I23" s="336">
        <f t="shared" si="2"/>
        <v>-4000</v>
      </c>
      <c r="J23" s="321" t="s">
        <v>40</v>
      </c>
    </row>
    <row r="24" spans="1:10" ht="20.25" customHeight="1">
      <c r="A24" s="232">
        <f t="shared" si="4"/>
        <v>1.1400000000000001</v>
      </c>
      <c r="B24" s="221" t="s">
        <v>41</v>
      </c>
      <c r="C24" s="351" t="s">
        <v>42</v>
      </c>
      <c r="D24" s="294">
        <v>60000</v>
      </c>
      <c r="E24" s="330">
        <f t="shared" si="5"/>
        <v>66666.666666666672</v>
      </c>
      <c r="F24" s="341">
        <v>58000</v>
      </c>
      <c r="G24" s="294">
        <v>58000</v>
      </c>
      <c r="H24" s="326">
        <f t="shared" si="0"/>
        <v>116000</v>
      </c>
      <c r="I24" s="336">
        <f t="shared" si="2"/>
        <v>-56000</v>
      </c>
      <c r="J24" s="321" t="s">
        <v>42</v>
      </c>
    </row>
    <row r="25" spans="1:10" ht="20.25" customHeight="1">
      <c r="A25" s="232">
        <f t="shared" si="4"/>
        <v>1.1500000000000001</v>
      </c>
      <c r="B25" s="221" t="s">
        <v>43</v>
      </c>
      <c r="C25" s="351" t="s">
        <v>44</v>
      </c>
      <c r="D25" s="294">
        <v>130000</v>
      </c>
      <c r="E25" s="330">
        <f t="shared" si="5"/>
        <v>144444.44444444444</v>
      </c>
      <c r="F25" s="341">
        <v>72500</v>
      </c>
      <c r="G25" s="294">
        <v>72500</v>
      </c>
      <c r="H25" s="326">
        <f t="shared" si="0"/>
        <v>145000</v>
      </c>
      <c r="I25" s="336">
        <f t="shared" si="2"/>
        <v>-15000</v>
      </c>
      <c r="J25" s="321" t="s">
        <v>44</v>
      </c>
    </row>
    <row r="26" spans="1:10" ht="20.25" customHeight="1">
      <c r="A26" s="232">
        <f t="shared" si="4"/>
        <v>1.1600000000000001</v>
      </c>
      <c r="B26" s="221" t="s">
        <v>45</v>
      </c>
      <c r="C26" s="228"/>
      <c r="D26" s="294">
        <v>125000</v>
      </c>
      <c r="E26" s="330">
        <f t="shared" si="5"/>
        <v>138888.88888888888</v>
      </c>
      <c r="F26" s="341">
        <v>75000</v>
      </c>
      <c r="G26" s="294">
        <v>75000</v>
      </c>
      <c r="H26" s="326">
        <f t="shared" si="0"/>
        <v>150000</v>
      </c>
      <c r="I26" s="336">
        <f t="shared" si="2"/>
        <v>-25000</v>
      </c>
      <c r="J26" s="321"/>
    </row>
    <row r="27" spans="1:10" ht="20.25" customHeight="1">
      <c r="A27" s="232">
        <f t="shared" si="4"/>
        <v>1.1700000000000002</v>
      </c>
      <c r="B27" s="221" t="s">
        <v>46</v>
      </c>
      <c r="C27" s="351" t="s">
        <v>47</v>
      </c>
      <c r="D27" s="294">
        <v>60000</v>
      </c>
      <c r="E27" s="330">
        <f t="shared" si="5"/>
        <v>66666.666666666672</v>
      </c>
      <c r="F27" s="341">
        <v>40500</v>
      </c>
      <c r="G27" s="294">
        <v>40500</v>
      </c>
      <c r="H27" s="326">
        <f t="shared" si="0"/>
        <v>81000</v>
      </c>
      <c r="I27" s="336">
        <f t="shared" si="2"/>
        <v>-21000</v>
      </c>
      <c r="J27" s="321" t="s">
        <v>47</v>
      </c>
    </row>
    <row r="28" spans="1:10" ht="20.25" customHeight="1">
      <c r="A28" s="232">
        <f t="shared" si="4"/>
        <v>1.1800000000000002</v>
      </c>
      <c r="B28" s="221" t="s">
        <v>48</v>
      </c>
      <c r="C28" s="351" t="s">
        <v>49</v>
      </c>
      <c r="D28" s="299">
        <v>300000</v>
      </c>
      <c r="E28" s="330">
        <f t="shared" si="5"/>
        <v>333333.33333333331</v>
      </c>
      <c r="F28" s="341">
        <v>156250</v>
      </c>
      <c r="G28" s="297">
        <v>156250</v>
      </c>
      <c r="H28" s="330">
        <f t="shared" si="0"/>
        <v>312500</v>
      </c>
      <c r="I28" s="336">
        <f t="shared" si="2"/>
        <v>-12500</v>
      </c>
      <c r="J28" s="321" t="s">
        <v>50</v>
      </c>
    </row>
    <row r="29" spans="1:10" ht="20.25" customHeight="1">
      <c r="A29" s="232">
        <f t="shared" si="4"/>
        <v>1.1900000000000002</v>
      </c>
      <c r="B29" s="221" t="s">
        <v>51</v>
      </c>
      <c r="C29" s="351" t="s">
        <v>52</v>
      </c>
      <c r="D29" s="294">
        <v>390000</v>
      </c>
      <c r="E29" s="330">
        <f t="shared" si="5"/>
        <v>433333.33333333331</v>
      </c>
      <c r="F29" s="341">
        <v>390000</v>
      </c>
      <c r="G29" s="294">
        <v>390000</v>
      </c>
      <c r="H29" s="326">
        <f t="shared" si="0"/>
        <v>780000</v>
      </c>
      <c r="I29" s="336">
        <f t="shared" si="2"/>
        <v>-390000</v>
      </c>
      <c r="J29" s="321" t="s">
        <v>52</v>
      </c>
    </row>
    <row r="30" spans="1:10" ht="20.25" customHeight="1">
      <c r="A30" s="232">
        <f t="shared" si="4"/>
        <v>1.2000000000000002</v>
      </c>
      <c r="B30" s="221" t="s">
        <v>53</v>
      </c>
      <c r="C30" s="351" t="s">
        <v>54</v>
      </c>
      <c r="D30" s="294">
        <v>130000</v>
      </c>
      <c r="E30" s="330">
        <f t="shared" si="5"/>
        <v>144444.44444444444</v>
      </c>
      <c r="F30" s="341">
        <v>75000</v>
      </c>
      <c r="G30" s="294">
        <v>75000</v>
      </c>
      <c r="H30" s="326">
        <f t="shared" si="0"/>
        <v>150000</v>
      </c>
      <c r="I30" s="336">
        <f t="shared" si="2"/>
        <v>-20000</v>
      </c>
      <c r="J30" s="321"/>
    </row>
    <row r="31" spans="1:10" ht="20.100000000000001" customHeight="1">
      <c r="A31" s="232">
        <f t="shared" si="4"/>
        <v>1.2100000000000002</v>
      </c>
      <c r="B31" s="221" t="s">
        <v>55</v>
      </c>
      <c r="C31" s="228"/>
      <c r="D31" s="294">
        <v>0</v>
      </c>
      <c r="E31" s="330"/>
      <c r="F31" s="341"/>
      <c r="G31" s="294"/>
      <c r="H31" s="326">
        <f t="shared" si="0"/>
        <v>0</v>
      </c>
      <c r="I31" s="375">
        <f t="shared" si="2"/>
        <v>0</v>
      </c>
      <c r="J31" s="321"/>
    </row>
    <row r="32" spans="1:10" s="209" customFormat="1" ht="20.25" customHeight="1">
      <c r="A32" s="232">
        <f t="shared" si="4"/>
        <v>1.2200000000000002</v>
      </c>
      <c r="B32" s="221" t="s">
        <v>56</v>
      </c>
      <c r="C32" s="351" t="s">
        <v>57</v>
      </c>
      <c r="D32" s="297">
        <v>50000</v>
      </c>
      <c r="E32" s="330">
        <f t="shared" si="5"/>
        <v>55555.555555555555</v>
      </c>
      <c r="F32" s="341">
        <v>39000</v>
      </c>
      <c r="G32" s="297">
        <v>39000</v>
      </c>
      <c r="H32" s="330">
        <f t="shared" si="0"/>
        <v>78000</v>
      </c>
      <c r="I32" s="336">
        <f t="shared" si="2"/>
        <v>-28000</v>
      </c>
      <c r="J32" s="321" t="s">
        <v>57</v>
      </c>
    </row>
    <row r="33" spans="1:10" s="209" customFormat="1" ht="20.25" customHeight="1">
      <c r="A33" s="232">
        <f t="shared" si="4"/>
        <v>1.2300000000000002</v>
      </c>
      <c r="B33" s="221" t="s">
        <v>58</v>
      </c>
      <c r="C33" s="228"/>
      <c r="D33" s="299" t="s">
        <v>59</v>
      </c>
      <c r="E33" s="330"/>
      <c r="F33" s="341"/>
      <c r="G33" s="299"/>
      <c r="H33" s="332">
        <f t="shared" si="0"/>
        <v>0</v>
      </c>
      <c r="I33" s="375"/>
      <c r="J33" s="321"/>
    </row>
    <row r="34" spans="1:10" s="209" customFormat="1" ht="20.25" customHeight="1">
      <c r="A34" s="232">
        <f t="shared" si="4"/>
        <v>1.2400000000000002</v>
      </c>
      <c r="B34" s="221" t="s">
        <v>60</v>
      </c>
      <c r="C34" s="351" t="s">
        <v>61</v>
      </c>
      <c r="D34" s="294">
        <v>90000</v>
      </c>
      <c r="E34" s="330">
        <f t="shared" si="5"/>
        <v>100000</v>
      </c>
      <c r="F34" s="341">
        <v>50000</v>
      </c>
      <c r="G34" s="294">
        <v>50000</v>
      </c>
      <c r="H34" s="326">
        <f t="shared" si="0"/>
        <v>100000</v>
      </c>
      <c r="I34" s="336">
        <f t="shared" si="2"/>
        <v>-10000</v>
      </c>
      <c r="J34" s="321"/>
    </row>
    <row r="35" spans="1:10" s="209" customFormat="1" ht="20.25" customHeight="1">
      <c r="A35" s="232">
        <f t="shared" si="4"/>
        <v>1.2500000000000002</v>
      </c>
      <c r="B35" s="221" t="s">
        <v>62</v>
      </c>
      <c r="C35" s="228"/>
      <c r="D35" s="299" t="s">
        <v>38</v>
      </c>
      <c r="E35" s="330"/>
      <c r="F35" s="341"/>
      <c r="G35" s="299"/>
      <c r="H35" s="332">
        <f t="shared" si="0"/>
        <v>0</v>
      </c>
      <c r="I35" s="337"/>
      <c r="J35" s="321"/>
    </row>
    <row r="36" spans="1:10" s="209" customFormat="1" ht="20.25" customHeight="1">
      <c r="A36" s="232">
        <f t="shared" si="4"/>
        <v>1.2600000000000002</v>
      </c>
      <c r="B36" s="221" t="s">
        <v>63</v>
      </c>
      <c r="C36" s="228"/>
      <c r="D36" s="299" t="s">
        <v>59</v>
      </c>
      <c r="E36" s="330"/>
      <c r="F36" s="341"/>
      <c r="G36" s="299"/>
      <c r="H36" s="332">
        <f t="shared" si="0"/>
        <v>0</v>
      </c>
      <c r="I36" s="337"/>
      <c r="J36" s="321"/>
    </row>
    <row r="37" spans="1:10" s="209" customFormat="1" ht="20.25" customHeight="1">
      <c r="A37" s="232">
        <f t="shared" si="4"/>
        <v>1.2700000000000002</v>
      </c>
      <c r="B37" s="221" t="s">
        <v>64</v>
      </c>
      <c r="C37" s="228"/>
      <c r="D37" s="299" t="s">
        <v>59</v>
      </c>
      <c r="E37" s="330"/>
      <c r="F37" s="341"/>
      <c r="G37" s="299"/>
      <c r="H37" s="332">
        <f t="shared" si="0"/>
        <v>0</v>
      </c>
      <c r="I37" s="337"/>
      <c r="J37" s="321"/>
    </row>
    <row r="38" spans="1:10" s="209" customFormat="1" ht="20.25" customHeight="1">
      <c r="A38" s="232">
        <f t="shared" si="4"/>
        <v>1.2800000000000002</v>
      </c>
      <c r="B38" s="221" t="s">
        <v>65</v>
      </c>
      <c r="C38" s="228"/>
      <c r="D38" s="299" t="s">
        <v>59</v>
      </c>
      <c r="E38" s="330"/>
      <c r="F38" s="341"/>
      <c r="G38" s="299"/>
      <c r="H38" s="332">
        <f t="shared" si="0"/>
        <v>0</v>
      </c>
      <c r="I38" s="337"/>
      <c r="J38" s="321"/>
    </row>
    <row r="39" spans="1:10" s="209" customFormat="1" ht="20.25" customHeight="1">
      <c r="A39" s="232">
        <f t="shared" si="4"/>
        <v>1.2900000000000003</v>
      </c>
      <c r="B39" s="221" t="s">
        <v>66</v>
      </c>
      <c r="C39" s="228"/>
      <c r="D39" s="299" t="s">
        <v>59</v>
      </c>
      <c r="E39" s="330"/>
      <c r="F39" s="341"/>
      <c r="G39" s="299"/>
      <c r="H39" s="332">
        <f t="shared" si="0"/>
        <v>0</v>
      </c>
      <c r="I39" s="337"/>
      <c r="J39" s="321"/>
    </row>
    <row r="40" spans="1:10" s="209" customFormat="1" ht="20.25" customHeight="1">
      <c r="A40" s="232">
        <f t="shared" si="4"/>
        <v>1.3000000000000003</v>
      </c>
      <c r="B40" s="221" t="s">
        <v>67</v>
      </c>
      <c r="C40" s="228" t="s">
        <v>68</v>
      </c>
      <c r="D40" s="299" t="s">
        <v>59</v>
      </c>
      <c r="E40" s="330"/>
      <c r="F40" s="341"/>
      <c r="G40" s="299"/>
      <c r="H40" s="332">
        <f t="shared" si="0"/>
        <v>0</v>
      </c>
      <c r="I40" s="337"/>
      <c r="J40" s="321"/>
    </row>
    <row r="41" spans="1:10" s="209" customFormat="1" ht="20.25" customHeight="1">
      <c r="A41" s="232">
        <f t="shared" si="4"/>
        <v>1.3100000000000003</v>
      </c>
      <c r="B41" s="221" t="s">
        <v>69</v>
      </c>
      <c r="C41" s="228"/>
      <c r="D41" s="299" t="s">
        <v>59</v>
      </c>
      <c r="E41" s="330"/>
      <c r="F41" s="341"/>
      <c r="G41" s="299"/>
      <c r="H41" s="332">
        <f t="shared" si="0"/>
        <v>0</v>
      </c>
      <c r="I41" s="337"/>
      <c r="J41" s="321"/>
    </row>
    <row r="42" spans="1:10" s="209" customFormat="1" ht="20.25" customHeight="1">
      <c r="A42" s="232">
        <f t="shared" si="4"/>
        <v>1.3200000000000003</v>
      </c>
      <c r="B42" s="221" t="s">
        <v>70</v>
      </c>
      <c r="C42" s="351" t="s">
        <v>71</v>
      </c>
      <c r="D42" s="297">
        <v>500000</v>
      </c>
      <c r="E42" s="330">
        <f t="shared" si="5"/>
        <v>555555.5555555555</v>
      </c>
      <c r="F42" s="341">
        <v>355000</v>
      </c>
      <c r="G42" s="297">
        <v>355000</v>
      </c>
      <c r="H42" s="330">
        <f t="shared" si="0"/>
        <v>710000</v>
      </c>
      <c r="I42" s="336">
        <f t="shared" si="2"/>
        <v>-210000</v>
      </c>
      <c r="J42" s="321"/>
    </row>
    <row r="43" spans="1:10" s="209" customFormat="1" ht="15.6">
      <c r="A43" s="232">
        <f t="shared" si="4"/>
        <v>1.3300000000000003</v>
      </c>
      <c r="B43" s="221" t="s">
        <v>72</v>
      </c>
      <c r="C43" s="228" t="s">
        <v>73</v>
      </c>
      <c r="D43" s="297">
        <v>140000</v>
      </c>
      <c r="E43" s="330">
        <f t="shared" si="5"/>
        <v>155555.55555555556</v>
      </c>
      <c r="F43" s="341">
        <v>82500</v>
      </c>
      <c r="G43" s="297">
        <v>82500</v>
      </c>
      <c r="H43" s="330">
        <f t="shared" si="0"/>
        <v>165000</v>
      </c>
      <c r="I43" s="336">
        <f t="shared" si="2"/>
        <v>-25000</v>
      </c>
      <c r="J43" s="321"/>
    </row>
    <row r="44" spans="1:10" s="209" customFormat="1" ht="15.6">
      <c r="A44" s="232">
        <f t="shared" si="4"/>
        <v>1.3400000000000003</v>
      </c>
      <c r="B44" s="221" t="s">
        <v>74</v>
      </c>
      <c r="C44" s="228"/>
      <c r="D44" s="299" t="s">
        <v>59</v>
      </c>
      <c r="E44" s="330"/>
      <c r="F44" s="341"/>
      <c r="G44" s="299"/>
      <c r="H44" s="332">
        <f t="shared" si="0"/>
        <v>0</v>
      </c>
      <c r="I44" s="336"/>
      <c r="J44" s="321"/>
    </row>
    <row r="45" spans="1:10" s="209" customFormat="1" ht="15.6">
      <c r="A45" s="232">
        <f t="shared" si="4"/>
        <v>1.3500000000000003</v>
      </c>
      <c r="B45" s="221" t="s">
        <v>75</v>
      </c>
      <c r="C45" s="228"/>
      <c r="D45" s="299" t="s">
        <v>59</v>
      </c>
      <c r="E45" s="330"/>
      <c r="F45" s="341"/>
      <c r="G45" s="299"/>
      <c r="H45" s="332">
        <f t="shared" si="0"/>
        <v>0</v>
      </c>
      <c r="I45" s="337"/>
      <c r="J45" s="321"/>
    </row>
    <row r="46" spans="1:10" s="209" customFormat="1" ht="15.6">
      <c r="A46" s="232">
        <f t="shared" si="4"/>
        <v>1.3600000000000003</v>
      </c>
      <c r="B46" s="221" t="s">
        <v>76</v>
      </c>
      <c r="C46" s="228"/>
      <c r="D46" s="299" t="s">
        <v>59</v>
      </c>
      <c r="E46" s="330"/>
      <c r="F46" s="341"/>
      <c r="G46" s="299"/>
      <c r="H46" s="332">
        <f t="shared" si="0"/>
        <v>0</v>
      </c>
      <c r="I46" s="337"/>
      <c r="J46" s="321"/>
    </row>
    <row r="47" spans="1:10" s="209" customFormat="1" ht="20.25" customHeight="1">
      <c r="A47" s="232">
        <f t="shared" si="4"/>
        <v>1.3700000000000003</v>
      </c>
      <c r="B47" s="221" t="s">
        <v>77</v>
      </c>
      <c r="C47" s="351" t="s">
        <v>78</v>
      </c>
      <c r="D47" s="297">
        <v>40000</v>
      </c>
      <c r="E47" s="330">
        <f t="shared" si="5"/>
        <v>44444.444444444445</v>
      </c>
      <c r="F47" s="341">
        <v>16040</v>
      </c>
      <c r="G47" s="297">
        <v>16040</v>
      </c>
      <c r="H47" s="330">
        <f t="shared" si="0"/>
        <v>32080</v>
      </c>
      <c r="I47" s="338">
        <f t="shared" si="2"/>
        <v>7920</v>
      </c>
      <c r="J47" s="321" t="s">
        <v>78</v>
      </c>
    </row>
    <row r="48" spans="1:10" s="209" customFormat="1" ht="20.25" customHeight="1" thickBot="1">
      <c r="A48" s="232">
        <f t="shared" si="4"/>
        <v>1.3800000000000003</v>
      </c>
      <c r="B48" s="233" t="s">
        <v>79</v>
      </c>
      <c r="C48" s="234"/>
      <c r="D48" s="299" t="s">
        <v>59</v>
      </c>
      <c r="E48" s="330"/>
      <c r="F48" s="345"/>
      <c r="G48" s="299"/>
      <c r="H48" s="332">
        <f t="shared" si="0"/>
        <v>0</v>
      </c>
      <c r="I48" s="337"/>
      <c r="J48" s="321"/>
    </row>
    <row r="49" spans="1:10" s="209" customFormat="1" ht="20.25" customHeight="1" thickBot="1">
      <c r="A49" s="235" t="s">
        <v>80</v>
      </c>
      <c r="B49" s="236" t="s">
        <v>81</v>
      </c>
      <c r="C49" s="237"/>
      <c r="D49" s="301">
        <f>SUM(D18:D48)</f>
        <v>3280000</v>
      </c>
      <c r="E49" s="301">
        <f>SUM(E18:E48)</f>
        <v>3644444.4444444445</v>
      </c>
      <c r="F49" s="349">
        <f>SUM(F18:F48)</f>
        <v>2244910</v>
      </c>
      <c r="G49" s="301">
        <f>SUM(G18:G48)</f>
        <v>2244910</v>
      </c>
      <c r="H49" s="333">
        <f>SUM(H18:H48)</f>
        <v>4489820</v>
      </c>
      <c r="I49" s="339">
        <f t="shared" si="2"/>
        <v>-1209820</v>
      </c>
      <c r="J49" s="321"/>
    </row>
    <row r="50" spans="1:10" s="209" customFormat="1" ht="20.25" customHeight="1">
      <c r="A50" s="218"/>
      <c r="B50" s="219"/>
      <c r="C50" s="238"/>
      <c r="D50" s="292"/>
      <c r="E50" s="359"/>
      <c r="F50" s="291"/>
      <c r="G50" s="291"/>
      <c r="H50" s="352"/>
    </row>
    <row r="51" spans="1:10" s="209" customFormat="1" ht="20.25" customHeight="1">
      <c r="A51" s="224" t="s">
        <v>82</v>
      </c>
      <c r="B51" s="239" t="s">
        <v>83</v>
      </c>
      <c r="C51" s="226"/>
      <c r="D51" s="296"/>
      <c r="E51" s="360">
        <f>E49+E17</f>
        <v>13144444.444444444</v>
      </c>
      <c r="F51" s="291">
        <f>E51/2</f>
        <v>6572222.222222222</v>
      </c>
      <c r="G51" s="291"/>
    </row>
    <row r="52" spans="1:10" s="209" customFormat="1" ht="20.25" customHeight="1" thickBot="1">
      <c r="A52" s="240"/>
      <c r="B52" s="233"/>
      <c r="C52" s="233"/>
      <c r="D52" s="302"/>
      <c r="E52" s="361"/>
      <c r="G52" s="291"/>
    </row>
    <row r="53" spans="1:10" s="209" customFormat="1" ht="20.25" customHeight="1">
      <c r="A53" s="241" t="s">
        <v>84</v>
      </c>
      <c r="B53" s="242" t="s">
        <v>85</v>
      </c>
      <c r="C53" s="242"/>
      <c r="D53" s="303">
        <f>D51+D49+D17</f>
        <v>10880000</v>
      </c>
      <c r="E53" s="362"/>
      <c r="F53" s="291"/>
      <c r="G53" s="291"/>
    </row>
    <row r="54" spans="1:10" s="209" customFormat="1" ht="20.25" customHeight="1">
      <c r="A54" s="243" t="s">
        <v>86</v>
      </c>
      <c r="B54" s="244" t="s">
        <v>87</v>
      </c>
      <c r="C54" s="245">
        <v>0.05</v>
      </c>
      <c r="D54" s="304">
        <f>C54*(D53/(1-SUM($C$54:$C$56)))</f>
        <v>640000</v>
      </c>
      <c r="E54" s="363"/>
      <c r="F54" s="291"/>
      <c r="G54" s="291"/>
    </row>
    <row r="55" spans="1:10" s="209" customFormat="1" ht="20.25" customHeight="1">
      <c r="A55" s="243" t="s">
        <v>88</v>
      </c>
      <c r="B55" s="246" t="s">
        <v>89</v>
      </c>
      <c r="C55" s="247"/>
      <c r="D55" s="304">
        <f>C55*(D53/(1-SUM($C$54:$C$56)))</f>
        <v>0</v>
      </c>
      <c r="E55" s="363"/>
      <c r="F55" s="291"/>
      <c r="G55" s="291"/>
    </row>
    <row r="56" spans="1:10" s="209" customFormat="1" ht="20.25" customHeight="1" thickBot="1">
      <c r="A56" s="243" t="s">
        <v>90</v>
      </c>
      <c r="B56" s="246" t="s">
        <v>91</v>
      </c>
      <c r="C56" s="248">
        <v>0.1</v>
      </c>
      <c r="D56" s="305">
        <f>C56*(D53/(1-SUM($C$54:$C$56)))</f>
        <v>1280000</v>
      </c>
      <c r="E56" s="363"/>
      <c r="F56" s="291"/>
      <c r="G56" s="291"/>
    </row>
    <row r="57" spans="1:10" s="209" customFormat="1" ht="20.25" customHeight="1" thickBot="1">
      <c r="A57" s="215" t="s">
        <v>18</v>
      </c>
      <c r="B57" s="216" t="s">
        <v>92</v>
      </c>
      <c r="C57" s="216"/>
      <c r="D57" s="306">
        <f>SUM(D53:D56)</f>
        <v>12800000</v>
      </c>
      <c r="E57" s="291">
        <f>D57/2</f>
        <v>6400000</v>
      </c>
      <c r="F57" s="291"/>
      <c r="G57" s="291"/>
    </row>
    <row r="58" spans="1:10" s="209" customFormat="1" ht="20.25" customHeight="1" thickBot="1">
      <c r="A58" s="249"/>
      <c r="B58" s="207"/>
      <c r="C58" s="207"/>
      <c r="D58" s="307"/>
      <c r="E58" s="313"/>
      <c r="F58" s="291"/>
      <c r="G58" s="291"/>
    </row>
    <row r="59" spans="1:10" s="209" customFormat="1" ht="15.95" thickBot="1">
      <c r="A59" s="215" t="s">
        <v>93</v>
      </c>
      <c r="B59" s="216" t="s">
        <v>94</v>
      </c>
      <c r="C59" s="216"/>
      <c r="D59" s="308" t="s">
        <v>13</v>
      </c>
      <c r="E59" s="365"/>
      <c r="F59" s="291"/>
      <c r="G59" s="291"/>
    </row>
    <row r="60" spans="1:10" s="209" customFormat="1" ht="20.25" customHeight="1">
      <c r="A60" s="251">
        <v>2.0099999999999998</v>
      </c>
      <c r="B60" s="252" t="s">
        <v>95</v>
      </c>
      <c r="C60" s="252"/>
      <c r="D60" s="309"/>
      <c r="E60" s="359"/>
      <c r="F60" s="291"/>
      <c r="G60" s="291"/>
    </row>
    <row r="61" spans="1:10" s="209" customFormat="1" ht="20.100000000000001" customHeight="1">
      <c r="A61" s="222">
        <f>A60+0.01</f>
        <v>2.0199999999999996</v>
      </c>
      <c r="B61" s="223" t="s">
        <v>96</v>
      </c>
      <c r="C61" s="231"/>
      <c r="D61" s="310">
        <v>0</v>
      </c>
      <c r="E61" s="366"/>
      <c r="F61" s="291"/>
      <c r="G61" s="291"/>
    </row>
    <row r="62" spans="1:10" s="209" customFormat="1" ht="20.25" customHeight="1">
      <c r="A62" s="227">
        <f t="shared" ref="A62" si="6">A61+0.01</f>
        <v>2.0299999999999994</v>
      </c>
      <c r="B62" s="221" t="s">
        <v>97</v>
      </c>
      <c r="C62" s="221"/>
      <c r="D62" s="311" t="e">
        <f>#REF!</f>
        <v>#REF!</v>
      </c>
      <c r="E62" s="367"/>
      <c r="F62" s="291"/>
      <c r="G62" s="291"/>
    </row>
    <row r="63" spans="1:10" s="209" customFormat="1" ht="20.25" customHeight="1">
      <c r="A63" s="227">
        <f>A62+0.01</f>
        <v>2.0399999999999991</v>
      </c>
      <c r="B63" s="233" t="s">
        <v>98</v>
      </c>
      <c r="C63" s="233"/>
      <c r="D63" s="311" t="e">
        <f>#REF!</f>
        <v>#REF!</v>
      </c>
      <c r="E63" s="367"/>
      <c r="F63" s="291"/>
      <c r="G63" s="291"/>
    </row>
    <row r="64" spans="1:10" ht="20.25" customHeight="1">
      <c r="A64" s="227">
        <f t="shared" ref="A64:A65" si="7">A63+0.01</f>
        <v>2.0499999999999989</v>
      </c>
      <c r="B64" s="233" t="s">
        <v>99</v>
      </c>
      <c r="C64" s="233"/>
      <c r="D64" s="311" t="e">
        <f>#REF!</f>
        <v>#REF!</v>
      </c>
      <c r="E64" s="367"/>
      <c r="F64" s="291"/>
      <c r="G64" s="291"/>
    </row>
    <row r="65" spans="1:7" ht="20.25" customHeight="1" thickBot="1">
      <c r="A65" s="227">
        <f t="shared" si="7"/>
        <v>2.0599999999999987</v>
      </c>
      <c r="B65" s="233" t="s">
        <v>83</v>
      </c>
      <c r="C65" s="233"/>
      <c r="D65" s="312"/>
      <c r="E65" s="359"/>
      <c r="F65" s="291"/>
      <c r="G65" s="291"/>
    </row>
    <row r="66" spans="1:7" ht="20.25" customHeight="1">
      <c r="A66" s="253" t="s">
        <v>100</v>
      </c>
      <c r="B66" s="242" t="s">
        <v>101</v>
      </c>
      <c r="C66" s="242"/>
      <c r="D66" s="303" t="e">
        <f>SUM(D60:D65)</f>
        <v>#REF!</v>
      </c>
      <c r="E66" s="362"/>
      <c r="F66" s="291"/>
      <c r="G66" s="291"/>
    </row>
    <row r="67" spans="1:7" ht="20.25" customHeight="1">
      <c r="A67" s="254" t="s">
        <v>102</v>
      </c>
      <c r="B67" s="244" t="s">
        <v>87</v>
      </c>
      <c r="C67" s="247"/>
      <c r="D67" s="304" t="e">
        <f>C67*(D66/(1-SUM($C$67:$C$69)))</f>
        <v>#REF!</v>
      </c>
      <c r="E67" s="363"/>
      <c r="F67" s="291"/>
      <c r="G67" s="291"/>
    </row>
    <row r="68" spans="1:7" ht="20.25" customHeight="1">
      <c r="A68" s="254" t="s">
        <v>103</v>
      </c>
      <c r="B68" s="246" t="s">
        <v>89</v>
      </c>
      <c r="C68" s="247"/>
      <c r="D68" s="304" t="e">
        <f>C68*(D66/(1-SUM($C$67:$C$69)))</f>
        <v>#REF!</v>
      </c>
      <c r="E68" s="363"/>
      <c r="F68" s="291"/>
      <c r="G68" s="291"/>
    </row>
    <row r="69" spans="1:7" ht="20.25" customHeight="1" thickBot="1">
      <c r="A69" s="254" t="s">
        <v>104</v>
      </c>
      <c r="B69" s="246" t="s">
        <v>91</v>
      </c>
      <c r="C69" s="248"/>
      <c r="D69" s="305" t="e">
        <f>C69*(D66/(1-SUM($C$67:$C$69)))</f>
        <v>#REF!</v>
      </c>
      <c r="E69" s="363"/>
      <c r="F69" s="291"/>
      <c r="G69" s="291"/>
    </row>
    <row r="70" spans="1:7" ht="20.25" customHeight="1" thickBot="1">
      <c r="A70" s="215" t="s">
        <v>93</v>
      </c>
      <c r="B70" s="216" t="s">
        <v>105</v>
      </c>
      <c r="C70" s="216"/>
      <c r="D70" s="306" t="e">
        <f>SUM(D66:D69)</f>
        <v>#REF!</v>
      </c>
      <c r="E70" s="364"/>
      <c r="F70" s="291"/>
      <c r="G70" s="291"/>
    </row>
    <row r="71" spans="1:7" ht="20.25" customHeight="1" thickBot="1">
      <c r="A71" s="220"/>
      <c r="D71" s="313"/>
      <c r="E71" s="313"/>
      <c r="F71" s="291"/>
      <c r="G71" s="291"/>
    </row>
    <row r="72" spans="1:7" ht="20.25" customHeight="1" thickBot="1">
      <c r="A72" s="255" t="s">
        <v>106</v>
      </c>
      <c r="B72" s="256" t="s">
        <v>107</v>
      </c>
      <c r="C72" s="256"/>
      <c r="D72" s="314" t="e">
        <f>D57+D70</f>
        <v>#REF!</v>
      </c>
      <c r="E72" s="368"/>
      <c r="F72" s="291"/>
      <c r="G72" s="291"/>
    </row>
    <row r="73" spans="1:7" ht="20.25" customHeight="1">
      <c r="A73" s="257" t="s">
        <v>108</v>
      </c>
      <c r="B73" s="258" t="s">
        <v>109</v>
      </c>
      <c r="C73" s="258"/>
      <c r="D73" s="315">
        <f>D57</f>
        <v>12800000</v>
      </c>
      <c r="E73" s="369"/>
      <c r="F73" s="291"/>
      <c r="G73" s="291"/>
    </row>
    <row r="74" spans="1:7" s="206" customFormat="1" ht="20.25" customHeight="1" thickBot="1">
      <c r="A74" s="259" t="s">
        <v>110</v>
      </c>
      <c r="B74" s="260" t="s">
        <v>111</v>
      </c>
      <c r="C74" s="260"/>
      <c r="D74" s="316" t="e">
        <f>D70</f>
        <v>#REF!</v>
      </c>
      <c r="E74" s="369"/>
      <c r="F74" s="291"/>
      <c r="G74" s="291"/>
    </row>
    <row r="75" spans="1:7" ht="20.25" customHeight="1" thickBot="1">
      <c r="A75" s="220"/>
      <c r="D75" s="313"/>
      <c r="E75" s="313"/>
      <c r="F75" s="291"/>
      <c r="G75" s="291"/>
    </row>
    <row r="76" spans="1:7" ht="20.25" customHeight="1">
      <c r="A76" s="261" t="s">
        <v>112</v>
      </c>
      <c r="B76" s="262" t="s">
        <v>113</v>
      </c>
      <c r="C76" s="262"/>
      <c r="D76" s="317">
        <v>16025230</v>
      </c>
      <c r="E76" s="370"/>
    </row>
    <row r="77" spans="1:7" ht="20.25" customHeight="1" thickBot="1">
      <c r="A77" s="263" t="s">
        <v>114</v>
      </c>
      <c r="B77" s="264" t="s">
        <v>115</v>
      </c>
      <c r="C77" s="264"/>
      <c r="D77" s="318" t="e">
        <f>+D72-D76</f>
        <v>#REF!</v>
      </c>
      <c r="E77" s="370"/>
    </row>
    <row r="78" spans="1:7" ht="20.25" customHeight="1" thickBot="1">
      <c r="A78" s="220"/>
    </row>
    <row r="79" spans="1:7" ht="20.25" customHeight="1">
      <c r="A79" s="220"/>
      <c r="C79" s="265" t="s">
        <v>116</v>
      </c>
      <c r="D79" s="266" t="e">
        <f>D69+D56</f>
        <v>#REF!</v>
      </c>
      <c r="E79" s="371"/>
    </row>
    <row r="80" spans="1:7" ht="20.25" customHeight="1">
      <c r="A80" s="220"/>
      <c r="C80" s="267" t="s">
        <v>117</v>
      </c>
      <c r="D80" s="268" t="e">
        <f>D54+D67</f>
        <v>#REF!</v>
      </c>
      <c r="E80" s="371"/>
    </row>
    <row r="81" spans="1:7" ht="20.25" customHeight="1" thickBot="1">
      <c r="A81" s="220"/>
      <c r="C81" s="269" t="s">
        <v>118</v>
      </c>
      <c r="D81" s="270" t="e">
        <f>+D68+D55</f>
        <v>#REF!</v>
      </c>
      <c r="E81" s="371"/>
    </row>
    <row r="82" spans="1:7" ht="20.25" customHeight="1" thickBot="1">
      <c r="A82" s="220"/>
      <c r="C82" s="271" t="s">
        <v>119</v>
      </c>
      <c r="D82" s="272" t="e">
        <f>SUM(D79:D81)</f>
        <v>#REF!</v>
      </c>
      <c r="E82" s="371"/>
    </row>
    <row r="83" spans="1:7" ht="20.25" customHeight="1" thickBot="1">
      <c r="A83" s="220"/>
    </row>
    <row r="84" spans="1:7" s="277" customFormat="1" ht="56.1" customHeight="1" thickBot="1">
      <c r="A84" s="273" t="s">
        <v>112</v>
      </c>
      <c r="B84" s="274" t="s">
        <v>120</v>
      </c>
      <c r="C84" s="275" t="e">
        <f>#REF!</f>
        <v>#REF!</v>
      </c>
      <c r="D84" s="276" t="e">
        <f>#REF!</f>
        <v>#REF!</v>
      </c>
      <c r="E84" s="372"/>
      <c r="F84" s="290"/>
      <c r="G84" s="290"/>
    </row>
    <row r="85" spans="1:7" ht="20.25" customHeight="1">
      <c r="A85" s="220"/>
    </row>
    <row r="86" spans="1:7" ht="20.25" customHeight="1" thickBot="1">
      <c r="A86" s="220"/>
    </row>
    <row r="87" spans="1:7" ht="20.25" customHeight="1">
      <c r="A87" s="220"/>
      <c r="B87" s="278" t="s">
        <v>121</v>
      </c>
      <c r="C87" s="279"/>
      <c r="D87" s="280"/>
    </row>
    <row r="88" spans="1:7" ht="20.25" customHeight="1">
      <c r="A88" s="220"/>
      <c r="B88" s="281" t="s">
        <v>122</v>
      </c>
      <c r="C88" s="282">
        <v>6.4999999999999997E-3</v>
      </c>
      <c r="D88" s="250"/>
    </row>
    <row r="89" spans="1:7" ht="20.25" customHeight="1">
      <c r="A89" s="220"/>
      <c r="B89" s="281" t="s">
        <v>123</v>
      </c>
      <c r="C89" s="283" t="e">
        <f>ROUND(C84*C88,0)</f>
        <v>#REF!</v>
      </c>
      <c r="D89" s="250" t="s">
        <v>124</v>
      </c>
    </row>
    <row r="90" spans="1:7" ht="20.25" customHeight="1" thickBot="1">
      <c r="A90" s="220"/>
      <c r="B90" s="281" t="s">
        <v>125</v>
      </c>
      <c r="C90" s="284" t="e">
        <f>ROUND(C89*0.8,0)</f>
        <v>#REF!</v>
      </c>
      <c r="D90" s="250"/>
    </row>
    <row r="91" spans="1:7" ht="20.25" customHeight="1" thickTop="1">
      <c r="A91" s="220"/>
      <c r="B91" s="281" t="s">
        <v>126</v>
      </c>
      <c r="C91" s="285" t="e">
        <f>ROUND($C$90*D91,0)</f>
        <v>#REF!</v>
      </c>
      <c r="D91" s="286">
        <v>0.22</v>
      </c>
      <c r="E91" s="373"/>
    </row>
    <row r="92" spans="1:7" ht="20.25" customHeight="1" thickBot="1">
      <c r="A92" s="220"/>
      <c r="B92" s="287" t="s">
        <v>127</v>
      </c>
      <c r="C92" s="288" t="e">
        <f>ROUND($C$90*D92,0)</f>
        <v>#REF!</v>
      </c>
      <c r="D92" s="289">
        <v>0.78</v>
      </c>
      <c r="E92" s="373"/>
    </row>
    <row r="93" spans="1:7" ht="20.25" customHeight="1">
      <c r="A93" s="220"/>
    </row>
    <row r="94" spans="1:7" ht="20.25" customHeight="1">
      <c r="A94" s="220"/>
    </row>
    <row r="95" spans="1:7" ht="20.25" customHeight="1">
      <c r="A95" s="220"/>
    </row>
  </sheetData>
  <mergeCells count="2">
    <mergeCell ref="C7:D7"/>
    <mergeCell ref="F7:H7"/>
  </mergeCells>
  <printOptions horizontalCentered="1"/>
  <pageMargins left="0.7" right="0.7" top="0.75" bottom="0.75" header="0.3" footer="0.3"/>
  <pageSetup paperSize="8" scale="48" orientation="landscape" r:id="rId1"/>
  <headerFooter>
    <oddFooter>&amp;L&amp;"Calibri,Regular"&amp;K000000&amp;G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17A6-DFBA-41AB-8D3D-B7FFA1A00440}">
  <sheetPr codeName="Sheet2">
    <tabColor rgb="FF92D050"/>
    <pageSetUpPr fitToPage="1"/>
  </sheetPr>
  <dimension ref="A2:X127"/>
  <sheetViews>
    <sheetView view="pageBreakPreview" zoomScale="85" zoomScaleNormal="85" zoomScaleSheetLayoutView="85" workbookViewId="0">
      <pane xSplit="2" ySplit="12" topLeftCell="C66" activePane="bottomRight" state="frozen"/>
      <selection pane="bottomRight" activeCell="D16" sqref="D16"/>
      <selection pane="bottomLeft" activeCell="D16" sqref="D16"/>
      <selection pane="topRight" activeCell="D16" sqref="D16"/>
    </sheetView>
  </sheetViews>
  <sheetFormatPr defaultColWidth="8.5703125" defaultRowHeight="13.5"/>
  <cols>
    <col min="1" max="1" width="8.5703125" style="1"/>
    <col min="2" max="2" width="52.5703125" style="2" bestFit="1" customWidth="1"/>
    <col min="3" max="4" width="33.42578125" style="1" customWidth="1"/>
    <col min="5" max="7" width="21.5703125" style="1" customWidth="1"/>
    <col min="8" max="12" width="15.42578125" style="1" customWidth="1"/>
    <col min="13" max="13" width="16.42578125" style="1" bestFit="1" customWidth="1"/>
    <col min="14" max="14" width="13.42578125" style="1" customWidth="1"/>
    <col min="15" max="15" width="16.42578125" style="1" bestFit="1" customWidth="1"/>
    <col min="16" max="16" width="11.42578125" style="1" bestFit="1" customWidth="1"/>
    <col min="17" max="17" width="14.5703125" style="1" customWidth="1"/>
    <col min="18" max="18" width="14.42578125" style="5" customWidth="1"/>
    <col min="19" max="19" width="12.5703125" style="2" customWidth="1"/>
    <col min="20" max="20" width="14.42578125" style="2" bestFit="1" customWidth="1"/>
    <col min="21" max="16384" width="8.5703125" style="2"/>
  </cols>
  <sheetData>
    <row r="2" spans="1:18" ht="10.5" customHeight="1">
      <c r="H2" s="3">
        <v>0.25</v>
      </c>
      <c r="I2" s="3">
        <v>0.3</v>
      </c>
      <c r="J2" s="3">
        <v>0.35</v>
      </c>
      <c r="K2" s="3">
        <v>0.05</v>
      </c>
      <c r="L2" s="3">
        <v>0.05</v>
      </c>
      <c r="M2" s="4"/>
    </row>
    <row r="3" spans="1:18" s="9" customFormat="1" ht="16.5" customHeight="1">
      <c r="A3" s="6"/>
      <c r="B3" s="7" t="s">
        <v>128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8"/>
    </row>
    <row r="4" spans="1:18" s="9" customFormat="1" ht="15" customHeight="1">
      <c r="A4" s="6"/>
      <c r="B4" s="7" t="s">
        <v>129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</row>
    <row r="5" spans="1:18" s="9" customFormat="1" ht="7.5" customHeight="1">
      <c r="A5" s="6"/>
      <c r="B5" s="10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8"/>
    </row>
    <row r="6" spans="1:18" ht="6" customHeight="1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8" ht="14.1" thickBot="1">
      <c r="B7" s="599" t="s">
        <v>130</v>
      </c>
      <c r="C7" s="600"/>
      <c r="D7" s="600"/>
      <c r="E7" s="600"/>
      <c r="F7" s="600"/>
      <c r="G7" s="600"/>
      <c r="H7" s="600"/>
      <c r="I7" s="600"/>
      <c r="J7" s="600"/>
      <c r="K7" s="600"/>
      <c r="L7" s="600"/>
      <c r="M7" s="600"/>
      <c r="N7" s="600"/>
      <c r="O7" s="600"/>
    </row>
    <row r="8" spans="1:18" ht="14.1" thickBo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8" s="20" customFormat="1" ht="15.75" customHeight="1">
      <c r="A9" s="13"/>
      <c r="B9" s="601" t="s">
        <v>131</v>
      </c>
      <c r="C9" s="603" t="s">
        <v>132</v>
      </c>
      <c r="D9" s="14"/>
      <c r="E9" s="14"/>
      <c r="F9" s="14"/>
      <c r="G9" s="14"/>
      <c r="H9" s="15"/>
      <c r="I9" s="15"/>
      <c r="J9" s="15"/>
      <c r="K9" s="15"/>
      <c r="L9" s="15"/>
      <c r="M9" s="16"/>
      <c r="N9" s="17"/>
      <c r="O9" s="18"/>
      <c r="P9" s="13"/>
      <c r="Q9" s="13"/>
      <c r="R9" s="19"/>
    </row>
    <row r="10" spans="1:18" s="20" customFormat="1" ht="77.099999999999994" customHeight="1" thickBot="1">
      <c r="A10" s="13"/>
      <c r="B10" s="602"/>
      <c r="C10" s="603"/>
      <c r="D10" s="21" t="s">
        <v>133</v>
      </c>
      <c r="E10" s="21" t="s">
        <v>134</v>
      </c>
      <c r="F10" s="21" t="s">
        <v>135</v>
      </c>
      <c r="G10" s="22" t="s">
        <v>8</v>
      </c>
      <c r="H10" s="23" t="s">
        <v>136</v>
      </c>
      <c r="I10" s="23" t="s">
        <v>137</v>
      </c>
      <c r="J10" s="23" t="s">
        <v>138</v>
      </c>
      <c r="K10" s="23" t="s">
        <v>139</v>
      </c>
      <c r="L10" s="23" t="s">
        <v>140</v>
      </c>
      <c r="M10" s="24" t="s">
        <v>141</v>
      </c>
      <c r="N10" s="25" t="s">
        <v>142</v>
      </c>
      <c r="O10" s="26" t="s">
        <v>143</v>
      </c>
      <c r="P10" s="13"/>
      <c r="Q10" s="13"/>
      <c r="R10" s="27"/>
    </row>
    <row r="11" spans="1:18" s="20" customFormat="1" ht="22.35" customHeight="1" thickBot="1">
      <c r="A11" s="13"/>
      <c r="B11" s="28"/>
      <c r="C11" s="29"/>
      <c r="D11" s="29"/>
      <c r="E11" s="29"/>
      <c r="F11" s="29"/>
      <c r="G11" s="29"/>
      <c r="H11" s="30"/>
      <c r="I11" s="29"/>
      <c r="J11" s="29"/>
      <c r="K11" s="29"/>
      <c r="L11" s="29"/>
      <c r="M11" s="29"/>
      <c r="N11" s="29"/>
      <c r="O11" s="29"/>
      <c r="P11" s="13"/>
      <c r="Q11" s="13"/>
      <c r="R11" s="19"/>
    </row>
    <row r="12" spans="1:18" s="37" customFormat="1" ht="22.35" customHeight="1" thickBot="1">
      <c r="A12" s="31"/>
      <c r="B12" s="604" t="str">
        <f>B4</f>
        <v>DESIGN CONSULTANCY SERVICES</v>
      </c>
      <c r="C12" s="605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  <c r="O12" s="35"/>
      <c r="P12" s="31"/>
      <c r="Q12" s="31">
        <v>3.6724999999999999</v>
      </c>
      <c r="R12" s="36"/>
    </row>
    <row r="13" spans="1:18" s="48" customFormat="1" ht="22.35" hidden="1" customHeight="1">
      <c r="A13" s="38">
        <v>1</v>
      </c>
      <c r="B13" s="39"/>
      <c r="C13" s="40"/>
      <c r="D13" s="170"/>
      <c r="E13" s="41"/>
      <c r="F13" s="41"/>
      <c r="G13" s="42"/>
      <c r="H13" s="43"/>
      <c r="I13" s="43"/>
      <c r="J13" s="43"/>
      <c r="K13" s="43"/>
      <c r="L13" s="43"/>
      <c r="M13" s="44">
        <f>SUM(H13:L13)</f>
        <v>0</v>
      </c>
      <c r="N13" s="45"/>
      <c r="O13" s="46">
        <f>M13+N13</f>
        <v>0</v>
      </c>
      <c r="P13" s="38"/>
      <c r="Q13" s="38" t="s">
        <v>144</v>
      </c>
      <c r="R13" s="47"/>
    </row>
    <row r="14" spans="1:18" s="48" customFormat="1" ht="22.35" hidden="1" customHeight="1">
      <c r="A14" s="38">
        <f>A13+1</f>
        <v>2</v>
      </c>
      <c r="B14" s="49" t="s">
        <v>145</v>
      </c>
      <c r="C14" s="50" t="s">
        <v>146</v>
      </c>
      <c r="D14" s="171"/>
      <c r="E14" s="51">
        <v>3305250</v>
      </c>
      <c r="F14" s="52">
        <v>6133075</v>
      </c>
      <c r="G14" s="52">
        <v>6200000</v>
      </c>
      <c r="H14" s="53">
        <f>G14*$H$2</f>
        <v>1550000</v>
      </c>
      <c r="I14" s="53">
        <f>G14*$I$2</f>
        <v>1860000</v>
      </c>
      <c r="J14" s="53">
        <f>G14*$J$2</f>
        <v>2170000</v>
      </c>
      <c r="K14" s="53">
        <f>G14*$K$2</f>
        <v>310000</v>
      </c>
      <c r="L14" s="53">
        <f>G14*$L$2</f>
        <v>310000</v>
      </c>
      <c r="M14" s="54">
        <f>SUM(H14:L14)</f>
        <v>6200000</v>
      </c>
      <c r="N14" s="55"/>
      <c r="O14" s="56">
        <f>M14+N14</f>
        <v>6200000</v>
      </c>
      <c r="P14" s="38" t="s">
        <v>147</v>
      </c>
      <c r="Q14" s="57">
        <f>E14/$Q$12</f>
        <v>900000</v>
      </c>
      <c r="R14" s="48" t="s">
        <v>148</v>
      </c>
    </row>
    <row r="15" spans="1:18" s="48" customFormat="1" ht="22.35" hidden="1" customHeight="1">
      <c r="A15" s="38"/>
      <c r="B15" s="49"/>
      <c r="C15" s="50" t="s">
        <v>149</v>
      </c>
      <c r="D15" s="171"/>
      <c r="E15" s="51">
        <v>2276950</v>
      </c>
      <c r="F15" s="51"/>
      <c r="G15" s="52"/>
      <c r="H15" s="53"/>
      <c r="I15" s="53"/>
      <c r="J15" s="53"/>
      <c r="K15" s="53"/>
      <c r="L15" s="53"/>
      <c r="M15" s="54"/>
      <c r="N15" s="55"/>
      <c r="O15" s="56"/>
      <c r="P15" s="38"/>
      <c r="Q15" s="57">
        <f t="shared" ref="Q15:Q17" si="0">E15/$Q$12</f>
        <v>620000</v>
      </c>
      <c r="R15" s="47"/>
    </row>
    <row r="16" spans="1:18" s="48" customFormat="1" ht="22.35" hidden="1" customHeight="1">
      <c r="A16" s="38"/>
      <c r="B16" s="49"/>
      <c r="C16" s="50" t="s">
        <v>150</v>
      </c>
      <c r="D16" s="171"/>
      <c r="E16" s="51">
        <v>550875</v>
      </c>
      <c r="F16" s="51"/>
      <c r="G16" s="52"/>
      <c r="H16" s="53"/>
      <c r="I16" s="53"/>
      <c r="J16" s="53"/>
      <c r="K16" s="53"/>
      <c r="L16" s="53"/>
      <c r="M16" s="54"/>
      <c r="N16" s="55"/>
      <c r="O16" s="56"/>
      <c r="P16" s="38"/>
      <c r="Q16" s="57">
        <f t="shared" si="0"/>
        <v>150000</v>
      </c>
      <c r="R16" s="47"/>
    </row>
    <row r="17" spans="1:19" s="48" customFormat="1" ht="22.35" hidden="1" customHeight="1">
      <c r="A17" s="38"/>
      <c r="B17" s="49"/>
      <c r="C17" s="50"/>
      <c r="D17" s="171"/>
      <c r="E17" s="52">
        <f>SUM(E14:E16)</f>
        <v>6133075</v>
      </c>
      <c r="F17" s="52"/>
      <c r="G17" s="52"/>
      <c r="H17" s="53"/>
      <c r="I17" s="53"/>
      <c r="J17" s="53"/>
      <c r="K17" s="53"/>
      <c r="L17" s="53"/>
      <c r="M17" s="54"/>
      <c r="N17" s="55"/>
      <c r="O17" s="56"/>
      <c r="P17" s="38"/>
      <c r="Q17" s="57">
        <f t="shared" si="0"/>
        <v>1670000</v>
      </c>
      <c r="R17" s="47"/>
    </row>
    <row r="18" spans="1:19" s="48" customFormat="1" ht="21.75" hidden="1" customHeight="1">
      <c r="A18" s="38"/>
      <c r="B18" s="58" t="s">
        <v>151</v>
      </c>
      <c r="C18" s="50" t="s">
        <v>152</v>
      </c>
      <c r="D18" s="171"/>
      <c r="E18" s="51">
        <v>3344690</v>
      </c>
      <c r="F18" s="52">
        <f>Q18*Q12</f>
        <v>565565</v>
      </c>
      <c r="G18" s="52">
        <v>565565</v>
      </c>
      <c r="H18" s="53"/>
      <c r="I18" s="53"/>
      <c r="J18" s="53"/>
      <c r="K18" s="53"/>
      <c r="L18" s="53"/>
      <c r="M18" s="54"/>
      <c r="N18" s="55"/>
      <c r="O18" s="56"/>
      <c r="P18" s="38" t="s">
        <v>153</v>
      </c>
      <c r="Q18" s="38">
        <f>77000*2</f>
        <v>154000</v>
      </c>
      <c r="R18" s="47">
        <f>112500*2</f>
        <v>225000</v>
      </c>
      <c r="S18" s="59">
        <f>R18*Q12</f>
        <v>826312.5</v>
      </c>
    </row>
    <row r="19" spans="1:19" s="48" customFormat="1" ht="21.75" hidden="1" customHeight="1">
      <c r="A19" s="38"/>
      <c r="B19" s="49"/>
      <c r="C19" s="50" t="s">
        <v>149</v>
      </c>
      <c r="D19" s="171"/>
      <c r="E19" s="51">
        <v>3915565.5</v>
      </c>
      <c r="F19" s="51"/>
      <c r="G19" s="52" t="s">
        <v>154</v>
      </c>
      <c r="H19" s="53"/>
      <c r="I19" s="53"/>
      <c r="J19" s="53"/>
      <c r="K19" s="53"/>
      <c r="L19" s="53"/>
      <c r="M19" s="54"/>
      <c r="N19" s="55"/>
      <c r="O19" s="56"/>
      <c r="P19" s="38"/>
      <c r="Q19" s="38"/>
      <c r="R19" s="47"/>
    </row>
    <row r="20" spans="1:19" s="48" customFormat="1" ht="21.75" hidden="1" customHeight="1">
      <c r="A20" s="38"/>
      <c r="B20" s="49"/>
      <c r="C20" s="50" t="s">
        <v>155</v>
      </c>
      <c r="D20" s="171"/>
      <c r="E20" s="60">
        <v>187425</v>
      </c>
      <c r="F20" s="60"/>
      <c r="G20" s="52"/>
      <c r="H20" s="53"/>
      <c r="I20" s="53"/>
      <c r="J20" s="53"/>
      <c r="K20" s="53"/>
      <c r="L20" s="53"/>
      <c r="M20" s="54"/>
      <c r="N20" s="55"/>
      <c r="O20" s="56"/>
      <c r="P20" s="38"/>
      <c r="Q20" s="38"/>
      <c r="R20" s="47"/>
    </row>
    <row r="21" spans="1:19" s="48" customFormat="1" ht="21.75" hidden="1" customHeight="1">
      <c r="A21" s="38"/>
      <c r="B21" s="49"/>
      <c r="C21" s="50"/>
      <c r="D21" s="171"/>
      <c r="E21" s="52">
        <f>SUM(E18:E20)</f>
        <v>7447680.5</v>
      </c>
      <c r="F21" s="52"/>
      <c r="G21" s="52"/>
      <c r="H21" s="53"/>
      <c r="I21" s="53"/>
      <c r="J21" s="53"/>
      <c r="K21" s="53"/>
      <c r="L21" s="53"/>
      <c r="M21" s="54"/>
      <c r="N21" s="55"/>
      <c r="O21" s="56"/>
      <c r="P21" s="38"/>
      <c r="Q21" s="38">
        <v>385000</v>
      </c>
      <c r="R21" s="47"/>
    </row>
    <row r="22" spans="1:19" s="48" customFormat="1" ht="21.75" hidden="1" customHeight="1">
      <c r="A22" s="38"/>
      <c r="B22" s="61" t="s">
        <v>156</v>
      </c>
      <c r="C22" s="62" t="s">
        <v>157</v>
      </c>
      <c r="D22" s="172"/>
      <c r="E22" s="63">
        <f>Q21*Q12</f>
        <v>1413912.5</v>
      </c>
      <c r="F22" s="63">
        <f>E22</f>
        <v>1413912.5</v>
      </c>
      <c r="G22" s="64">
        <v>1500000</v>
      </c>
      <c r="H22" s="65"/>
      <c r="I22" s="65"/>
      <c r="J22" s="65"/>
      <c r="K22" s="65"/>
      <c r="L22" s="65"/>
      <c r="M22" s="66"/>
      <c r="N22" s="67"/>
      <c r="O22" s="68"/>
      <c r="P22" s="38"/>
      <c r="Q22" s="38"/>
      <c r="R22" s="47"/>
    </row>
    <row r="23" spans="1:19" s="48" customFormat="1" ht="21.75" hidden="1" customHeight="1">
      <c r="A23" s="38"/>
      <c r="B23" s="49"/>
      <c r="C23" s="50"/>
      <c r="D23" s="171"/>
      <c r="E23" s="52"/>
      <c r="F23" s="52"/>
      <c r="G23" s="52"/>
      <c r="H23" s="53"/>
      <c r="I23" s="53"/>
      <c r="J23" s="53"/>
      <c r="K23" s="53"/>
      <c r="L23" s="53"/>
      <c r="M23" s="54"/>
      <c r="N23" s="55"/>
      <c r="O23" s="56"/>
      <c r="P23" s="38"/>
      <c r="Q23" s="57">
        <v>42750</v>
      </c>
      <c r="R23" s="47"/>
    </row>
    <row r="24" spans="1:19" s="48" customFormat="1" ht="21.75" hidden="1" customHeight="1">
      <c r="A24" s="38"/>
      <c r="B24" s="61" t="s">
        <v>158</v>
      </c>
      <c r="C24" s="62" t="s">
        <v>159</v>
      </c>
      <c r="D24" s="172"/>
      <c r="E24" s="63">
        <f>Q23*Q12</f>
        <v>156999.375</v>
      </c>
      <c r="F24" s="63"/>
      <c r="G24" s="64">
        <v>180000</v>
      </c>
      <c r="H24" s="65"/>
      <c r="I24" s="65"/>
      <c r="J24" s="65"/>
      <c r="K24" s="65"/>
      <c r="L24" s="65"/>
      <c r="M24" s="66"/>
      <c r="N24" s="67"/>
      <c r="O24" s="68"/>
      <c r="P24" s="38"/>
      <c r="Q24" s="38"/>
      <c r="R24" s="47"/>
    </row>
    <row r="25" spans="1:19" s="48" customFormat="1" ht="21.75" hidden="1" customHeight="1">
      <c r="A25" s="38"/>
      <c r="B25" s="49"/>
      <c r="C25" s="50"/>
      <c r="D25" s="171"/>
      <c r="E25" s="52"/>
      <c r="F25" s="52"/>
      <c r="G25" s="52"/>
      <c r="H25" s="53"/>
      <c r="I25" s="53"/>
      <c r="J25" s="53"/>
      <c r="K25" s="53"/>
      <c r="L25" s="53"/>
      <c r="M25" s="54"/>
      <c r="N25" s="55"/>
      <c r="O25" s="56"/>
      <c r="P25" s="38"/>
      <c r="Q25" s="38"/>
      <c r="R25" s="47"/>
    </row>
    <row r="26" spans="1:19" s="48" customFormat="1" ht="21.75" hidden="1" customHeight="1">
      <c r="A26" s="38">
        <f>A14+1</f>
        <v>3</v>
      </c>
      <c r="B26" s="61" t="s">
        <v>160</v>
      </c>
      <c r="C26" s="62" t="s">
        <v>161</v>
      </c>
      <c r="D26" s="172"/>
      <c r="E26" s="63"/>
      <c r="F26" s="64">
        <v>350000</v>
      </c>
      <c r="G26" s="64">
        <v>350000</v>
      </c>
      <c r="H26" s="65">
        <f t="shared" ref="H26:H116" si="1">G26*$H$2</f>
        <v>87500</v>
      </c>
      <c r="I26" s="65">
        <f t="shared" ref="I26:I110" si="2">G26*$I$2</f>
        <v>105000</v>
      </c>
      <c r="J26" s="65">
        <f t="shared" ref="J26:J110" si="3">G26*$J$2</f>
        <v>122499.99999999999</v>
      </c>
      <c r="K26" s="65">
        <f t="shared" ref="K26:K110" si="4">G26*$K$2</f>
        <v>17500</v>
      </c>
      <c r="L26" s="65">
        <f t="shared" ref="L26:L110" si="5">G26*$L$2</f>
        <v>17500</v>
      </c>
      <c r="M26" s="66">
        <f t="shared" ref="M26:M110" si="6">SUM(H26:L26)</f>
        <v>350000</v>
      </c>
      <c r="N26" s="67"/>
      <c r="O26" s="68">
        <f t="shared" ref="O26:O116" si="7">M26+N26</f>
        <v>350000</v>
      </c>
      <c r="P26" s="57"/>
      <c r="Q26" s="57"/>
      <c r="R26" s="47"/>
      <c r="S26" s="37"/>
    </row>
    <row r="27" spans="1:19" s="48" customFormat="1" ht="21.75" hidden="1" customHeight="1">
      <c r="A27" s="38"/>
      <c r="B27" s="61"/>
      <c r="C27" s="62" t="s">
        <v>162</v>
      </c>
      <c r="D27" s="172"/>
      <c r="E27" s="63"/>
      <c r="F27" s="63"/>
      <c r="G27" s="64"/>
      <c r="H27" s="65"/>
      <c r="I27" s="65"/>
      <c r="J27" s="65"/>
      <c r="K27" s="65"/>
      <c r="L27" s="65"/>
      <c r="M27" s="66"/>
      <c r="N27" s="67"/>
      <c r="O27" s="68"/>
      <c r="P27" s="57"/>
      <c r="Q27" s="57"/>
      <c r="R27" s="47"/>
      <c r="S27" s="69"/>
    </row>
    <row r="28" spans="1:19" s="48" customFormat="1" ht="21.75" hidden="1" customHeight="1">
      <c r="A28" s="38"/>
      <c r="B28" s="61"/>
      <c r="C28" s="62"/>
      <c r="D28" s="172"/>
      <c r="E28" s="63"/>
      <c r="F28" s="63"/>
      <c r="G28" s="64"/>
      <c r="H28" s="65"/>
      <c r="I28" s="65"/>
      <c r="J28" s="65"/>
      <c r="K28" s="65"/>
      <c r="L28" s="65"/>
      <c r="M28" s="66"/>
      <c r="N28" s="67"/>
      <c r="O28" s="68"/>
      <c r="P28" s="57"/>
      <c r="Q28" s="57"/>
      <c r="R28" s="47"/>
      <c r="S28" s="69"/>
    </row>
    <row r="29" spans="1:19" s="48" customFormat="1" ht="21.75" hidden="1" customHeight="1">
      <c r="A29" s="38">
        <f>A26+1</f>
        <v>4</v>
      </c>
      <c r="B29" s="61" t="s">
        <v>163</v>
      </c>
      <c r="C29" s="62" t="s">
        <v>164</v>
      </c>
      <c r="D29" s="172"/>
      <c r="E29" s="63">
        <v>275000</v>
      </c>
      <c r="F29" s="63">
        <v>275000</v>
      </c>
      <c r="G29" s="64">
        <v>275000</v>
      </c>
      <c r="H29" s="65">
        <f t="shared" si="1"/>
        <v>68750</v>
      </c>
      <c r="I29" s="65">
        <f t="shared" si="2"/>
        <v>82500</v>
      </c>
      <c r="J29" s="65">
        <f t="shared" si="3"/>
        <v>96250</v>
      </c>
      <c r="K29" s="65">
        <f t="shared" si="4"/>
        <v>13750</v>
      </c>
      <c r="L29" s="65">
        <f t="shared" si="5"/>
        <v>13750</v>
      </c>
      <c r="M29" s="66">
        <f t="shared" si="6"/>
        <v>275000</v>
      </c>
      <c r="N29" s="67"/>
      <c r="O29" s="68">
        <f t="shared" si="7"/>
        <v>275000</v>
      </c>
      <c r="P29" s="57"/>
      <c r="Q29" s="57"/>
      <c r="R29" s="47"/>
      <c r="S29" s="69"/>
    </row>
    <row r="30" spans="1:19" s="48" customFormat="1" ht="21.75" hidden="1" customHeight="1">
      <c r="A30" s="38"/>
      <c r="B30" s="61"/>
      <c r="C30" s="62" t="s">
        <v>165</v>
      </c>
      <c r="D30" s="172"/>
      <c r="E30" s="63">
        <v>226275</v>
      </c>
      <c r="F30" s="63"/>
      <c r="G30" s="64"/>
      <c r="H30" s="65"/>
      <c r="I30" s="65"/>
      <c r="J30" s="65"/>
      <c r="K30" s="65"/>
      <c r="L30" s="65"/>
      <c r="M30" s="66"/>
      <c r="N30" s="67"/>
      <c r="O30" s="68"/>
      <c r="P30" s="57"/>
      <c r="Q30" s="57"/>
      <c r="R30" s="47"/>
      <c r="S30" s="69"/>
    </row>
    <row r="31" spans="1:19" s="48" customFormat="1" ht="21.75" hidden="1" customHeight="1">
      <c r="A31" s="38"/>
      <c r="B31" s="61"/>
      <c r="C31" s="62"/>
      <c r="D31" s="172"/>
      <c r="E31" s="63"/>
      <c r="F31" s="63"/>
      <c r="G31" s="64"/>
      <c r="H31" s="65"/>
      <c r="I31" s="65"/>
      <c r="J31" s="65"/>
      <c r="K31" s="65"/>
      <c r="L31" s="65"/>
      <c r="M31" s="66"/>
      <c r="N31" s="67"/>
      <c r="O31" s="68"/>
      <c r="P31" s="57"/>
      <c r="Q31" s="57"/>
      <c r="R31" s="47"/>
      <c r="S31" s="69"/>
    </row>
    <row r="32" spans="1:19" s="48" customFormat="1" hidden="1">
      <c r="A32" s="38">
        <f>A29+1</f>
        <v>5</v>
      </c>
      <c r="B32" s="70" t="s">
        <v>166</v>
      </c>
      <c r="C32" s="71" t="s">
        <v>73</v>
      </c>
      <c r="D32" s="173"/>
      <c r="E32" s="72">
        <v>1330000</v>
      </c>
      <c r="F32" s="73">
        <v>1300000</v>
      </c>
      <c r="G32" s="74">
        <v>1500000</v>
      </c>
      <c r="H32" s="75">
        <f t="shared" si="1"/>
        <v>375000</v>
      </c>
      <c r="I32" s="75">
        <f t="shared" si="2"/>
        <v>450000</v>
      </c>
      <c r="J32" s="75">
        <f t="shared" si="3"/>
        <v>525000</v>
      </c>
      <c r="K32" s="75">
        <f t="shared" si="4"/>
        <v>75000</v>
      </c>
      <c r="L32" s="75">
        <f t="shared" si="5"/>
        <v>75000</v>
      </c>
      <c r="M32" s="76">
        <f t="shared" si="6"/>
        <v>1500000</v>
      </c>
      <c r="N32" s="77"/>
      <c r="O32" s="78">
        <f t="shared" si="7"/>
        <v>1500000</v>
      </c>
      <c r="P32" s="57"/>
      <c r="Q32" s="57"/>
      <c r="R32" s="47"/>
      <c r="S32" s="69"/>
    </row>
    <row r="33" spans="1:20" s="48" customFormat="1" ht="21.75" hidden="1" customHeight="1">
      <c r="A33" s="38"/>
      <c r="B33" s="70"/>
      <c r="C33" s="71" t="s">
        <v>167</v>
      </c>
      <c r="D33" s="173"/>
      <c r="E33" s="74"/>
      <c r="F33" s="74"/>
      <c r="G33" s="74"/>
      <c r="H33" s="75"/>
      <c r="I33" s="75"/>
      <c r="J33" s="75"/>
      <c r="K33" s="75"/>
      <c r="L33" s="75"/>
      <c r="M33" s="76">
        <f t="shared" si="6"/>
        <v>0</v>
      </c>
      <c r="N33" s="77"/>
      <c r="O33" s="78">
        <f t="shared" si="7"/>
        <v>0</v>
      </c>
      <c r="P33" s="57"/>
      <c r="Q33" s="57"/>
      <c r="R33" s="47"/>
      <c r="S33" s="69"/>
    </row>
    <row r="34" spans="1:20" s="48" customFormat="1" ht="21.75" hidden="1" customHeight="1">
      <c r="A34" s="38"/>
      <c r="B34" s="70"/>
      <c r="C34" s="71" t="s">
        <v>168</v>
      </c>
      <c r="D34" s="173"/>
      <c r="E34" s="79">
        <v>1450000</v>
      </c>
      <c r="F34" s="74"/>
      <c r="G34" s="74"/>
      <c r="H34" s="75"/>
      <c r="I34" s="75"/>
      <c r="J34" s="75"/>
      <c r="K34" s="75"/>
      <c r="L34" s="75"/>
      <c r="M34" s="76">
        <f t="shared" si="6"/>
        <v>0</v>
      </c>
      <c r="N34" s="77"/>
      <c r="O34" s="78">
        <f t="shared" si="7"/>
        <v>0</v>
      </c>
      <c r="P34" s="57"/>
      <c r="Q34" s="57"/>
      <c r="R34" s="47"/>
      <c r="S34" s="69"/>
    </row>
    <row r="35" spans="1:20" s="48" customFormat="1" ht="21.75" hidden="1" customHeight="1">
      <c r="A35" s="38"/>
      <c r="B35" s="70"/>
      <c r="C35" s="71"/>
      <c r="D35" s="173"/>
      <c r="E35" s="79"/>
      <c r="F35" s="79"/>
      <c r="G35" s="74"/>
      <c r="H35" s="75"/>
      <c r="I35" s="75"/>
      <c r="J35" s="75"/>
      <c r="K35" s="75"/>
      <c r="L35" s="75"/>
      <c r="M35" s="76"/>
      <c r="N35" s="77"/>
      <c r="O35" s="78"/>
      <c r="P35" s="57"/>
      <c r="Q35" s="57"/>
      <c r="R35" s="47"/>
      <c r="S35" s="69"/>
    </row>
    <row r="36" spans="1:20" s="48" customFormat="1" ht="28.5" customHeight="1">
      <c r="A36" s="38">
        <f>A32+1</f>
        <v>6</v>
      </c>
      <c r="B36" s="61" t="s">
        <v>35</v>
      </c>
      <c r="C36" s="62" t="s">
        <v>36</v>
      </c>
      <c r="D36" s="172" t="s">
        <v>169</v>
      </c>
      <c r="E36" s="183">
        <v>763120</v>
      </c>
      <c r="F36" s="80"/>
      <c r="G36" s="64"/>
      <c r="H36" s="65">
        <f t="shared" si="1"/>
        <v>0</v>
      </c>
      <c r="I36" s="65">
        <f t="shared" si="2"/>
        <v>0</v>
      </c>
      <c r="J36" s="65">
        <f t="shared" si="3"/>
        <v>0</v>
      </c>
      <c r="K36" s="65">
        <f t="shared" si="4"/>
        <v>0</v>
      </c>
      <c r="L36" s="65">
        <f t="shared" si="5"/>
        <v>0</v>
      </c>
      <c r="M36" s="66">
        <f t="shared" si="6"/>
        <v>0</v>
      </c>
      <c r="N36" s="67"/>
      <c r="O36" s="68">
        <f t="shared" si="7"/>
        <v>0</v>
      </c>
      <c r="P36" s="57"/>
      <c r="Q36" s="57"/>
      <c r="R36" s="47">
        <f>E36/3.67</f>
        <v>207934.60490463214</v>
      </c>
      <c r="S36" s="47">
        <v>300000</v>
      </c>
      <c r="T36" s="69"/>
    </row>
    <row r="37" spans="1:20" s="48" customFormat="1" ht="21.75" customHeight="1">
      <c r="A37" s="38"/>
      <c r="B37" s="61"/>
      <c r="C37" s="62" t="s">
        <v>170</v>
      </c>
      <c r="D37" s="172" t="s">
        <v>169</v>
      </c>
      <c r="E37" s="205" t="s">
        <v>171</v>
      </c>
      <c r="F37" s="63"/>
      <c r="G37" s="64"/>
      <c r="H37" s="65"/>
      <c r="I37" s="65"/>
      <c r="J37" s="65"/>
      <c r="K37" s="65"/>
      <c r="L37" s="65"/>
      <c r="M37" s="66">
        <f t="shared" si="6"/>
        <v>0</v>
      </c>
      <c r="N37" s="67"/>
      <c r="O37" s="68"/>
      <c r="P37" s="57"/>
      <c r="Q37" s="57"/>
      <c r="R37" s="47" t="e">
        <f t="shared" ref="R37:R38" si="8">E37/3.67</f>
        <v>#VALUE!</v>
      </c>
      <c r="S37" s="47">
        <f>S36/25</f>
        <v>12000</v>
      </c>
      <c r="T37" s="69">
        <f>S37/3.67</f>
        <v>3269.7547683923708</v>
      </c>
    </row>
    <row r="38" spans="1:20" s="48" customFormat="1" ht="21.75" customHeight="1">
      <c r="A38" s="38"/>
      <c r="B38" s="61"/>
      <c r="C38" s="62" t="s">
        <v>172</v>
      </c>
      <c r="D38" s="172" t="s">
        <v>169</v>
      </c>
      <c r="E38" s="184">
        <v>1060000</v>
      </c>
      <c r="F38" s="63"/>
      <c r="G38" s="64"/>
      <c r="H38" s="65"/>
      <c r="I38" s="65"/>
      <c r="J38" s="65"/>
      <c r="K38" s="65"/>
      <c r="L38" s="65"/>
      <c r="M38" s="66"/>
      <c r="N38" s="67"/>
      <c r="O38" s="68"/>
      <c r="P38" s="57"/>
      <c r="Q38" s="57"/>
      <c r="R38" s="47">
        <f t="shared" si="8"/>
        <v>288828.3378746594</v>
      </c>
      <c r="S38" s="69"/>
    </row>
    <row r="39" spans="1:20" s="48" customFormat="1" ht="21.75" customHeight="1">
      <c r="A39" s="38"/>
      <c r="B39" s="61"/>
      <c r="C39" s="62"/>
      <c r="D39" s="172"/>
      <c r="E39" s="184"/>
      <c r="F39" s="63"/>
      <c r="G39" s="64"/>
      <c r="H39" s="65"/>
      <c r="I39" s="65"/>
      <c r="J39" s="65"/>
      <c r="K39" s="65"/>
      <c r="L39" s="65"/>
      <c r="M39" s="66"/>
      <c r="N39" s="67"/>
      <c r="O39" s="68"/>
      <c r="P39" s="57"/>
      <c r="Q39" s="57"/>
      <c r="R39" s="47"/>
      <c r="S39" s="69"/>
    </row>
    <row r="40" spans="1:20" s="48" customFormat="1">
      <c r="A40" s="38">
        <f>A36+1</f>
        <v>7</v>
      </c>
      <c r="B40" s="70" t="s">
        <v>173</v>
      </c>
      <c r="C40" s="98" t="s">
        <v>174</v>
      </c>
      <c r="D40" s="174"/>
      <c r="E40" s="185"/>
      <c r="F40" s="79"/>
      <c r="G40" s="74"/>
      <c r="H40" s="75">
        <f t="shared" si="1"/>
        <v>0</v>
      </c>
      <c r="I40" s="75">
        <f t="shared" si="2"/>
        <v>0</v>
      </c>
      <c r="J40" s="75">
        <f t="shared" si="3"/>
        <v>0</v>
      </c>
      <c r="K40" s="75">
        <f t="shared" si="4"/>
        <v>0</v>
      </c>
      <c r="L40" s="75">
        <f t="shared" si="5"/>
        <v>0</v>
      </c>
      <c r="M40" s="76">
        <f t="shared" si="6"/>
        <v>0</v>
      </c>
      <c r="N40" s="77"/>
      <c r="O40" s="78">
        <f t="shared" si="7"/>
        <v>0</v>
      </c>
      <c r="P40" s="57"/>
      <c r="Q40" s="57"/>
      <c r="R40" s="47"/>
      <c r="S40" s="69"/>
    </row>
    <row r="41" spans="1:20" s="48" customFormat="1">
      <c r="A41" s="38"/>
      <c r="B41" s="70"/>
      <c r="C41" s="71" t="s">
        <v>175</v>
      </c>
      <c r="D41" s="173" t="s">
        <v>169</v>
      </c>
      <c r="E41" s="185">
        <v>437500</v>
      </c>
      <c r="F41" s="79"/>
      <c r="G41" s="74"/>
      <c r="H41" s="75"/>
      <c r="I41" s="75"/>
      <c r="J41" s="75"/>
      <c r="K41" s="75"/>
      <c r="L41" s="75"/>
      <c r="M41" s="76">
        <f t="shared" si="6"/>
        <v>0</v>
      </c>
      <c r="N41" s="77"/>
      <c r="O41" s="78"/>
      <c r="P41" s="57"/>
      <c r="Q41" s="57"/>
      <c r="R41" s="47"/>
      <c r="S41" s="69"/>
    </row>
    <row r="42" spans="1:20" s="48" customFormat="1">
      <c r="A42" s="38"/>
      <c r="B42" s="70"/>
      <c r="C42" s="71" t="s">
        <v>176</v>
      </c>
      <c r="D42" s="173" t="s">
        <v>169</v>
      </c>
      <c r="E42" s="186">
        <v>386000</v>
      </c>
      <c r="F42" s="72"/>
      <c r="G42" s="74"/>
      <c r="H42" s="75"/>
      <c r="I42" s="75"/>
      <c r="J42" s="75"/>
      <c r="K42" s="75"/>
      <c r="L42" s="75"/>
      <c r="M42" s="76">
        <f>SUM(H42:L42)</f>
        <v>0</v>
      </c>
      <c r="N42" s="77"/>
      <c r="O42" s="78"/>
      <c r="P42" s="57"/>
      <c r="Q42" s="57"/>
      <c r="R42" s="47"/>
      <c r="S42" s="69"/>
    </row>
    <row r="43" spans="1:20" s="48" customFormat="1">
      <c r="A43" s="38"/>
      <c r="B43" s="70"/>
      <c r="C43" s="71" t="s">
        <v>54</v>
      </c>
      <c r="D43" s="173" t="s">
        <v>169</v>
      </c>
      <c r="E43" s="186">
        <v>75000</v>
      </c>
      <c r="F43" s="79"/>
      <c r="G43" s="74"/>
      <c r="H43" s="75"/>
      <c r="I43" s="75"/>
      <c r="J43" s="75"/>
      <c r="K43" s="75"/>
      <c r="L43" s="75"/>
      <c r="M43" s="76">
        <f>SUM(H43:L43)</f>
        <v>0</v>
      </c>
      <c r="N43" s="77"/>
      <c r="O43" s="78"/>
      <c r="P43" s="57"/>
      <c r="Q43" s="57"/>
      <c r="R43" s="47"/>
      <c r="S43" s="69"/>
    </row>
    <row r="44" spans="1:20" s="48" customFormat="1">
      <c r="A44" s="38"/>
      <c r="B44" s="70"/>
      <c r="C44" s="71" t="s">
        <v>177</v>
      </c>
      <c r="D44" s="173" t="s">
        <v>169</v>
      </c>
      <c r="E44" s="186">
        <v>500000</v>
      </c>
      <c r="F44" s="72"/>
      <c r="G44" s="74"/>
      <c r="H44" s="75"/>
      <c r="I44" s="75"/>
      <c r="J44" s="75"/>
      <c r="K44" s="75"/>
      <c r="L44" s="75"/>
      <c r="M44" s="76"/>
      <c r="N44" s="77"/>
      <c r="O44" s="78"/>
      <c r="P44" s="57"/>
      <c r="Q44" s="57"/>
      <c r="R44" s="95"/>
      <c r="S44" s="69"/>
    </row>
    <row r="45" spans="1:20" s="48" customFormat="1">
      <c r="A45" s="38"/>
      <c r="B45" s="70"/>
      <c r="C45" s="71"/>
      <c r="D45" s="173"/>
      <c r="E45" s="185"/>
      <c r="F45" s="79"/>
      <c r="G45" s="74"/>
      <c r="H45" s="75"/>
      <c r="I45" s="75"/>
      <c r="J45" s="75"/>
      <c r="K45" s="75"/>
      <c r="L45" s="75"/>
      <c r="M45" s="76"/>
      <c r="N45" s="77"/>
      <c r="O45" s="78"/>
      <c r="P45" s="57"/>
      <c r="Q45" s="57"/>
      <c r="R45" s="47"/>
      <c r="S45" s="69"/>
    </row>
    <row r="46" spans="1:20" s="48" customFormat="1" ht="30" customHeight="1">
      <c r="A46" s="38">
        <f>A40+1</f>
        <v>8</v>
      </c>
      <c r="B46" s="61" t="s">
        <v>178</v>
      </c>
      <c r="C46" s="181" t="s">
        <v>179</v>
      </c>
      <c r="D46" s="172" t="s">
        <v>169</v>
      </c>
      <c r="E46" s="187">
        <v>390000</v>
      </c>
      <c r="F46" s="111"/>
      <c r="G46" s="64"/>
      <c r="H46" s="65">
        <f t="shared" si="1"/>
        <v>0</v>
      </c>
      <c r="I46" s="65">
        <f t="shared" si="2"/>
        <v>0</v>
      </c>
      <c r="J46" s="65">
        <f t="shared" si="3"/>
        <v>0</v>
      </c>
      <c r="K46" s="65">
        <f t="shared" si="4"/>
        <v>0</v>
      </c>
      <c r="L46" s="65">
        <f t="shared" si="5"/>
        <v>0</v>
      </c>
      <c r="M46" s="66">
        <f t="shared" si="6"/>
        <v>0</v>
      </c>
      <c r="N46" s="112"/>
      <c r="O46" s="68">
        <f t="shared" si="7"/>
        <v>0</v>
      </c>
      <c r="P46" s="57"/>
      <c r="Q46" s="57"/>
      <c r="R46" s="47"/>
      <c r="S46" s="69"/>
    </row>
    <row r="47" spans="1:20" s="48" customFormat="1">
      <c r="A47" s="38"/>
      <c r="B47" s="61"/>
      <c r="C47" s="62" t="s">
        <v>180</v>
      </c>
      <c r="D47" s="172" t="s">
        <v>169</v>
      </c>
      <c r="E47" s="187">
        <v>576604</v>
      </c>
      <c r="F47" s="97"/>
      <c r="G47" s="64"/>
      <c r="H47" s="65"/>
      <c r="I47" s="65"/>
      <c r="J47" s="65"/>
      <c r="K47" s="65"/>
      <c r="L47" s="65"/>
      <c r="M47" s="66"/>
      <c r="N47" s="112"/>
      <c r="O47" s="68"/>
      <c r="P47" s="57"/>
      <c r="Q47" s="57"/>
      <c r="R47" s="47"/>
      <c r="S47" s="69"/>
    </row>
    <row r="48" spans="1:20" s="48" customFormat="1">
      <c r="A48" s="38"/>
      <c r="B48" s="61"/>
      <c r="C48" s="62" t="s">
        <v>181</v>
      </c>
      <c r="D48" s="172" t="s">
        <v>169</v>
      </c>
      <c r="E48" s="187">
        <v>423000</v>
      </c>
      <c r="F48" s="97"/>
      <c r="G48" s="64"/>
      <c r="H48" s="65"/>
      <c r="I48" s="65"/>
      <c r="J48" s="65"/>
      <c r="K48" s="65"/>
      <c r="L48" s="65"/>
      <c r="M48" s="66"/>
      <c r="N48" s="112"/>
      <c r="O48" s="68"/>
      <c r="P48" s="57"/>
      <c r="Q48" s="57"/>
      <c r="R48" s="95"/>
      <c r="S48" s="69"/>
    </row>
    <row r="49" spans="1:23" s="48" customFormat="1">
      <c r="A49" s="38"/>
      <c r="B49" s="61"/>
      <c r="C49" s="62" t="s">
        <v>182</v>
      </c>
      <c r="D49" s="172" t="s">
        <v>169</v>
      </c>
      <c r="E49" s="187"/>
      <c r="F49" s="97"/>
      <c r="G49" s="64"/>
      <c r="H49" s="65"/>
      <c r="I49" s="65"/>
      <c r="J49" s="65"/>
      <c r="K49" s="65"/>
      <c r="L49" s="65"/>
      <c r="M49" s="66"/>
      <c r="N49" s="112"/>
      <c r="O49" s="68"/>
      <c r="P49" s="57"/>
      <c r="Q49" s="57"/>
      <c r="R49" s="47"/>
      <c r="S49" s="69"/>
    </row>
    <row r="50" spans="1:23" s="48" customFormat="1">
      <c r="A50" s="38"/>
      <c r="B50" s="61"/>
      <c r="C50" s="62" t="s">
        <v>183</v>
      </c>
      <c r="D50" s="172" t="s">
        <v>169</v>
      </c>
      <c r="E50" s="187"/>
      <c r="F50" s="97"/>
      <c r="G50" s="64"/>
      <c r="H50" s="65"/>
      <c r="I50" s="65"/>
      <c r="J50" s="65"/>
      <c r="K50" s="65"/>
      <c r="L50" s="65"/>
      <c r="M50" s="66">
        <f t="shared" si="6"/>
        <v>0</v>
      </c>
      <c r="N50" s="112"/>
      <c r="O50" s="68">
        <f t="shared" si="7"/>
        <v>0</v>
      </c>
      <c r="P50" s="57"/>
      <c r="Q50" s="57"/>
      <c r="R50" s="47"/>
      <c r="S50" s="69"/>
    </row>
    <row r="51" spans="1:23" s="48" customFormat="1">
      <c r="A51" s="38"/>
      <c r="B51" s="61"/>
      <c r="C51" s="62"/>
      <c r="D51" s="172"/>
      <c r="E51" s="187"/>
      <c r="F51" s="97"/>
      <c r="G51" s="64"/>
      <c r="H51" s="65"/>
      <c r="I51" s="65"/>
      <c r="J51" s="65"/>
      <c r="K51" s="65"/>
      <c r="L51" s="65"/>
      <c r="M51" s="66"/>
      <c r="N51" s="112"/>
      <c r="O51" s="68"/>
      <c r="P51" s="57"/>
      <c r="Q51" s="57"/>
      <c r="R51" s="47"/>
      <c r="S51" s="69"/>
    </row>
    <row r="52" spans="1:23" s="48" customFormat="1" ht="23.85" customHeight="1">
      <c r="A52" s="38">
        <f>A46+1</f>
        <v>9</v>
      </c>
      <c r="B52" s="70" t="s">
        <v>184</v>
      </c>
      <c r="C52" s="71" t="s">
        <v>185</v>
      </c>
      <c r="D52" s="173" t="s">
        <v>169</v>
      </c>
      <c r="E52" s="186">
        <v>162500</v>
      </c>
      <c r="F52" s="113"/>
      <c r="G52" s="74"/>
      <c r="H52" s="75">
        <f t="shared" si="1"/>
        <v>0</v>
      </c>
      <c r="I52" s="75">
        <f t="shared" si="2"/>
        <v>0</v>
      </c>
      <c r="J52" s="75">
        <f t="shared" si="3"/>
        <v>0</v>
      </c>
      <c r="K52" s="75">
        <f t="shared" si="4"/>
        <v>0</v>
      </c>
      <c r="L52" s="75">
        <f t="shared" si="5"/>
        <v>0</v>
      </c>
      <c r="M52" s="76">
        <f t="shared" si="6"/>
        <v>0</v>
      </c>
      <c r="N52" s="77"/>
      <c r="O52" s="78">
        <f t="shared" si="7"/>
        <v>0</v>
      </c>
      <c r="P52" s="57"/>
      <c r="Q52" s="57"/>
      <c r="R52" s="47"/>
      <c r="S52" s="69"/>
    </row>
    <row r="53" spans="1:23" s="48" customFormat="1" ht="20.85" customHeight="1">
      <c r="A53" s="38"/>
      <c r="B53" s="70"/>
      <c r="C53" s="71" t="s">
        <v>186</v>
      </c>
      <c r="D53" s="173" t="s">
        <v>169</v>
      </c>
      <c r="E53" s="186">
        <v>138750</v>
      </c>
      <c r="F53" s="113"/>
      <c r="G53" s="74"/>
      <c r="H53" s="75"/>
      <c r="I53" s="75"/>
      <c r="J53" s="75"/>
      <c r="K53" s="75"/>
      <c r="L53" s="75"/>
      <c r="M53" s="76"/>
      <c r="N53" s="77"/>
      <c r="O53" s="78"/>
      <c r="P53" s="57"/>
      <c r="Q53" s="57"/>
      <c r="R53" s="47"/>
      <c r="S53" s="69"/>
    </row>
    <row r="54" spans="1:23" s="48" customFormat="1" ht="21.75" customHeight="1">
      <c r="A54" s="38"/>
      <c r="B54" s="70"/>
      <c r="C54" s="71" t="s">
        <v>187</v>
      </c>
      <c r="D54" s="173" t="s">
        <v>169</v>
      </c>
      <c r="E54" s="188">
        <v>187500</v>
      </c>
      <c r="F54" s="113"/>
      <c r="G54" s="74"/>
      <c r="H54" s="75"/>
      <c r="I54" s="75"/>
      <c r="J54" s="75"/>
      <c r="K54" s="75"/>
      <c r="L54" s="75"/>
      <c r="M54" s="76">
        <f t="shared" si="6"/>
        <v>0</v>
      </c>
      <c r="N54" s="77"/>
      <c r="O54" s="78">
        <f t="shared" si="7"/>
        <v>0</v>
      </c>
      <c r="P54" s="57"/>
      <c r="Q54" s="57"/>
      <c r="R54" s="47"/>
      <c r="S54" s="69"/>
    </row>
    <row r="55" spans="1:23" s="48" customFormat="1">
      <c r="A55" s="38"/>
      <c r="B55" s="70"/>
      <c r="C55" s="71" t="s">
        <v>188</v>
      </c>
      <c r="D55" s="173" t="s">
        <v>169</v>
      </c>
      <c r="E55" s="186">
        <v>38250</v>
      </c>
      <c r="F55" s="113"/>
      <c r="G55" s="74"/>
      <c r="H55" s="75"/>
      <c r="I55" s="75"/>
      <c r="J55" s="75"/>
      <c r="K55" s="75"/>
      <c r="L55" s="75"/>
      <c r="M55" s="76"/>
      <c r="N55" s="77"/>
      <c r="O55" s="78"/>
      <c r="P55" s="57"/>
      <c r="Q55" s="57"/>
      <c r="R55" s="47"/>
      <c r="S55" s="69"/>
    </row>
    <row r="56" spans="1:23" s="48" customFormat="1">
      <c r="A56" s="38"/>
      <c r="B56" s="70"/>
      <c r="C56" s="71"/>
      <c r="D56" s="173"/>
      <c r="E56" s="188"/>
      <c r="F56" s="113"/>
      <c r="G56" s="74"/>
      <c r="H56" s="75"/>
      <c r="I56" s="75"/>
      <c r="J56" s="75"/>
      <c r="K56" s="75"/>
      <c r="L56" s="75"/>
      <c r="M56" s="76"/>
      <c r="N56" s="77"/>
      <c r="O56" s="78"/>
      <c r="P56" s="57"/>
      <c r="Q56" s="57"/>
      <c r="R56" s="47"/>
      <c r="S56" s="69"/>
    </row>
    <row r="57" spans="1:23" s="48" customFormat="1">
      <c r="A57" s="38">
        <f>A52+1</f>
        <v>10</v>
      </c>
      <c r="B57" s="61" t="s">
        <v>189</v>
      </c>
      <c r="C57" s="62" t="s">
        <v>190</v>
      </c>
      <c r="D57" s="172" t="s">
        <v>169</v>
      </c>
      <c r="E57" s="187"/>
      <c r="F57" s="97"/>
      <c r="G57" s="64"/>
      <c r="H57" s="65">
        <f t="shared" si="1"/>
        <v>0</v>
      </c>
      <c r="I57" s="65">
        <f t="shared" si="2"/>
        <v>0</v>
      </c>
      <c r="J57" s="65">
        <f t="shared" si="3"/>
        <v>0</v>
      </c>
      <c r="K57" s="65">
        <f t="shared" si="4"/>
        <v>0</v>
      </c>
      <c r="L57" s="65">
        <f t="shared" si="5"/>
        <v>0</v>
      </c>
      <c r="M57" s="66">
        <f t="shared" si="6"/>
        <v>0</v>
      </c>
      <c r="N57" s="112"/>
      <c r="O57" s="68">
        <f t="shared" si="7"/>
        <v>0</v>
      </c>
      <c r="P57" s="57"/>
      <c r="Q57" s="57"/>
      <c r="R57" s="47"/>
      <c r="S57" s="69"/>
      <c r="W57" s="48">
        <v>294</v>
      </c>
    </row>
    <row r="58" spans="1:23" s="48" customFormat="1">
      <c r="A58" s="38"/>
      <c r="B58" s="61"/>
      <c r="C58" s="62" t="s">
        <v>50</v>
      </c>
      <c r="D58" s="172" t="s">
        <v>169</v>
      </c>
      <c r="E58" s="187">
        <v>156250</v>
      </c>
      <c r="F58" s="97"/>
      <c r="G58" s="64"/>
      <c r="H58" s="65"/>
      <c r="I58" s="65"/>
      <c r="J58" s="65"/>
      <c r="K58" s="65"/>
      <c r="L58" s="65"/>
      <c r="M58" s="66"/>
      <c r="N58" s="112"/>
      <c r="O58" s="68"/>
      <c r="P58" s="57"/>
      <c r="Q58" s="57"/>
      <c r="R58" s="95"/>
      <c r="S58" s="69"/>
    </row>
    <row r="59" spans="1:23" s="48" customFormat="1">
      <c r="A59" s="38"/>
      <c r="B59" s="61"/>
      <c r="C59" s="62"/>
      <c r="D59" s="172"/>
      <c r="E59" s="184"/>
      <c r="F59" s="63"/>
      <c r="G59" s="64"/>
      <c r="H59" s="65"/>
      <c r="I59" s="65"/>
      <c r="J59" s="65"/>
      <c r="K59" s="65"/>
      <c r="L59" s="65"/>
      <c r="M59" s="66"/>
      <c r="N59" s="67"/>
      <c r="O59" s="68"/>
      <c r="P59" s="57"/>
      <c r="Q59" s="57"/>
      <c r="R59" s="47"/>
      <c r="S59" s="69"/>
    </row>
    <row r="60" spans="1:23" s="48" customFormat="1" ht="21.75" customHeight="1">
      <c r="A60" s="38">
        <f>A57+1</f>
        <v>11</v>
      </c>
      <c r="B60" s="70" t="s">
        <v>191</v>
      </c>
      <c r="C60" s="71" t="s">
        <v>73</v>
      </c>
      <c r="D60" s="173" t="s">
        <v>169</v>
      </c>
      <c r="E60" s="185">
        <v>82500</v>
      </c>
      <c r="F60" s="79"/>
      <c r="G60" s="74">
        <v>0</v>
      </c>
      <c r="H60" s="75">
        <f t="shared" si="1"/>
        <v>0</v>
      </c>
      <c r="I60" s="75">
        <f t="shared" si="2"/>
        <v>0</v>
      </c>
      <c r="J60" s="75">
        <f t="shared" si="3"/>
        <v>0</v>
      </c>
      <c r="K60" s="75">
        <f t="shared" si="4"/>
        <v>0</v>
      </c>
      <c r="L60" s="75">
        <f t="shared" si="5"/>
        <v>0</v>
      </c>
      <c r="M60" s="76">
        <f t="shared" si="6"/>
        <v>0</v>
      </c>
      <c r="N60" s="77"/>
      <c r="O60" s="78">
        <f t="shared" si="7"/>
        <v>0</v>
      </c>
      <c r="P60" s="57"/>
      <c r="Q60" s="57"/>
      <c r="R60" s="47"/>
      <c r="S60" s="69"/>
      <c r="W60" s="48">
        <v>29</v>
      </c>
    </row>
    <row r="61" spans="1:23" s="48" customFormat="1" ht="21.75" customHeight="1">
      <c r="A61" s="38"/>
      <c r="B61" s="70"/>
      <c r="C61" s="71" t="s">
        <v>192</v>
      </c>
      <c r="D61" s="173" t="s">
        <v>169</v>
      </c>
      <c r="E61" s="185">
        <v>94650</v>
      </c>
      <c r="F61" s="79"/>
      <c r="G61" s="74"/>
      <c r="H61" s="75"/>
      <c r="I61" s="75"/>
      <c r="J61" s="75"/>
      <c r="K61" s="75"/>
      <c r="L61" s="75"/>
      <c r="M61" s="76">
        <f>SUM(H61:L61)</f>
        <v>0</v>
      </c>
      <c r="N61" s="77"/>
      <c r="O61" s="78">
        <f>M61+N61</f>
        <v>0</v>
      </c>
      <c r="P61" s="57"/>
      <c r="Q61" s="57"/>
      <c r="R61" s="47"/>
      <c r="S61" s="69"/>
      <c r="W61" s="48">
        <f>SUM(W57:W60)</f>
        <v>323</v>
      </c>
    </row>
    <row r="62" spans="1:23" s="48" customFormat="1" ht="21.75" customHeight="1">
      <c r="A62" s="38"/>
      <c r="B62" s="70"/>
      <c r="C62" s="71"/>
      <c r="D62" s="173"/>
      <c r="E62" s="185"/>
      <c r="F62" s="79"/>
      <c r="G62" s="74"/>
      <c r="H62" s="75"/>
      <c r="I62" s="75"/>
      <c r="J62" s="75"/>
      <c r="K62" s="75"/>
      <c r="L62" s="75"/>
      <c r="M62" s="76"/>
      <c r="N62" s="77"/>
      <c r="O62" s="78"/>
      <c r="P62" s="57"/>
      <c r="Q62" s="57"/>
      <c r="R62" s="47"/>
      <c r="S62" s="69"/>
    </row>
    <row r="63" spans="1:23" s="48" customFormat="1">
      <c r="A63" s="38">
        <f>A60+1</f>
        <v>12</v>
      </c>
      <c r="B63" s="61" t="s">
        <v>193</v>
      </c>
      <c r="C63" s="62" t="s">
        <v>194</v>
      </c>
      <c r="D63" s="172" t="s">
        <v>169</v>
      </c>
      <c r="E63" s="187">
        <v>72000</v>
      </c>
      <c r="F63" s="111"/>
      <c r="G63" s="64"/>
      <c r="H63" s="65">
        <f t="shared" si="1"/>
        <v>0</v>
      </c>
      <c r="I63" s="65">
        <f t="shared" si="2"/>
        <v>0</v>
      </c>
      <c r="J63" s="65">
        <f t="shared" si="3"/>
        <v>0</v>
      </c>
      <c r="K63" s="65">
        <f t="shared" si="4"/>
        <v>0</v>
      </c>
      <c r="L63" s="65">
        <f t="shared" si="5"/>
        <v>0</v>
      </c>
      <c r="M63" s="66">
        <f t="shared" si="6"/>
        <v>0</v>
      </c>
      <c r="N63" s="67"/>
      <c r="O63" s="68">
        <f t="shared" si="7"/>
        <v>0</v>
      </c>
      <c r="P63" s="57"/>
      <c r="Q63" s="57"/>
      <c r="R63" s="47"/>
      <c r="S63" s="69"/>
    </row>
    <row r="64" spans="1:23" s="48" customFormat="1">
      <c r="A64" s="38"/>
      <c r="B64" s="61"/>
      <c r="C64" s="62" t="s">
        <v>195</v>
      </c>
      <c r="D64" s="172" t="s">
        <v>169</v>
      </c>
      <c r="E64" s="187">
        <v>267710</v>
      </c>
      <c r="F64" s="111"/>
      <c r="G64" s="64"/>
      <c r="H64" s="65"/>
      <c r="I64" s="65"/>
      <c r="J64" s="65"/>
      <c r="K64" s="65"/>
      <c r="L64" s="65"/>
      <c r="M64" s="66"/>
      <c r="N64" s="67"/>
      <c r="O64" s="68"/>
      <c r="P64" s="57"/>
      <c r="Q64" s="57"/>
      <c r="R64" s="47"/>
      <c r="S64" s="69"/>
    </row>
    <row r="65" spans="1:24" s="48" customFormat="1" ht="21.75" customHeight="1">
      <c r="A65" s="38"/>
      <c r="B65" s="61"/>
      <c r="C65" s="62"/>
      <c r="D65" s="172"/>
      <c r="E65" s="184"/>
      <c r="F65" s="63"/>
      <c r="G65" s="64"/>
      <c r="H65" s="65"/>
      <c r="I65" s="65"/>
      <c r="J65" s="65"/>
      <c r="K65" s="65"/>
      <c r="L65" s="65"/>
      <c r="M65" s="66">
        <f t="shared" si="6"/>
        <v>0</v>
      </c>
      <c r="N65" s="67"/>
      <c r="O65" s="68">
        <f t="shared" si="7"/>
        <v>0</v>
      </c>
      <c r="P65" s="57"/>
      <c r="Q65" s="57"/>
      <c r="R65" s="47"/>
      <c r="S65" s="69"/>
    </row>
    <row r="66" spans="1:24" s="48" customFormat="1" ht="18" customHeight="1">
      <c r="A66" s="38">
        <f>A63+1</f>
        <v>13</v>
      </c>
      <c r="B66" s="70" t="s">
        <v>196</v>
      </c>
      <c r="C66" s="71" t="s">
        <v>197</v>
      </c>
      <c r="D66" s="173"/>
      <c r="E66" s="185"/>
      <c r="F66" s="74"/>
      <c r="G66" s="74"/>
      <c r="H66" s="75">
        <f t="shared" si="1"/>
        <v>0</v>
      </c>
      <c r="I66" s="75">
        <f t="shared" si="2"/>
        <v>0</v>
      </c>
      <c r="J66" s="75">
        <f t="shared" si="3"/>
        <v>0</v>
      </c>
      <c r="K66" s="75">
        <f t="shared" si="4"/>
        <v>0</v>
      </c>
      <c r="L66" s="75">
        <f t="shared" si="5"/>
        <v>0</v>
      </c>
      <c r="M66" s="76">
        <f t="shared" si="6"/>
        <v>0</v>
      </c>
      <c r="N66" s="77"/>
      <c r="O66" s="78">
        <f t="shared" si="7"/>
        <v>0</v>
      </c>
      <c r="P66" s="57"/>
      <c r="Q66" s="57"/>
      <c r="R66" s="47"/>
      <c r="S66" s="69"/>
    </row>
    <row r="67" spans="1:24" s="48" customFormat="1" ht="16.350000000000001" customHeight="1">
      <c r="A67" s="38"/>
      <c r="B67" s="70"/>
      <c r="C67" s="71" t="s">
        <v>198</v>
      </c>
      <c r="D67" s="173"/>
      <c r="E67" s="185"/>
      <c r="F67" s="79"/>
      <c r="G67" s="74"/>
      <c r="H67" s="75"/>
      <c r="I67" s="75"/>
      <c r="J67" s="75"/>
      <c r="K67" s="75"/>
      <c r="L67" s="75"/>
      <c r="M67" s="76">
        <f t="shared" si="6"/>
        <v>0</v>
      </c>
      <c r="N67" s="77"/>
      <c r="O67" s="78">
        <f t="shared" si="7"/>
        <v>0</v>
      </c>
      <c r="P67" s="57"/>
      <c r="Q67" s="57"/>
      <c r="R67" s="47"/>
      <c r="S67" s="69"/>
    </row>
    <row r="68" spans="1:24" s="48" customFormat="1" ht="16.350000000000001" customHeight="1">
      <c r="A68" s="38"/>
      <c r="B68" s="70"/>
      <c r="C68" s="71" t="s">
        <v>199</v>
      </c>
      <c r="D68" s="173" t="s">
        <v>169</v>
      </c>
      <c r="E68" s="186">
        <v>75000</v>
      </c>
      <c r="F68" s="74"/>
      <c r="G68" s="74"/>
      <c r="H68" s="75"/>
      <c r="I68" s="75"/>
      <c r="J68" s="75"/>
      <c r="K68" s="75"/>
      <c r="L68" s="75"/>
      <c r="M68" s="76">
        <f t="shared" si="6"/>
        <v>0</v>
      </c>
      <c r="N68" s="77"/>
      <c r="O68" s="78">
        <f t="shared" si="7"/>
        <v>0</v>
      </c>
      <c r="P68" s="57"/>
      <c r="Q68" s="57"/>
      <c r="R68" s="47"/>
      <c r="S68" s="69"/>
    </row>
    <row r="69" spans="1:24" s="48" customFormat="1" ht="14.85" customHeight="1">
      <c r="A69" s="38"/>
      <c r="B69" s="70"/>
      <c r="C69" s="71" t="s">
        <v>200</v>
      </c>
      <c r="D69" s="173" t="s">
        <v>169</v>
      </c>
      <c r="E69" s="186">
        <v>99000</v>
      </c>
      <c r="F69" s="74"/>
      <c r="G69" s="74"/>
      <c r="H69" s="75"/>
      <c r="I69" s="75"/>
      <c r="J69" s="75"/>
      <c r="K69" s="75"/>
      <c r="L69" s="75"/>
      <c r="M69" s="76"/>
      <c r="N69" s="77"/>
      <c r="O69" s="78"/>
      <c r="P69" s="57"/>
      <c r="Q69" s="57"/>
      <c r="R69" s="47"/>
      <c r="S69" s="69"/>
    </row>
    <row r="70" spans="1:24" s="48" customFormat="1" ht="21.75" customHeight="1">
      <c r="A70" s="38"/>
      <c r="B70" s="70"/>
      <c r="C70" s="71"/>
      <c r="D70" s="173"/>
      <c r="E70" s="189"/>
      <c r="F70" s="74"/>
      <c r="G70" s="74"/>
      <c r="H70" s="75"/>
      <c r="I70" s="75"/>
      <c r="J70" s="75"/>
      <c r="K70" s="75"/>
      <c r="L70" s="75"/>
      <c r="M70" s="76"/>
      <c r="N70" s="77"/>
      <c r="O70" s="78"/>
      <c r="P70" s="57"/>
      <c r="Q70" s="57"/>
      <c r="R70" s="47"/>
      <c r="S70" s="69"/>
    </row>
    <row r="71" spans="1:24" s="48" customFormat="1">
      <c r="A71" s="38">
        <f>A66+1</f>
        <v>14</v>
      </c>
      <c r="B71" s="61" t="s">
        <v>201</v>
      </c>
      <c r="C71" s="62" t="s">
        <v>44</v>
      </c>
      <c r="D71" s="172" t="s">
        <v>169</v>
      </c>
      <c r="E71" s="184">
        <v>72500</v>
      </c>
      <c r="F71" s="97"/>
      <c r="G71" s="64"/>
      <c r="H71" s="65">
        <f t="shared" si="1"/>
        <v>0</v>
      </c>
      <c r="I71" s="65">
        <f t="shared" si="2"/>
        <v>0</v>
      </c>
      <c r="J71" s="65">
        <f t="shared" si="3"/>
        <v>0</v>
      </c>
      <c r="K71" s="65">
        <f t="shared" si="4"/>
        <v>0</v>
      </c>
      <c r="L71" s="65">
        <f t="shared" si="5"/>
        <v>0</v>
      </c>
      <c r="M71" s="66">
        <f t="shared" si="6"/>
        <v>0</v>
      </c>
      <c r="N71" s="112"/>
      <c r="O71" s="68">
        <f t="shared" si="7"/>
        <v>0</v>
      </c>
      <c r="P71" s="57"/>
      <c r="Q71" s="57"/>
      <c r="R71" s="47"/>
      <c r="S71" s="69"/>
    </row>
    <row r="72" spans="1:24" s="48" customFormat="1">
      <c r="A72" s="38"/>
      <c r="B72" s="61"/>
      <c r="C72" s="62" t="s">
        <v>202</v>
      </c>
      <c r="D72" s="172" t="s">
        <v>169</v>
      </c>
      <c r="E72" s="184">
        <v>150000</v>
      </c>
      <c r="F72" s="97"/>
      <c r="G72" s="64"/>
      <c r="H72" s="65"/>
      <c r="I72" s="65"/>
      <c r="J72" s="65"/>
      <c r="K72" s="65"/>
      <c r="L72" s="65"/>
      <c r="M72" s="66"/>
      <c r="N72" s="112"/>
      <c r="O72" s="68"/>
      <c r="P72" s="57"/>
      <c r="Q72" s="57"/>
      <c r="R72" s="95"/>
      <c r="S72" s="69"/>
    </row>
    <row r="73" spans="1:24" s="48" customFormat="1">
      <c r="A73" s="38"/>
      <c r="B73" s="89"/>
      <c r="C73" s="90" t="s">
        <v>192</v>
      </c>
      <c r="D73" s="175" t="s">
        <v>169</v>
      </c>
      <c r="E73" s="184">
        <v>175000</v>
      </c>
      <c r="F73" s="91"/>
      <c r="G73" s="92"/>
      <c r="H73" s="65"/>
      <c r="I73" s="65"/>
      <c r="J73" s="65"/>
      <c r="K73" s="65"/>
      <c r="L73" s="65"/>
      <c r="M73" s="66"/>
      <c r="N73" s="93"/>
      <c r="O73" s="94"/>
      <c r="P73" s="57"/>
      <c r="Q73" s="57"/>
      <c r="R73" s="95"/>
      <c r="S73" s="69"/>
    </row>
    <row r="74" spans="1:24" s="48" customFormat="1">
      <c r="A74" s="38"/>
      <c r="B74" s="89"/>
      <c r="C74" s="90" t="s">
        <v>181</v>
      </c>
      <c r="D74" s="175" t="s">
        <v>169</v>
      </c>
      <c r="E74" s="184">
        <v>240000</v>
      </c>
      <c r="F74" s="91"/>
      <c r="G74" s="92"/>
      <c r="H74" s="65"/>
      <c r="I74" s="65"/>
      <c r="J74" s="65"/>
      <c r="K74" s="65"/>
      <c r="L74" s="65"/>
      <c r="M74" s="66"/>
      <c r="N74" s="93"/>
      <c r="O74" s="94"/>
      <c r="P74" s="57"/>
      <c r="Q74" s="57"/>
      <c r="R74" s="95"/>
      <c r="S74" s="69"/>
    </row>
    <row r="75" spans="1:24" s="48" customFormat="1">
      <c r="A75" s="38"/>
      <c r="B75" s="61"/>
      <c r="C75" s="62"/>
      <c r="D75" s="172"/>
      <c r="E75" s="184"/>
      <c r="F75" s="63"/>
      <c r="G75" s="64"/>
      <c r="H75" s="65"/>
      <c r="I75" s="65"/>
      <c r="J75" s="65"/>
      <c r="K75" s="65"/>
      <c r="L75" s="65"/>
      <c r="M75" s="66"/>
      <c r="N75" s="67"/>
      <c r="O75" s="68"/>
      <c r="P75" s="57"/>
      <c r="Q75" s="57"/>
      <c r="R75" s="47"/>
      <c r="S75" s="69"/>
      <c r="X75" s="114">
        <v>30000</v>
      </c>
    </row>
    <row r="76" spans="1:24" s="48" customFormat="1">
      <c r="A76" s="38">
        <f>A71+1</f>
        <v>15</v>
      </c>
      <c r="B76" s="70" t="s">
        <v>203</v>
      </c>
      <c r="C76" s="116" t="s">
        <v>204</v>
      </c>
      <c r="D76" s="176" t="s">
        <v>169</v>
      </c>
      <c r="E76" s="185"/>
      <c r="F76" s="79"/>
      <c r="G76" s="74"/>
      <c r="H76" s="75">
        <f t="shared" si="1"/>
        <v>0</v>
      </c>
      <c r="I76" s="75">
        <f t="shared" si="2"/>
        <v>0</v>
      </c>
      <c r="J76" s="75">
        <f t="shared" si="3"/>
        <v>0</v>
      </c>
      <c r="K76" s="75">
        <f t="shared" si="4"/>
        <v>0</v>
      </c>
      <c r="L76" s="75">
        <f t="shared" si="5"/>
        <v>0</v>
      </c>
      <c r="M76" s="76">
        <f t="shared" si="6"/>
        <v>0</v>
      </c>
      <c r="N76" s="77"/>
      <c r="O76" s="78">
        <f t="shared" si="7"/>
        <v>0</v>
      </c>
      <c r="P76" s="57"/>
      <c r="Q76" s="57"/>
      <c r="R76" s="47"/>
      <c r="S76" s="69"/>
      <c r="X76" s="114">
        <v>25000</v>
      </c>
    </row>
    <row r="77" spans="1:24" s="48" customFormat="1" ht="27">
      <c r="A77" s="38"/>
      <c r="B77" s="99"/>
      <c r="C77" s="182" t="s">
        <v>205</v>
      </c>
      <c r="D77" s="177" t="s">
        <v>169</v>
      </c>
      <c r="E77" s="190">
        <v>64000</v>
      </c>
      <c r="F77" s="115"/>
      <c r="G77" s="100"/>
      <c r="H77" s="101"/>
      <c r="I77" s="101"/>
      <c r="J77" s="101"/>
      <c r="K77" s="101"/>
      <c r="L77" s="101"/>
      <c r="M77" s="102">
        <f t="shared" si="6"/>
        <v>0</v>
      </c>
      <c r="N77" s="103"/>
      <c r="O77" s="104">
        <f t="shared" si="7"/>
        <v>0</v>
      </c>
      <c r="P77" s="57"/>
      <c r="Q77" s="57"/>
      <c r="R77" s="47"/>
      <c r="S77" s="69"/>
      <c r="X77" s="114">
        <v>25000</v>
      </c>
    </row>
    <row r="78" spans="1:24" s="48" customFormat="1">
      <c r="A78" s="38"/>
      <c r="B78" s="70"/>
      <c r="C78" s="116"/>
      <c r="D78" s="176"/>
      <c r="E78" s="189"/>
      <c r="F78" s="74"/>
      <c r="G78" s="74"/>
      <c r="H78" s="75"/>
      <c r="I78" s="75"/>
      <c r="J78" s="75"/>
      <c r="K78" s="75"/>
      <c r="L78" s="75"/>
      <c r="M78" s="76"/>
      <c r="N78" s="77"/>
      <c r="O78" s="78"/>
      <c r="P78" s="57"/>
      <c r="Q78" s="57"/>
      <c r="R78" s="47"/>
      <c r="S78" s="69"/>
      <c r="X78" s="114"/>
    </row>
    <row r="79" spans="1:24" s="48" customFormat="1">
      <c r="A79" s="38">
        <f>A76+1</f>
        <v>16</v>
      </c>
      <c r="B79" s="61" t="s">
        <v>206</v>
      </c>
      <c r="C79" s="62" t="s">
        <v>207</v>
      </c>
      <c r="D79" s="172"/>
      <c r="E79" s="187" t="s">
        <v>171</v>
      </c>
      <c r="F79" s="97"/>
      <c r="G79" s="64"/>
      <c r="H79" s="65">
        <f t="shared" si="1"/>
        <v>0</v>
      </c>
      <c r="I79" s="65">
        <f t="shared" si="2"/>
        <v>0</v>
      </c>
      <c r="J79" s="65">
        <f t="shared" si="3"/>
        <v>0</v>
      </c>
      <c r="K79" s="65">
        <f t="shared" si="4"/>
        <v>0</v>
      </c>
      <c r="L79" s="65">
        <f t="shared" si="5"/>
        <v>0</v>
      </c>
      <c r="M79" s="66">
        <f t="shared" si="6"/>
        <v>0</v>
      </c>
      <c r="N79" s="67"/>
      <c r="O79" s="68">
        <f t="shared" si="7"/>
        <v>0</v>
      </c>
      <c r="P79" s="57"/>
      <c r="Q79" s="57"/>
      <c r="R79" s="47"/>
      <c r="S79" s="69"/>
      <c r="X79" s="114">
        <v>12500</v>
      </c>
    </row>
    <row r="80" spans="1:24" s="48" customFormat="1">
      <c r="A80" s="38"/>
      <c r="B80" s="61"/>
      <c r="C80" s="62" t="s">
        <v>61</v>
      </c>
      <c r="D80" s="172" t="s">
        <v>169</v>
      </c>
      <c r="E80" s="191">
        <v>50000</v>
      </c>
      <c r="F80" s="117"/>
      <c r="G80" s="64"/>
      <c r="H80" s="65"/>
      <c r="I80" s="65"/>
      <c r="J80" s="65"/>
      <c r="K80" s="65"/>
      <c r="L80" s="65"/>
      <c r="M80" s="66"/>
      <c r="N80" s="67"/>
      <c r="O80" s="68"/>
      <c r="P80" s="57"/>
      <c r="Q80" s="57"/>
      <c r="R80" s="47"/>
      <c r="S80" s="69"/>
      <c r="X80" s="114">
        <v>5000</v>
      </c>
    </row>
    <row r="81" spans="1:24" s="48" customFormat="1">
      <c r="A81" s="38"/>
      <c r="B81" s="61"/>
      <c r="C81" s="62" t="s">
        <v>208</v>
      </c>
      <c r="D81" s="172"/>
      <c r="E81" s="191"/>
      <c r="F81" s="117"/>
      <c r="G81" s="64"/>
      <c r="H81" s="65"/>
      <c r="I81" s="65"/>
      <c r="J81" s="65"/>
      <c r="K81" s="65"/>
      <c r="L81" s="65"/>
      <c r="M81" s="66"/>
      <c r="N81" s="67"/>
      <c r="O81" s="68"/>
      <c r="P81" s="57"/>
      <c r="Q81" s="57"/>
      <c r="R81" s="47"/>
      <c r="S81" s="69"/>
      <c r="X81" s="114"/>
    </row>
    <row r="82" spans="1:24" s="48" customFormat="1">
      <c r="A82" s="38"/>
      <c r="B82" s="61"/>
      <c r="C82" s="62" t="s">
        <v>209</v>
      </c>
      <c r="D82" s="172" t="s">
        <v>169</v>
      </c>
      <c r="E82" s="374" t="s">
        <v>171</v>
      </c>
      <c r="F82" s="117"/>
      <c r="G82" s="64"/>
      <c r="H82" s="65"/>
      <c r="I82" s="65"/>
      <c r="J82" s="65"/>
      <c r="K82" s="65"/>
      <c r="L82" s="65"/>
      <c r="M82" s="66"/>
      <c r="N82" s="67"/>
      <c r="O82" s="68"/>
      <c r="P82" s="57"/>
      <c r="Q82" s="57"/>
      <c r="R82" s="47"/>
      <c r="S82" s="69"/>
      <c r="X82" s="114"/>
    </row>
    <row r="83" spans="1:24" s="48" customFormat="1">
      <c r="A83" s="38"/>
      <c r="B83" s="61"/>
      <c r="C83" s="62" t="s">
        <v>210</v>
      </c>
      <c r="D83" s="172"/>
      <c r="E83" s="191"/>
      <c r="F83" s="117"/>
      <c r="G83" s="64"/>
      <c r="H83" s="65"/>
      <c r="I83" s="65"/>
      <c r="J83" s="65"/>
      <c r="K83" s="65"/>
      <c r="L83" s="65"/>
      <c r="M83" s="66"/>
      <c r="N83" s="67"/>
      <c r="O83" s="68"/>
      <c r="P83" s="57"/>
      <c r="Q83" s="57"/>
      <c r="R83" s="47"/>
      <c r="S83" s="69"/>
      <c r="X83" s="114"/>
    </row>
    <row r="84" spans="1:24" s="48" customFormat="1">
      <c r="A84" s="38"/>
      <c r="B84" s="61"/>
      <c r="C84" s="62"/>
      <c r="D84" s="172"/>
      <c r="E84" s="184"/>
      <c r="F84" s="63"/>
      <c r="G84" s="64"/>
      <c r="H84" s="65"/>
      <c r="I84" s="65"/>
      <c r="J84" s="65"/>
      <c r="K84" s="65"/>
      <c r="L84" s="65"/>
      <c r="M84" s="66"/>
      <c r="N84" s="67"/>
      <c r="O84" s="68"/>
      <c r="P84" s="57"/>
      <c r="Q84" s="57"/>
      <c r="R84" s="47"/>
      <c r="S84" s="69"/>
      <c r="X84" s="114"/>
    </row>
    <row r="85" spans="1:24" s="48" customFormat="1">
      <c r="A85" s="38">
        <f>A79+1</f>
        <v>17</v>
      </c>
      <c r="B85" s="70" t="s">
        <v>41</v>
      </c>
      <c r="C85" s="71" t="s">
        <v>42</v>
      </c>
      <c r="D85" s="173" t="s">
        <v>169</v>
      </c>
      <c r="E85" s="185">
        <v>58000</v>
      </c>
      <c r="F85" s="74"/>
      <c r="G85" s="74"/>
      <c r="H85" s="75">
        <f t="shared" si="1"/>
        <v>0</v>
      </c>
      <c r="I85" s="75">
        <f t="shared" si="2"/>
        <v>0</v>
      </c>
      <c r="J85" s="75">
        <f t="shared" si="3"/>
        <v>0</v>
      </c>
      <c r="K85" s="75">
        <f t="shared" si="4"/>
        <v>0</v>
      </c>
      <c r="L85" s="75">
        <f t="shared" si="5"/>
        <v>0</v>
      </c>
      <c r="M85" s="76">
        <f t="shared" si="6"/>
        <v>0</v>
      </c>
      <c r="N85" s="77"/>
      <c r="O85" s="78">
        <f t="shared" si="7"/>
        <v>0</v>
      </c>
      <c r="P85" s="57"/>
      <c r="Q85" s="57"/>
      <c r="R85" s="47"/>
      <c r="S85" s="69"/>
      <c r="X85" s="114">
        <f>SUM(X75:X80)</f>
        <v>97500</v>
      </c>
    </row>
    <row r="86" spans="1:24" s="48" customFormat="1">
      <c r="A86" s="38"/>
      <c r="B86" s="70"/>
      <c r="C86" s="71" t="s">
        <v>182</v>
      </c>
      <c r="D86" s="173" t="s">
        <v>169</v>
      </c>
      <c r="E86" s="185"/>
      <c r="F86" s="79"/>
      <c r="G86" s="74"/>
      <c r="H86" s="75"/>
      <c r="I86" s="75"/>
      <c r="J86" s="75"/>
      <c r="K86" s="75"/>
      <c r="L86" s="75"/>
      <c r="M86" s="76"/>
      <c r="N86" s="77"/>
      <c r="O86" s="78"/>
      <c r="P86" s="57"/>
      <c r="Q86" s="57"/>
      <c r="R86" s="95"/>
      <c r="S86" s="69"/>
      <c r="X86" s="114"/>
    </row>
    <row r="87" spans="1:24" s="48" customFormat="1">
      <c r="A87" s="38"/>
      <c r="B87" s="105"/>
      <c r="C87" s="106" t="s">
        <v>211</v>
      </c>
      <c r="D87" s="178" t="s">
        <v>169</v>
      </c>
      <c r="E87" s="204" t="s">
        <v>212</v>
      </c>
      <c r="F87" s="108"/>
      <c r="G87" s="107"/>
      <c r="H87" s="75"/>
      <c r="I87" s="75"/>
      <c r="J87" s="75"/>
      <c r="K87" s="75"/>
      <c r="L87" s="75"/>
      <c r="M87" s="76"/>
      <c r="N87" s="109"/>
      <c r="O87" s="110"/>
      <c r="P87" s="57"/>
      <c r="Q87" s="57"/>
      <c r="R87" s="95"/>
      <c r="S87" s="69"/>
      <c r="X87" s="114"/>
    </row>
    <row r="88" spans="1:24" s="48" customFormat="1">
      <c r="A88" s="38"/>
      <c r="B88" s="105"/>
      <c r="C88" s="106" t="s">
        <v>181</v>
      </c>
      <c r="D88" s="178" t="s">
        <v>169</v>
      </c>
      <c r="E88" s="185">
        <v>112000</v>
      </c>
      <c r="F88" s="108"/>
      <c r="G88" s="107"/>
      <c r="H88" s="75"/>
      <c r="I88" s="75"/>
      <c r="J88" s="75"/>
      <c r="K88" s="75"/>
      <c r="L88" s="75"/>
      <c r="M88" s="76"/>
      <c r="N88" s="109"/>
      <c r="O88" s="110"/>
      <c r="P88" s="57"/>
      <c r="Q88" s="57"/>
      <c r="R88" s="95"/>
      <c r="S88" s="69"/>
      <c r="X88" s="114"/>
    </row>
    <row r="89" spans="1:24" s="48" customFormat="1">
      <c r="A89" s="38"/>
      <c r="B89" s="70"/>
      <c r="C89" s="71"/>
      <c r="D89" s="173"/>
      <c r="E89" s="185"/>
      <c r="F89" s="79"/>
      <c r="G89" s="74"/>
      <c r="H89" s="75"/>
      <c r="I89" s="75"/>
      <c r="J89" s="75"/>
      <c r="K89" s="75"/>
      <c r="L89" s="75"/>
      <c r="M89" s="76"/>
      <c r="N89" s="77"/>
      <c r="O89" s="78"/>
      <c r="P89" s="57"/>
      <c r="Q89" s="57"/>
      <c r="R89" s="47"/>
      <c r="S89" s="69"/>
    </row>
    <row r="90" spans="1:24" s="48" customFormat="1">
      <c r="A90" s="38">
        <f>A85+1</f>
        <v>18</v>
      </c>
      <c r="B90" s="61" t="s">
        <v>213</v>
      </c>
      <c r="C90" s="62" t="s">
        <v>214</v>
      </c>
      <c r="D90" s="172"/>
      <c r="E90" s="184"/>
      <c r="F90" s="63"/>
      <c r="G90" s="64"/>
      <c r="H90" s="65">
        <f t="shared" si="1"/>
        <v>0</v>
      </c>
      <c r="I90" s="65">
        <f t="shared" si="2"/>
        <v>0</v>
      </c>
      <c r="J90" s="65">
        <f t="shared" si="3"/>
        <v>0</v>
      </c>
      <c r="K90" s="65">
        <f t="shared" si="4"/>
        <v>0</v>
      </c>
      <c r="L90" s="65">
        <f t="shared" si="5"/>
        <v>0</v>
      </c>
      <c r="M90" s="66">
        <f t="shared" si="6"/>
        <v>0</v>
      </c>
      <c r="N90" s="67"/>
      <c r="O90" s="68">
        <f t="shared" si="7"/>
        <v>0</v>
      </c>
      <c r="P90" s="57"/>
      <c r="Q90" s="57"/>
      <c r="R90" s="47"/>
      <c r="S90" s="69"/>
    </row>
    <row r="91" spans="1:24" s="48" customFormat="1">
      <c r="A91" s="38"/>
      <c r="B91" s="81"/>
      <c r="C91" s="82" t="s">
        <v>215</v>
      </c>
      <c r="D91" s="179" t="s">
        <v>169</v>
      </c>
      <c r="E91" s="192"/>
      <c r="F91" s="83"/>
      <c r="G91" s="84"/>
      <c r="H91" s="85"/>
      <c r="I91" s="85"/>
      <c r="J91" s="85"/>
      <c r="K91" s="85"/>
      <c r="L91" s="85"/>
      <c r="M91" s="86"/>
      <c r="N91" s="87"/>
      <c r="O91" s="88"/>
      <c r="P91" s="57"/>
      <c r="Q91" s="57"/>
      <c r="R91" s="47"/>
      <c r="S91" s="69"/>
    </row>
    <row r="92" spans="1:24" s="48" customFormat="1" ht="21.75" customHeight="1">
      <c r="A92" s="38"/>
      <c r="B92" s="61"/>
      <c r="C92" s="62"/>
      <c r="D92" s="172"/>
      <c r="E92" s="193"/>
      <c r="F92" s="64"/>
      <c r="G92" s="64"/>
      <c r="H92" s="65"/>
      <c r="I92" s="65"/>
      <c r="J92" s="65"/>
      <c r="K92" s="65"/>
      <c r="L92" s="65"/>
      <c r="M92" s="66"/>
      <c r="N92" s="67"/>
      <c r="O92" s="68">
        <f t="shared" si="7"/>
        <v>0</v>
      </c>
      <c r="P92" s="57"/>
      <c r="Q92" s="57"/>
      <c r="R92" s="47"/>
      <c r="S92" s="69"/>
    </row>
    <row r="93" spans="1:24" s="48" customFormat="1">
      <c r="A93" s="38">
        <f>A90+1</f>
        <v>19</v>
      </c>
      <c r="B93" s="70" t="s">
        <v>216</v>
      </c>
      <c r="C93" s="71" t="s">
        <v>214</v>
      </c>
      <c r="D93" s="173"/>
      <c r="E93" s="185"/>
      <c r="F93" s="79"/>
      <c r="G93" s="74"/>
      <c r="H93" s="75">
        <f t="shared" si="1"/>
        <v>0</v>
      </c>
      <c r="I93" s="75">
        <f t="shared" si="2"/>
        <v>0</v>
      </c>
      <c r="J93" s="75">
        <f t="shared" si="3"/>
        <v>0</v>
      </c>
      <c r="K93" s="75">
        <f t="shared" si="4"/>
        <v>0</v>
      </c>
      <c r="L93" s="75">
        <f t="shared" si="5"/>
        <v>0</v>
      </c>
      <c r="M93" s="76">
        <f t="shared" si="6"/>
        <v>0</v>
      </c>
      <c r="N93" s="77"/>
      <c r="O93" s="68">
        <f t="shared" si="7"/>
        <v>0</v>
      </c>
      <c r="P93" s="57"/>
      <c r="Q93" s="57"/>
      <c r="R93" s="47"/>
      <c r="S93" s="69"/>
    </row>
    <row r="94" spans="1:24" s="48" customFormat="1">
      <c r="A94" s="38"/>
      <c r="B94" s="70"/>
      <c r="C94" s="71" t="s">
        <v>215</v>
      </c>
      <c r="D94" s="173" t="s">
        <v>169</v>
      </c>
      <c r="E94" s="185"/>
      <c r="F94" s="79"/>
      <c r="G94" s="74"/>
      <c r="H94" s="75"/>
      <c r="I94" s="75"/>
      <c r="J94" s="75"/>
      <c r="K94" s="75"/>
      <c r="L94" s="75"/>
      <c r="M94" s="76"/>
      <c r="N94" s="77"/>
      <c r="O94" s="68"/>
      <c r="P94" s="57"/>
      <c r="Q94" s="57"/>
      <c r="R94" s="47"/>
      <c r="S94" s="69"/>
    </row>
    <row r="95" spans="1:24" s="48" customFormat="1">
      <c r="A95" s="38"/>
      <c r="B95" s="70"/>
      <c r="C95" s="71"/>
      <c r="D95" s="173"/>
      <c r="E95" s="185"/>
      <c r="F95" s="79"/>
      <c r="G95" s="74"/>
      <c r="H95" s="75"/>
      <c r="I95" s="75"/>
      <c r="J95" s="75"/>
      <c r="K95" s="75"/>
      <c r="L95" s="75"/>
      <c r="M95" s="76"/>
      <c r="N95" s="77"/>
      <c r="O95" s="68">
        <f t="shared" si="7"/>
        <v>0</v>
      </c>
      <c r="P95" s="57"/>
      <c r="Q95" s="57"/>
      <c r="R95" s="47"/>
      <c r="S95" s="69"/>
    </row>
    <row r="96" spans="1:24" s="48" customFormat="1">
      <c r="A96" s="38">
        <f>A93+1</f>
        <v>20</v>
      </c>
      <c r="B96" s="61" t="s">
        <v>217</v>
      </c>
      <c r="C96" s="62" t="s">
        <v>78</v>
      </c>
      <c r="D96" s="172" t="s">
        <v>169</v>
      </c>
      <c r="E96" s="184">
        <v>16040</v>
      </c>
      <c r="F96" s="63"/>
      <c r="G96" s="64"/>
      <c r="H96" s="65">
        <f t="shared" si="1"/>
        <v>0</v>
      </c>
      <c r="I96" s="65">
        <f t="shared" si="2"/>
        <v>0</v>
      </c>
      <c r="J96" s="65">
        <f t="shared" si="3"/>
        <v>0</v>
      </c>
      <c r="K96" s="65">
        <f t="shared" si="4"/>
        <v>0</v>
      </c>
      <c r="L96" s="65">
        <f t="shared" si="5"/>
        <v>0</v>
      </c>
      <c r="M96" s="66">
        <f t="shared" si="6"/>
        <v>0</v>
      </c>
      <c r="N96" s="67"/>
      <c r="O96" s="68">
        <f t="shared" si="7"/>
        <v>0</v>
      </c>
      <c r="P96" s="57"/>
      <c r="Q96" s="57"/>
      <c r="R96" s="47"/>
      <c r="S96" s="69"/>
    </row>
    <row r="97" spans="1:19" s="48" customFormat="1">
      <c r="A97" s="38"/>
      <c r="B97" s="61"/>
      <c r="C97" s="62"/>
      <c r="D97" s="172"/>
      <c r="E97" s="184"/>
      <c r="F97" s="63"/>
      <c r="G97" s="64"/>
      <c r="H97" s="65"/>
      <c r="I97" s="65"/>
      <c r="J97" s="65"/>
      <c r="K97" s="65"/>
      <c r="L97" s="65"/>
      <c r="M97" s="66"/>
      <c r="N97" s="67"/>
      <c r="O97" s="68"/>
      <c r="P97" s="57"/>
      <c r="Q97" s="57"/>
      <c r="R97" s="47"/>
      <c r="S97" s="69"/>
    </row>
    <row r="98" spans="1:19" s="48" customFormat="1">
      <c r="A98" s="38">
        <f>A96+1</f>
        <v>21</v>
      </c>
      <c r="B98" s="70" t="s">
        <v>218</v>
      </c>
      <c r="C98" s="71" t="s">
        <v>219</v>
      </c>
      <c r="D98" s="173" t="s">
        <v>169</v>
      </c>
      <c r="E98" s="185">
        <v>40500</v>
      </c>
      <c r="F98" s="79"/>
      <c r="G98" s="74"/>
      <c r="H98" s="75">
        <f t="shared" si="1"/>
        <v>0</v>
      </c>
      <c r="I98" s="75">
        <f t="shared" si="2"/>
        <v>0</v>
      </c>
      <c r="J98" s="75">
        <f t="shared" si="3"/>
        <v>0</v>
      </c>
      <c r="K98" s="75">
        <f t="shared" si="4"/>
        <v>0</v>
      </c>
      <c r="L98" s="75">
        <f t="shared" si="5"/>
        <v>0</v>
      </c>
      <c r="M98" s="76">
        <f>SUM(H98:L98)</f>
        <v>0</v>
      </c>
      <c r="N98" s="77"/>
      <c r="O98" s="78">
        <f t="shared" si="7"/>
        <v>0</v>
      </c>
      <c r="P98" s="57"/>
      <c r="Q98" s="57"/>
      <c r="R98" s="47"/>
      <c r="S98" s="69"/>
    </row>
    <row r="99" spans="1:19" s="48" customFormat="1">
      <c r="A99" s="38"/>
      <c r="B99" s="70"/>
      <c r="C99" s="71"/>
      <c r="D99" s="173"/>
      <c r="E99" s="194"/>
      <c r="F99" s="73"/>
      <c r="G99" s="74"/>
      <c r="H99" s="75"/>
      <c r="I99" s="75"/>
      <c r="J99" s="75"/>
      <c r="K99" s="75"/>
      <c r="L99" s="75"/>
      <c r="M99" s="76">
        <f>SUM(H99:L99)</f>
        <v>0</v>
      </c>
      <c r="N99" s="77"/>
      <c r="O99" s="78"/>
      <c r="P99" s="57"/>
      <c r="Q99" s="57"/>
      <c r="R99" s="47"/>
      <c r="S99" s="69"/>
    </row>
    <row r="100" spans="1:19" s="48" customFormat="1">
      <c r="A100" s="38"/>
      <c r="B100" s="61" t="s">
        <v>56</v>
      </c>
      <c r="C100" s="62" t="s">
        <v>220</v>
      </c>
      <c r="D100" s="172" t="s">
        <v>169</v>
      </c>
      <c r="E100" s="184">
        <v>39000</v>
      </c>
      <c r="F100" s="63"/>
      <c r="G100" s="64"/>
      <c r="H100" s="65"/>
      <c r="I100" s="65"/>
      <c r="J100" s="65"/>
      <c r="K100" s="65"/>
      <c r="L100" s="65"/>
      <c r="M100" s="66"/>
      <c r="N100" s="67"/>
      <c r="O100" s="68"/>
      <c r="P100" s="57"/>
      <c r="Q100" s="57"/>
      <c r="R100" s="47"/>
      <c r="S100" s="69"/>
    </row>
    <row r="101" spans="1:19" s="48" customFormat="1">
      <c r="A101" s="38"/>
      <c r="B101" s="61"/>
      <c r="C101" s="62" t="s">
        <v>57</v>
      </c>
      <c r="D101" s="172" t="s">
        <v>169</v>
      </c>
      <c r="E101" s="184">
        <v>118200</v>
      </c>
      <c r="F101" s="63"/>
      <c r="G101" s="64"/>
      <c r="H101" s="65"/>
      <c r="I101" s="65"/>
      <c r="J101" s="65"/>
      <c r="K101" s="65"/>
      <c r="L101" s="65"/>
      <c r="M101" s="66"/>
      <c r="N101" s="67"/>
      <c r="O101" s="68"/>
      <c r="P101" s="57"/>
      <c r="Q101" s="57"/>
      <c r="R101" s="47"/>
      <c r="S101" s="69"/>
    </row>
    <row r="102" spans="1:19" s="48" customFormat="1">
      <c r="A102" s="38"/>
      <c r="B102" s="61"/>
      <c r="C102" s="62"/>
      <c r="D102" s="172"/>
      <c r="E102" s="184"/>
      <c r="F102" s="63"/>
      <c r="G102" s="64"/>
      <c r="H102" s="65"/>
      <c r="I102" s="65"/>
      <c r="J102" s="65"/>
      <c r="K102" s="65"/>
      <c r="L102" s="65"/>
      <c r="M102" s="66"/>
      <c r="N102" s="67"/>
      <c r="O102" s="68"/>
      <c r="P102" s="57"/>
      <c r="Q102" s="57"/>
      <c r="R102" s="47"/>
      <c r="S102" s="69"/>
    </row>
    <row r="103" spans="1:19" s="48" customFormat="1">
      <c r="A103" s="38">
        <v>22</v>
      </c>
      <c r="B103" s="61" t="s">
        <v>221</v>
      </c>
      <c r="C103" s="62" t="s">
        <v>195</v>
      </c>
      <c r="D103" s="172" t="s">
        <v>169</v>
      </c>
      <c r="E103" s="184">
        <v>2395880</v>
      </c>
      <c r="F103" s="63"/>
      <c r="G103" s="64"/>
      <c r="H103" s="65"/>
      <c r="I103" s="65"/>
      <c r="J103" s="65"/>
      <c r="K103" s="65"/>
      <c r="L103" s="65"/>
      <c r="M103" s="66"/>
      <c r="N103" s="67"/>
      <c r="O103" s="68"/>
      <c r="P103" s="57"/>
      <c r="Q103" s="57"/>
      <c r="R103" s="47"/>
      <c r="S103" s="69"/>
    </row>
    <row r="104" spans="1:19" s="48" customFormat="1">
      <c r="A104" s="38"/>
      <c r="B104" s="61"/>
      <c r="C104" s="62" t="s">
        <v>222</v>
      </c>
      <c r="D104" s="172" t="s">
        <v>169</v>
      </c>
      <c r="E104" s="184"/>
      <c r="F104" s="63"/>
      <c r="G104" s="64"/>
      <c r="H104" s="65"/>
      <c r="I104" s="65"/>
      <c r="J104" s="65"/>
      <c r="K104" s="65"/>
      <c r="L104" s="65"/>
      <c r="M104" s="66"/>
      <c r="N104" s="67"/>
      <c r="O104" s="68"/>
      <c r="P104" s="57"/>
      <c r="Q104" s="57"/>
      <c r="R104" s="47"/>
      <c r="S104" s="69"/>
    </row>
    <row r="105" spans="1:19" s="48" customFormat="1">
      <c r="A105" s="38"/>
      <c r="B105" s="61"/>
      <c r="C105" s="62"/>
      <c r="D105" s="172"/>
      <c r="E105" s="195"/>
      <c r="F105" s="96"/>
      <c r="G105" s="64"/>
      <c r="H105" s="65"/>
      <c r="I105" s="65"/>
      <c r="J105" s="65"/>
      <c r="K105" s="65"/>
      <c r="L105" s="65"/>
      <c r="M105" s="66"/>
      <c r="N105" s="67"/>
      <c r="O105" s="68"/>
      <c r="P105" s="57"/>
      <c r="Q105" s="57"/>
      <c r="R105" s="47"/>
      <c r="S105" s="69"/>
    </row>
    <row r="106" spans="1:19" s="48" customFormat="1" ht="21.75" customHeight="1">
      <c r="A106" s="38"/>
      <c r="B106" s="118" t="s">
        <v>223</v>
      </c>
      <c r="C106" s="119" t="s">
        <v>224</v>
      </c>
      <c r="D106" s="180"/>
      <c r="E106" s="196"/>
      <c r="F106" s="120"/>
      <c r="G106" s="121"/>
      <c r="H106" s="122">
        <f t="shared" si="1"/>
        <v>0</v>
      </c>
      <c r="I106" s="122">
        <f t="shared" si="2"/>
        <v>0</v>
      </c>
      <c r="J106" s="122">
        <f t="shared" si="3"/>
        <v>0</v>
      </c>
      <c r="K106" s="122">
        <f t="shared" si="4"/>
        <v>0</v>
      </c>
      <c r="L106" s="122">
        <f t="shared" si="5"/>
        <v>0</v>
      </c>
      <c r="M106" s="123">
        <f t="shared" ref="M106" si="9">SUM(H106:L106)</f>
        <v>0</v>
      </c>
      <c r="N106" s="124"/>
      <c r="O106" s="125">
        <f t="shared" ref="O106" si="10">M106+N106</f>
        <v>0</v>
      </c>
      <c r="P106" s="57"/>
      <c r="Q106" s="57"/>
      <c r="R106" s="47"/>
      <c r="S106" s="69"/>
    </row>
    <row r="107" spans="1:19" s="48" customFormat="1" ht="21.75" customHeight="1">
      <c r="A107" s="38">
        <f>A103+1</f>
        <v>23</v>
      </c>
      <c r="B107" s="118" t="s">
        <v>225</v>
      </c>
      <c r="C107" s="119" t="s">
        <v>224</v>
      </c>
      <c r="D107" s="180"/>
      <c r="E107" s="196"/>
      <c r="F107" s="120"/>
      <c r="G107" s="121"/>
      <c r="H107" s="122">
        <f t="shared" si="1"/>
        <v>0</v>
      </c>
      <c r="I107" s="122">
        <f t="shared" si="2"/>
        <v>0</v>
      </c>
      <c r="J107" s="122">
        <f t="shared" si="3"/>
        <v>0</v>
      </c>
      <c r="K107" s="122">
        <f t="shared" si="4"/>
        <v>0</v>
      </c>
      <c r="L107" s="122">
        <f t="shared" si="5"/>
        <v>0</v>
      </c>
      <c r="M107" s="123">
        <f t="shared" si="6"/>
        <v>0</v>
      </c>
      <c r="N107" s="124"/>
      <c r="O107" s="125">
        <f t="shared" si="7"/>
        <v>0</v>
      </c>
      <c r="P107" s="57"/>
      <c r="Q107" s="57"/>
      <c r="R107" s="47"/>
      <c r="S107" s="69"/>
    </row>
    <row r="108" spans="1:19" s="48" customFormat="1" ht="21.75" customHeight="1">
      <c r="A108" s="38"/>
      <c r="B108" s="118" t="s">
        <v>226</v>
      </c>
      <c r="C108" s="119" t="s">
        <v>224</v>
      </c>
      <c r="D108" s="180"/>
      <c r="E108" s="196"/>
      <c r="F108" s="120"/>
      <c r="G108" s="121"/>
      <c r="H108" s="122"/>
      <c r="I108" s="122"/>
      <c r="J108" s="122"/>
      <c r="K108" s="122"/>
      <c r="L108" s="122"/>
      <c r="M108" s="123"/>
      <c r="N108" s="124"/>
      <c r="O108" s="125"/>
      <c r="P108" s="57"/>
      <c r="Q108" s="57"/>
      <c r="R108" s="47"/>
      <c r="S108" s="69"/>
    </row>
    <row r="109" spans="1:19" s="48" customFormat="1" ht="21.75" customHeight="1">
      <c r="A109" s="38"/>
      <c r="B109" s="118" t="s">
        <v>227</v>
      </c>
      <c r="C109" s="119" t="s">
        <v>224</v>
      </c>
      <c r="D109" s="180"/>
      <c r="E109" s="196"/>
      <c r="F109" s="120"/>
      <c r="G109" s="121"/>
      <c r="H109" s="122">
        <f t="shared" si="1"/>
        <v>0</v>
      </c>
      <c r="I109" s="122">
        <f t="shared" si="2"/>
        <v>0</v>
      </c>
      <c r="J109" s="122">
        <f t="shared" si="3"/>
        <v>0</v>
      </c>
      <c r="K109" s="122">
        <f t="shared" si="4"/>
        <v>0</v>
      </c>
      <c r="L109" s="122">
        <f t="shared" si="5"/>
        <v>0</v>
      </c>
      <c r="M109" s="123"/>
      <c r="N109" s="124"/>
      <c r="O109" s="125"/>
      <c r="P109" s="57"/>
      <c r="Q109" s="57"/>
      <c r="R109" s="47"/>
      <c r="S109" s="69"/>
    </row>
    <row r="110" spans="1:19" s="48" customFormat="1" ht="21.75" customHeight="1" thickBot="1">
      <c r="A110" s="38">
        <f>A107+1</f>
        <v>24</v>
      </c>
      <c r="B110" s="118" t="s">
        <v>228</v>
      </c>
      <c r="C110" s="126"/>
      <c r="D110" s="134"/>
      <c r="E110" s="197"/>
      <c r="F110" s="121"/>
      <c r="G110" s="121"/>
      <c r="H110" s="122">
        <f t="shared" si="1"/>
        <v>0</v>
      </c>
      <c r="I110" s="122">
        <f t="shared" si="2"/>
        <v>0</v>
      </c>
      <c r="J110" s="122">
        <f t="shared" si="3"/>
        <v>0</v>
      </c>
      <c r="K110" s="122">
        <f t="shared" si="4"/>
        <v>0</v>
      </c>
      <c r="L110" s="122">
        <f t="shared" si="5"/>
        <v>0</v>
      </c>
      <c r="M110" s="123">
        <f t="shared" si="6"/>
        <v>0</v>
      </c>
      <c r="N110" s="124"/>
      <c r="O110" s="125">
        <f t="shared" si="7"/>
        <v>0</v>
      </c>
      <c r="P110" s="57"/>
      <c r="Q110" s="57"/>
      <c r="R110" s="47"/>
      <c r="S110" s="69"/>
    </row>
    <row r="111" spans="1:19" s="48" customFormat="1" ht="21.75" customHeight="1">
      <c r="A111" s="38">
        <f t="shared" ref="A111:A116" si="11">A110+1</f>
        <v>25</v>
      </c>
      <c r="B111" s="127" t="s">
        <v>229</v>
      </c>
      <c r="C111" s="128"/>
      <c r="D111" s="129"/>
      <c r="E111" s="198"/>
      <c r="F111" s="130">
        <f t="shared" ref="F111:O111" si="12">SUM(F13:F110)</f>
        <v>10037552.5</v>
      </c>
      <c r="G111" s="130">
        <f t="shared" si="12"/>
        <v>10570565</v>
      </c>
      <c r="H111" s="130">
        <f t="shared" si="12"/>
        <v>2081250</v>
      </c>
      <c r="I111" s="130">
        <f t="shared" si="12"/>
        <v>2497500</v>
      </c>
      <c r="J111" s="130">
        <f t="shared" si="12"/>
        <v>2913750</v>
      </c>
      <c r="K111" s="130">
        <f t="shared" si="12"/>
        <v>416250</v>
      </c>
      <c r="L111" s="130">
        <f t="shared" si="12"/>
        <v>416250</v>
      </c>
      <c r="M111" s="131">
        <f t="shared" si="12"/>
        <v>8325000</v>
      </c>
      <c r="N111" s="130">
        <f t="shared" si="12"/>
        <v>0</v>
      </c>
      <c r="O111" s="132">
        <f t="shared" si="12"/>
        <v>8325000</v>
      </c>
      <c r="P111" s="57"/>
      <c r="Q111" s="57"/>
      <c r="R111" s="47"/>
      <c r="S111" s="69"/>
    </row>
    <row r="112" spans="1:19" s="48" customFormat="1" ht="22.35" customHeight="1">
      <c r="A112" s="38">
        <f t="shared" si="11"/>
        <v>26</v>
      </c>
      <c r="B112" s="133" t="s">
        <v>230</v>
      </c>
      <c r="C112" s="126" t="s">
        <v>21</v>
      </c>
      <c r="D112" s="134"/>
      <c r="E112" s="199"/>
      <c r="F112" s="135">
        <v>2000000</v>
      </c>
      <c r="G112" s="135">
        <v>2000000</v>
      </c>
      <c r="H112" s="122">
        <f t="shared" si="1"/>
        <v>500000</v>
      </c>
      <c r="I112" s="122">
        <f t="shared" ref="I112:I116" si="13">G112*$I$2</f>
        <v>600000</v>
      </c>
      <c r="J112" s="122">
        <f t="shared" ref="J112:J116" si="14">G112*$J$2</f>
        <v>700000</v>
      </c>
      <c r="K112" s="122">
        <f t="shared" ref="K112:K116" si="15">G112*$K$2</f>
        <v>100000</v>
      </c>
      <c r="L112" s="122">
        <f t="shared" ref="L112:L116" si="16">G112*$L$2</f>
        <v>100000</v>
      </c>
      <c r="M112" s="123">
        <f>SUM(H112:L112)</f>
        <v>2000000</v>
      </c>
      <c r="N112" s="124"/>
      <c r="O112" s="125">
        <f t="shared" si="7"/>
        <v>2000000</v>
      </c>
      <c r="P112" s="57"/>
      <c r="Q112" s="57"/>
      <c r="R112" s="47"/>
      <c r="S112" s="69"/>
    </row>
    <row r="113" spans="1:24" s="48" customFormat="1" ht="22.35" customHeight="1">
      <c r="A113" s="38">
        <f t="shared" si="11"/>
        <v>27</v>
      </c>
      <c r="B113" s="118" t="s">
        <v>231</v>
      </c>
      <c r="C113" s="126" t="s">
        <v>21</v>
      </c>
      <c r="D113" s="134"/>
      <c r="E113" s="199"/>
      <c r="F113" s="135">
        <v>2500000</v>
      </c>
      <c r="G113" s="135">
        <v>2500000</v>
      </c>
      <c r="H113" s="122">
        <f t="shared" si="1"/>
        <v>625000</v>
      </c>
      <c r="I113" s="122">
        <f t="shared" si="13"/>
        <v>750000</v>
      </c>
      <c r="J113" s="122">
        <f t="shared" si="14"/>
        <v>875000</v>
      </c>
      <c r="K113" s="122">
        <f t="shared" si="15"/>
        <v>125000</v>
      </c>
      <c r="L113" s="122">
        <f t="shared" si="16"/>
        <v>125000</v>
      </c>
      <c r="M113" s="123">
        <f t="shared" ref="M113:M116" si="17">SUM(H113:L113)</f>
        <v>2500000</v>
      </c>
      <c r="N113" s="124"/>
      <c r="O113" s="125">
        <f t="shared" si="7"/>
        <v>2500000</v>
      </c>
      <c r="P113" s="57"/>
      <c r="Q113" s="57"/>
      <c r="R113" s="47"/>
      <c r="S113" s="69"/>
    </row>
    <row r="114" spans="1:24" s="48" customFormat="1" ht="22.35" customHeight="1">
      <c r="A114" s="38">
        <f t="shared" si="11"/>
        <v>28</v>
      </c>
      <c r="B114" s="118" t="s">
        <v>232</v>
      </c>
      <c r="C114" s="126" t="s">
        <v>21</v>
      </c>
      <c r="D114" s="134"/>
      <c r="E114" s="199"/>
      <c r="F114" s="135"/>
      <c r="G114" s="135"/>
      <c r="H114" s="122"/>
      <c r="I114" s="122"/>
      <c r="J114" s="122"/>
      <c r="K114" s="122"/>
      <c r="L114" s="122"/>
      <c r="M114" s="123"/>
      <c r="N114" s="124"/>
      <c r="O114" s="125"/>
      <c r="P114" s="57"/>
      <c r="Q114" s="57"/>
      <c r="R114" s="47"/>
      <c r="S114" s="69"/>
    </row>
    <row r="115" spans="1:24" s="48" customFormat="1" ht="22.35" customHeight="1">
      <c r="A115" s="38">
        <f t="shared" si="11"/>
        <v>29</v>
      </c>
      <c r="B115" s="118" t="s">
        <v>233</v>
      </c>
      <c r="C115" s="126" t="s">
        <v>21</v>
      </c>
      <c r="D115" s="134"/>
      <c r="E115" s="199"/>
      <c r="F115" s="134"/>
      <c r="G115" s="134"/>
      <c r="H115" s="122">
        <f t="shared" si="1"/>
        <v>0</v>
      </c>
      <c r="I115" s="122">
        <f t="shared" si="13"/>
        <v>0</v>
      </c>
      <c r="J115" s="122">
        <f t="shared" si="14"/>
        <v>0</v>
      </c>
      <c r="K115" s="122">
        <f t="shared" si="15"/>
        <v>0</v>
      </c>
      <c r="L115" s="122">
        <f t="shared" si="16"/>
        <v>0</v>
      </c>
      <c r="M115" s="123">
        <f t="shared" si="17"/>
        <v>0</v>
      </c>
      <c r="N115" s="124"/>
      <c r="O115" s="125">
        <f t="shared" si="7"/>
        <v>0</v>
      </c>
      <c r="P115" s="57"/>
      <c r="Q115" s="57"/>
      <c r="R115" s="47"/>
      <c r="S115" s="69"/>
    </row>
    <row r="116" spans="1:24" s="48" customFormat="1" ht="21.75" customHeight="1">
      <c r="A116" s="38">
        <f t="shared" si="11"/>
        <v>30</v>
      </c>
      <c r="B116" s="136" t="s">
        <v>234</v>
      </c>
      <c r="C116" s="137" t="s">
        <v>21</v>
      </c>
      <c r="D116" s="42"/>
      <c r="E116" s="200"/>
      <c r="F116" s="121">
        <v>100000</v>
      </c>
      <c r="G116" s="121">
        <v>100000</v>
      </c>
      <c r="H116" s="122">
        <f t="shared" si="1"/>
        <v>25000</v>
      </c>
      <c r="I116" s="122">
        <f t="shared" si="13"/>
        <v>30000</v>
      </c>
      <c r="J116" s="122">
        <f t="shared" si="14"/>
        <v>35000</v>
      </c>
      <c r="K116" s="122">
        <f t="shared" si="15"/>
        <v>5000</v>
      </c>
      <c r="L116" s="122">
        <f t="shared" si="16"/>
        <v>5000</v>
      </c>
      <c r="M116" s="123">
        <f t="shared" si="17"/>
        <v>100000</v>
      </c>
      <c r="N116" s="124"/>
      <c r="O116" s="125">
        <f t="shared" si="7"/>
        <v>100000</v>
      </c>
      <c r="P116" s="57"/>
      <c r="Q116" s="57"/>
      <c r="R116" s="47"/>
      <c r="S116" s="69"/>
    </row>
    <row r="117" spans="1:24" s="48" customFormat="1" ht="21.75" customHeight="1" thickBot="1">
      <c r="A117" s="38"/>
      <c r="B117" s="138"/>
      <c r="C117" s="139"/>
      <c r="D117" s="140"/>
      <c r="E117" s="201"/>
      <c r="F117" s="140"/>
      <c r="G117" s="140"/>
      <c r="H117" s="141"/>
      <c r="I117" s="141"/>
      <c r="J117" s="141"/>
      <c r="K117" s="141"/>
      <c r="L117" s="141"/>
      <c r="M117" s="142"/>
      <c r="N117" s="143"/>
      <c r="O117" s="144">
        <f>M117+N117</f>
        <v>0</v>
      </c>
      <c r="P117" s="57"/>
      <c r="Q117" s="57"/>
      <c r="R117" s="47"/>
      <c r="S117" s="69"/>
    </row>
    <row r="118" spans="1:24" s="48" customFormat="1" ht="22.5" customHeight="1">
      <c r="A118" s="38"/>
      <c r="B118" s="127" t="s">
        <v>235</v>
      </c>
      <c r="C118" s="130"/>
      <c r="D118" s="130"/>
      <c r="E118" s="198"/>
      <c r="F118" s="130">
        <f t="shared" ref="F118:O118" si="18">SUM(F111:F117)</f>
        <v>14637552.5</v>
      </c>
      <c r="G118" s="130">
        <f t="shared" si="18"/>
        <v>15170565</v>
      </c>
      <c r="H118" s="130">
        <f t="shared" si="18"/>
        <v>3231250</v>
      </c>
      <c r="I118" s="130">
        <f t="shared" si="18"/>
        <v>3877500</v>
      </c>
      <c r="J118" s="130">
        <f t="shared" si="18"/>
        <v>4523750</v>
      </c>
      <c r="K118" s="130">
        <f t="shared" si="18"/>
        <v>646250</v>
      </c>
      <c r="L118" s="130">
        <f t="shared" si="18"/>
        <v>646250</v>
      </c>
      <c r="M118" s="131">
        <f t="shared" si="18"/>
        <v>12925000</v>
      </c>
      <c r="N118" s="145">
        <f t="shared" si="18"/>
        <v>0</v>
      </c>
      <c r="O118" s="132">
        <f t="shared" si="18"/>
        <v>12925000</v>
      </c>
      <c r="P118" s="38"/>
      <c r="Q118" s="38"/>
      <c r="R118" s="47"/>
    </row>
    <row r="119" spans="1:24" s="48" customFormat="1" ht="22.5" customHeight="1">
      <c r="A119" s="38"/>
      <c r="B119" s="146" t="s">
        <v>236</v>
      </c>
      <c r="C119" s="147"/>
      <c r="D119" s="147"/>
      <c r="E119" s="202"/>
      <c r="F119" s="148">
        <f>F118*15%</f>
        <v>2195632.875</v>
      </c>
      <c r="G119" s="148">
        <f>G118*15%</f>
        <v>2275584.75</v>
      </c>
      <c r="H119" s="149">
        <f t="shared" ref="H119:H120" si="19">G119*$H$2</f>
        <v>568896.1875</v>
      </c>
      <c r="I119" s="149">
        <f t="shared" ref="I119:I120" si="20">G119*$I$2</f>
        <v>682675.42499999993</v>
      </c>
      <c r="J119" s="149">
        <f t="shared" ref="J119:J120" si="21">G119*$J$2</f>
        <v>796454.66249999998</v>
      </c>
      <c r="K119" s="149">
        <f t="shared" ref="K119:K120" si="22">G119*$K$2</f>
        <v>113779.2375</v>
      </c>
      <c r="L119" s="149">
        <f t="shared" ref="L119:L120" si="23">G119*$L$2</f>
        <v>113779.2375</v>
      </c>
      <c r="M119" s="150">
        <f>SUM(H119:L119)</f>
        <v>2275584.7499999995</v>
      </c>
      <c r="N119" s="151"/>
      <c r="O119" s="152">
        <f t="shared" ref="O119:O120" si="24">M119+N119</f>
        <v>2275584.7499999995</v>
      </c>
      <c r="P119" s="38"/>
      <c r="Q119" s="38"/>
      <c r="R119" s="47"/>
    </row>
    <row r="120" spans="1:24" s="48" customFormat="1" ht="22.5" customHeight="1" thickBot="1">
      <c r="A120" s="38"/>
      <c r="B120" s="153" t="s">
        <v>237</v>
      </c>
      <c r="C120" s="154"/>
      <c r="D120" s="155"/>
      <c r="E120" s="202"/>
      <c r="F120" s="147">
        <f>P122</f>
        <v>0</v>
      </c>
      <c r="G120" s="147">
        <f>R122</f>
        <v>1938461.0833333333</v>
      </c>
      <c r="H120" s="149">
        <f t="shared" si="19"/>
        <v>484615.27083333331</v>
      </c>
      <c r="I120" s="149">
        <f t="shared" si="20"/>
        <v>581538.32499999995</v>
      </c>
      <c r="J120" s="149">
        <f t="shared" si="21"/>
        <v>678461.37916666665</v>
      </c>
      <c r="K120" s="149">
        <f t="shared" si="22"/>
        <v>96923.054166666669</v>
      </c>
      <c r="L120" s="149">
        <f t="shared" si="23"/>
        <v>96923.054166666669</v>
      </c>
      <c r="M120" s="150">
        <f>SUM(H120:L120)</f>
        <v>1938461.0833333333</v>
      </c>
      <c r="N120" s="156"/>
      <c r="O120" s="152">
        <f t="shared" si="24"/>
        <v>1938461.0833333333</v>
      </c>
      <c r="P120" s="38"/>
      <c r="Q120" s="38"/>
      <c r="R120" s="47">
        <f>G118+G119</f>
        <v>17446149.75</v>
      </c>
    </row>
    <row r="121" spans="1:24" s="48" customFormat="1" ht="22.5" customHeight="1" thickBot="1">
      <c r="A121" s="38"/>
      <c r="B121" s="157" t="s">
        <v>238</v>
      </c>
      <c r="C121" s="158"/>
      <c r="D121" s="159"/>
      <c r="E121" s="203"/>
      <c r="F121" s="160">
        <f t="shared" ref="F121:O121" si="25">SUM(F118:F120)</f>
        <v>16833185.375</v>
      </c>
      <c r="G121" s="160">
        <f t="shared" si="25"/>
        <v>19384610.833333332</v>
      </c>
      <c r="H121" s="160">
        <f>SUM(H118:H120)</f>
        <v>4284761.458333333</v>
      </c>
      <c r="I121" s="160">
        <f t="shared" si="25"/>
        <v>5141713.75</v>
      </c>
      <c r="J121" s="160">
        <f t="shared" si="25"/>
        <v>5998666.041666666</v>
      </c>
      <c r="K121" s="160">
        <f t="shared" si="25"/>
        <v>856952.29166666674</v>
      </c>
      <c r="L121" s="160">
        <f t="shared" si="25"/>
        <v>856952.29166666674</v>
      </c>
      <c r="M121" s="161">
        <f t="shared" si="25"/>
        <v>17139045.833333332</v>
      </c>
      <c r="N121" s="162">
        <f t="shared" si="25"/>
        <v>0</v>
      </c>
      <c r="O121" s="163">
        <f t="shared" si="25"/>
        <v>17139045.833333332</v>
      </c>
      <c r="P121" s="57"/>
      <c r="Q121" s="57"/>
      <c r="R121" s="47">
        <f>R120/0.9</f>
        <v>19384610.833333332</v>
      </c>
    </row>
    <row r="122" spans="1:24" s="167" customFormat="1" ht="18.75" customHeight="1">
      <c r="A122" s="164"/>
      <c r="B122" s="165"/>
      <c r="C122" s="164"/>
      <c r="D122" s="164"/>
      <c r="E122" s="164"/>
      <c r="F122" s="164"/>
      <c r="G122" s="164"/>
      <c r="H122" s="3">
        <v>0.25</v>
      </c>
      <c r="I122" s="3">
        <v>0.3</v>
      </c>
      <c r="J122" s="3">
        <v>0.35</v>
      </c>
      <c r="K122" s="3">
        <v>0.05</v>
      </c>
      <c r="L122" s="3">
        <v>0.05</v>
      </c>
      <c r="M122" s="4"/>
      <c r="N122" s="4"/>
      <c r="O122" s="4"/>
      <c r="P122" s="164"/>
      <c r="Q122" s="164"/>
      <c r="R122" s="166">
        <f>R121*10%</f>
        <v>1938461.0833333333</v>
      </c>
    </row>
    <row r="124" spans="1:24">
      <c r="H124" s="168">
        <v>0.2</v>
      </c>
      <c r="I124" s="3">
        <v>0.3</v>
      </c>
      <c r="J124" s="3">
        <v>0.35</v>
      </c>
      <c r="K124" s="3">
        <v>0.1</v>
      </c>
      <c r="L124" s="3">
        <v>0.05</v>
      </c>
    </row>
    <row r="125" spans="1:24" ht="14.1" thickBot="1"/>
    <row r="126" spans="1:24" s="1" customFormat="1" ht="14.1" thickBot="1">
      <c r="B126" s="2"/>
      <c r="H126" s="160">
        <v>1522419.7810606062</v>
      </c>
      <c r="I126" s="160">
        <v>1826903.7372727273</v>
      </c>
      <c r="J126" s="160">
        <v>2131387.6934848484</v>
      </c>
      <c r="K126" s="160">
        <v>304483.95621212124</v>
      </c>
      <c r="L126" s="160">
        <v>304483.95621212124</v>
      </c>
      <c r="M126" s="161">
        <v>6089679.124242424</v>
      </c>
      <c r="R126" s="5"/>
      <c r="S126" s="2"/>
      <c r="T126" s="2"/>
      <c r="U126" s="2"/>
      <c r="V126" s="2"/>
      <c r="W126" s="2"/>
      <c r="X126" s="2"/>
    </row>
    <row r="127" spans="1:24" s="1" customFormat="1">
      <c r="B127" s="2"/>
      <c r="H127" s="169">
        <f>H124*$M$126</f>
        <v>1217935.8248484849</v>
      </c>
      <c r="I127" s="169">
        <f t="shared" ref="I127:L127" si="26">I124*$M$126</f>
        <v>1826903.7372727271</v>
      </c>
      <c r="J127" s="169">
        <f t="shared" si="26"/>
        <v>2131387.6934848484</v>
      </c>
      <c r="K127" s="169">
        <f t="shared" si="26"/>
        <v>608967.91242424247</v>
      </c>
      <c r="L127" s="169">
        <f t="shared" si="26"/>
        <v>304483.95621212124</v>
      </c>
      <c r="R127" s="5"/>
      <c r="S127" s="2"/>
      <c r="T127" s="2"/>
      <c r="U127" s="2"/>
      <c r="V127" s="2"/>
      <c r="W127" s="2"/>
      <c r="X127" s="2"/>
    </row>
  </sheetData>
  <mergeCells count="4">
    <mergeCell ref="B7:O7"/>
    <mergeCell ref="B9:B10"/>
    <mergeCell ref="C9:C10"/>
    <mergeCell ref="B12:C12"/>
  </mergeCells>
  <printOptions horizontalCentered="1"/>
  <pageMargins left="0.5" right="0.25" top="0.5" bottom="0.5" header="0.5" footer="0.5"/>
  <pageSetup paperSize="8" scale="33" firstPageNumber="4" orientation="portrait" r:id="rId1"/>
  <headerFooter>
    <oddFooter>&amp;L&amp;G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62A3-F8CB-41A8-938E-1BCDE174DB4B}">
  <sheetPr codeName="Sheet3">
    <tabColor rgb="FF92D050"/>
    <pageSetUpPr fitToPage="1"/>
  </sheetPr>
  <dimension ref="A2:X123"/>
  <sheetViews>
    <sheetView view="pageBreakPreview" zoomScale="85" zoomScaleNormal="85" zoomScaleSheetLayoutView="85" workbookViewId="0">
      <pane xSplit="2" ySplit="12" topLeftCell="C41" activePane="bottomRight" state="frozen"/>
      <selection pane="bottomRight" activeCell="D16" sqref="D16"/>
      <selection pane="bottomLeft" activeCell="D16" sqref="D16"/>
      <selection pane="topRight" activeCell="D16" sqref="D16"/>
    </sheetView>
  </sheetViews>
  <sheetFormatPr defaultColWidth="8.5703125" defaultRowHeight="13.5"/>
  <cols>
    <col min="1" max="1" width="8.5703125" style="1"/>
    <col min="2" max="2" width="52.5703125" style="2" bestFit="1" customWidth="1"/>
    <col min="3" max="4" width="33.42578125" style="1" customWidth="1"/>
    <col min="5" max="7" width="21.5703125" style="1" customWidth="1"/>
    <col min="8" max="12" width="15.42578125" style="1" customWidth="1"/>
    <col min="13" max="13" width="16.42578125" style="1" bestFit="1" customWidth="1"/>
    <col min="14" max="14" width="13.42578125" style="1" customWidth="1"/>
    <col min="15" max="15" width="16.42578125" style="1" bestFit="1" customWidth="1"/>
    <col min="16" max="16" width="11.42578125" style="1" bestFit="1" customWidth="1"/>
    <col min="17" max="17" width="14.5703125" style="1" customWidth="1"/>
    <col min="18" max="18" width="14.42578125" style="5" customWidth="1"/>
    <col min="19" max="19" width="12.5703125" style="2" customWidth="1"/>
    <col min="20" max="20" width="14.42578125" style="2" bestFit="1" customWidth="1"/>
    <col min="21" max="16384" width="8.5703125" style="2"/>
  </cols>
  <sheetData>
    <row r="2" spans="1:18" ht="10.5" customHeight="1">
      <c r="H2" s="3">
        <v>0.25</v>
      </c>
      <c r="I2" s="3">
        <v>0.3</v>
      </c>
      <c r="J2" s="3">
        <v>0.35</v>
      </c>
      <c r="K2" s="3">
        <v>0.05</v>
      </c>
      <c r="L2" s="3">
        <v>0.05</v>
      </c>
      <c r="M2" s="4"/>
    </row>
    <row r="3" spans="1:18" s="9" customFormat="1" ht="16.5" customHeight="1">
      <c r="A3" s="6"/>
      <c r="B3" s="7" t="s">
        <v>239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8"/>
    </row>
    <row r="4" spans="1:18" s="9" customFormat="1" ht="15" customHeight="1">
      <c r="A4" s="6"/>
      <c r="B4" s="7" t="s">
        <v>129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</row>
    <row r="5" spans="1:18" s="9" customFormat="1" ht="7.5" customHeight="1">
      <c r="A5" s="6"/>
      <c r="B5" s="10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8"/>
    </row>
    <row r="6" spans="1:18" ht="6" customHeight="1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8" ht="14.1" thickBot="1">
      <c r="B7" s="599" t="s">
        <v>130</v>
      </c>
      <c r="C7" s="600"/>
      <c r="D7" s="600"/>
      <c r="E7" s="600"/>
      <c r="F7" s="600"/>
      <c r="G7" s="600"/>
      <c r="H7" s="600"/>
      <c r="I7" s="600"/>
      <c r="J7" s="600"/>
      <c r="K7" s="600"/>
      <c r="L7" s="600"/>
      <c r="M7" s="600"/>
      <c r="N7" s="600"/>
      <c r="O7" s="600"/>
    </row>
    <row r="8" spans="1:18" ht="14.1" thickBo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8" s="20" customFormat="1" ht="15.75" customHeight="1">
      <c r="A9" s="13"/>
      <c r="B9" s="601" t="s">
        <v>131</v>
      </c>
      <c r="C9" s="603" t="s">
        <v>132</v>
      </c>
      <c r="D9" s="14"/>
      <c r="E9" s="14"/>
      <c r="F9" s="14"/>
      <c r="G9" s="14"/>
      <c r="H9" s="15"/>
      <c r="I9" s="15"/>
      <c r="J9" s="15"/>
      <c r="K9" s="15"/>
      <c r="L9" s="15"/>
      <c r="M9" s="16"/>
      <c r="N9" s="17"/>
      <c r="O9" s="18"/>
      <c r="P9" s="13"/>
      <c r="Q9" s="13"/>
      <c r="R9" s="19"/>
    </row>
    <row r="10" spans="1:18" s="20" customFormat="1" ht="77.099999999999994" customHeight="1" thickBot="1">
      <c r="A10" s="13"/>
      <c r="B10" s="602"/>
      <c r="C10" s="603"/>
      <c r="D10" s="21" t="s">
        <v>133</v>
      </c>
      <c r="E10" s="21" t="s">
        <v>134</v>
      </c>
      <c r="F10" s="21" t="s">
        <v>135</v>
      </c>
      <c r="G10" s="22" t="s">
        <v>8</v>
      </c>
      <c r="H10" s="23" t="s">
        <v>136</v>
      </c>
      <c r="I10" s="23" t="s">
        <v>137</v>
      </c>
      <c r="J10" s="23" t="s">
        <v>138</v>
      </c>
      <c r="K10" s="23" t="s">
        <v>139</v>
      </c>
      <c r="L10" s="23" t="s">
        <v>140</v>
      </c>
      <c r="M10" s="24" t="s">
        <v>141</v>
      </c>
      <c r="N10" s="25" t="s">
        <v>142</v>
      </c>
      <c r="O10" s="26" t="s">
        <v>143</v>
      </c>
      <c r="P10" s="13"/>
      <c r="Q10" s="13"/>
      <c r="R10" s="27"/>
    </row>
    <row r="11" spans="1:18" s="20" customFormat="1" ht="22.35" customHeight="1" thickBot="1">
      <c r="A11" s="13"/>
      <c r="B11" s="28"/>
      <c r="C11" s="29"/>
      <c r="D11" s="29"/>
      <c r="E11" s="29"/>
      <c r="F11" s="29"/>
      <c r="G11" s="29"/>
      <c r="H11" s="30"/>
      <c r="I11" s="29"/>
      <c r="J11" s="29"/>
      <c r="K11" s="29"/>
      <c r="L11" s="29"/>
      <c r="M11" s="29"/>
      <c r="N11" s="29"/>
      <c r="O11" s="29"/>
      <c r="P11" s="13"/>
      <c r="Q11" s="13"/>
      <c r="R11" s="19"/>
    </row>
    <row r="12" spans="1:18" s="37" customFormat="1" ht="22.35" customHeight="1" thickBot="1">
      <c r="A12" s="31"/>
      <c r="B12" s="604" t="str">
        <f>B4</f>
        <v>DESIGN CONSULTANCY SERVICES</v>
      </c>
      <c r="C12" s="605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  <c r="O12" s="35"/>
      <c r="P12" s="31"/>
      <c r="Q12" s="31">
        <v>3.6724999999999999</v>
      </c>
      <c r="R12" s="36"/>
    </row>
    <row r="13" spans="1:18" s="48" customFormat="1" ht="22.35" hidden="1" customHeight="1">
      <c r="A13" s="38">
        <v>1</v>
      </c>
      <c r="B13" s="39"/>
      <c r="C13" s="40"/>
      <c r="D13" s="170"/>
      <c r="E13" s="41"/>
      <c r="F13" s="41"/>
      <c r="G13" s="42"/>
      <c r="H13" s="43"/>
      <c r="I13" s="43"/>
      <c r="J13" s="43"/>
      <c r="K13" s="43"/>
      <c r="L13" s="43"/>
      <c r="M13" s="44">
        <f>SUM(H13:L13)</f>
        <v>0</v>
      </c>
      <c r="N13" s="45"/>
      <c r="O13" s="46">
        <f>M13+N13</f>
        <v>0</v>
      </c>
      <c r="P13" s="38"/>
      <c r="Q13" s="38" t="s">
        <v>144</v>
      </c>
      <c r="R13" s="47"/>
    </row>
    <row r="14" spans="1:18" s="48" customFormat="1" ht="22.35" hidden="1" customHeight="1">
      <c r="A14" s="38">
        <f>A13+1</f>
        <v>2</v>
      </c>
      <c r="B14" s="49" t="s">
        <v>145</v>
      </c>
      <c r="C14" s="50" t="s">
        <v>146</v>
      </c>
      <c r="D14" s="171"/>
      <c r="E14" s="51">
        <v>3305250</v>
      </c>
      <c r="F14" s="52">
        <v>6133075</v>
      </c>
      <c r="G14" s="52">
        <v>6200000</v>
      </c>
      <c r="H14" s="53">
        <f>G14*$H$2</f>
        <v>1550000</v>
      </c>
      <c r="I14" s="53">
        <f>G14*$I$2</f>
        <v>1860000</v>
      </c>
      <c r="J14" s="53">
        <f>G14*$J$2</f>
        <v>2170000</v>
      </c>
      <c r="K14" s="53">
        <f>G14*$K$2</f>
        <v>310000</v>
      </c>
      <c r="L14" s="53">
        <f>G14*$L$2</f>
        <v>310000</v>
      </c>
      <c r="M14" s="54">
        <f>SUM(H14:L14)</f>
        <v>6200000</v>
      </c>
      <c r="N14" s="55"/>
      <c r="O14" s="56">
        <f>M14+N14</f>
        <v>6200000</v>
      </c>
      <c r="P14" s="38" t="s">
        <v>147</v>
      </c>
      <c r="Q14" s="57">
        <f>E14/$Q$12</f>
        <v>900000</v>
      </c>
      <c r="R14" s="48" t="s">
        <v>148</v>
      </c>
    </row>
    <row r="15" spans="1:18" s="48" customFormat="1" ht="22.35" hidden="1" customHeight="1">
      <c r="A15" s="38"/>
      <c r="B15" s="49"/>
      <c r="C15" s="50" t="s">
        <v>149</v>
      </c>
      <c r="D15" s="171"/>
      <c r="E15" s="51">
        <v>2276950</v>
      </c>
      <c r="F15" s="51"/>
      <c r="G15" s="52"/>
      <c r="H15" s="53"/>
      <c r="I15" s="53"/>
      <c r="J15" s="53"/>
      <c r="K15" s="53"/>
      <c r="L15" s="53"/>
      <c r="M15" s="54"/>
      <c r="N15" s="55"/>
      <c r="O15" s="56"/>
      <c r="P15" s="38"/>
      <c r="Q15" s="57">
        <f t="shared" ref="Q15:Q17" si="0">E15/$Q$12</f>
        <v>620000</v>
      </c>
      <c r="R15" s="47"/>
    </row>
    <row r="16" spans="1:18" s="48" customFormat="1" ht="22.35" hidden="1" customHeight="1">
      <c r="A16" s="38"/>
      <c r="B16" s="49"/>
      <c r="C16" s="50" t="s">
        <v>150</v>
      </c>
      <c r="D16" s="171"/>
      <c r="E16" s="51">
        <v>550875</v>
      </c>
      <c r="F16" s="51"/>
      <c r="G16" s="52"/>
      <c r="H16" s="53"/>
      <c r="I16" s="53"/>
      <c r="J16" s="53"/>
      <c r="K16" s="53"/>
      <c r="L16" s="53"/>
      <c r="M16" s="54"/>
      <c r="N16" s="55"/>
      <c r="O16" s="56"/>
      <c r="P16" s="38"/>
      <c r="Q16" s="57">
        <f t="shared" si="0"/>
        <v>150000</v>
      </c>
      <c r="R16" s="47"/>
    </row>
    <row r="17" spans="1:19" s="48" customFormat="1" ht="22.35" hidden="1" customHeight="1">
      <c r="A17" s="38"/>
      <c r="B17" s="49"/>
      <c r="C17" s="50"/>
      <c r="D17" s="171"/>
      <c r="E17" s="52">
        <f>SUM(E14:E16)</f>
        <v>6133075</v>
      </c>
      <c r="F17" s="52"/>
      <c r="G17" s="52"/>
      <c r="H17" s="53"/>
      <c r="I17" s="53"/>
      <c r="J17" s="53"/>
      <c r="K17" s="53"/>
      <c r="L17" s="53"/>
      <c r="M17" s="54"/>
      <c r="N17" s="55"/>
      <c r="O17" s="56"/>
      <c r="P17" s="38"/>
      <c r="Q17" s="57">
        <f t="shared" si="0"/>
        <v>1670000</v>
      </c>
      <c r="R17" s="47"/>
    </row>
    <row r="18" spans="1:19" s="48" customFormat="1" ht="21.75" hidden="1" customHeight="1">
      <c r="A18" s="38"/>
      <c r="B18" s="58" t="s">
        <v>151</v>
      </c>
      <c r="C18" s="50" t="s">
        <v>152</v>
      </c>
      <c r="D18" s="171"/>
      <c r="E18" s="51">
        <v>3344690</v>
      </c>
      <c r="F18" s="52">
        <f>Q18*Q12</f>
        <v>565565</v>
      </c>
      <c r="G18" s="52">
        <v>565565</v>
      </c>
      <c r="H18" s="53"/>
      <c r="I18" s="53"/>
      <c r="J18" s="53"/>
      <c r="K18" s="53"/>
      <c r="L18" s="53"/>
      <c r="M18" s="54"/>
      <c r="N18" s="55"/>
      <c r="O18" s="56"/>
      <c r="P18" s="38" t="s">
        <v>153</v>
      </c>
      <c r="Q18" s="38">
        <f>77000*2</f>
        <v>154000</v>
      </c>
      <c r="R18" s="47">
        <f>112500*2</f>
        <v>225000</v>
      </c>
      <c r="S18" s="59">
        <f>R18*Q12</f>
        <v>826312.5</v>
      </c>
    </row>
    <row r="19" spans="1:19" s="48" customFormat="1" ht="21.75" hidden="1" customHeight="1">
      <c r="A19" s="38"/>
      <c r="B19" s="49"/>
      <c r="C19" s="50" t="s">
        <v>149</v>
      </c>
      <c r="D19" s="171"/>
      <c r="E19" s="51">
        <v>3915565.5</v>
      </c>
      <c r="F19" s="51"/>
      <c r="G19" s="52" t="s">
        <v>154</v>
      </c>
      <c r="H19" s="53"/>
      <c r="I19" s="53"/>
      <c r="J19" s="53"/>
      <c r="K19" s="53"/>
      <c r="L19" s="53"/>
      <c r="M19" s="54"/>
      <c r="N19" s="55"/>
      <c r="O19" s="56"/>
      <c r="P19" s="38"/>
      <c r="Q19" s="38"/>
      <c r="R19" s="47"/>
    </row>
    <row r="20" spans="1:19" s="48" customFormat="1" ht="21.75" hidden="1" customHeight="1">
      <c r="A20" s="38"/>
      <c r="B20" s="49"/>
      <c r="C20" s="50" t="s">
        <v>155</v>
      </c>
      <c r="D20" s="171"/>
      <c r="E20" s="60">
        <v>187425</v>
      </c>
      <c r="F20" s="60"/>
      <c r="G20" s="52"/>
      <c r="H20" s="53"/>
      <c r="I20" s="53"/>
      <c r="J20" s="53"/>
      <c r="K20" s="53"/>
      <c r="L20" s="53"/>
      <c r="M20" s="54"/>
      <c r="N20" s="55"/>
      <c r="O20" s="56"/>
      <c r="P20" s="38"/>
      <c r="Q20" s="38"/>
      <c r="R20" s="47"/>
    </row>
    <row r="21" spans="1:19" s="48" customFormat="1" ht="21.75" hidden="1" customHeight="1">
      <c r="A21" s="38"/>
      <c r="B21" s="49"/>
      <c r="C21" s="50"/>
      <c r="D21" s="171"/>
      <c r="E21" s="52">
        <f>SUM(E18:E20)</f>
        <v>7447680.5</v>
      </c>
      <c r="F21" s="52"/>
      <c r="G21" s="52"/>
      <c r="H21" s="53"/>
      <c r="I21" s="53"/>
      <c r="J21" s="53"/>
      <c r="K21" s="53"/>
      <c r="L21" s="53"/>
      <c r="M21" s="54"/>
      <c r="N21" s="55"/>
      <c r="O21" s="56"/>
      <c r="P21" s="38"/>
      <c r="Q21" s="38">
        <v>385000</v>
      </c>
      <c r="R21" s="47"/>
    </row>
    <row r="22" spans="1:19" s="48" customFormat="1" ht="21.75" hidden="1" customHeight="1">
      <c r="A22" s="38"/>
      <c r="B22" s="61" t="s">
        <v>156</v>
      </c>
      <c r="C22" s="62" t="s">
        <v>157</v>
      </c>
      <c r="D22" s="172"/>
      <c r="E22" s="63">
        <f>Q21*Q12</f>
        <v>1413912.5</v>
      </c>
      <c r="F22" s="63">
        <f>E22</f>
        <v>1413912.5</v>
      </c>
      <c r="G22" s="64">
        <v>1500000</v>
      </c>
      <c r="H22" s="65"/>
      <c r="I22" s="65"/>
      <c r="J22" s="65"/>
      <c r="K22" s="65"/>
      <c r="L22" s="65"/>
      <c r="M22" s="66"/>
      <c r="N22" s="67"/>
      <c r="O22" s="68"/>
      <c r="P22" s="38"/>
      <c r="Q22" s="38"/>
      <c r="R22" s="47"/>
    </row>
    <row r="23" spans="1:19" s="48" customFormat="1" ht="21.75" hidden="1" customHeight="1">
      <c r="A23" s="38"/>
      <c r="B23" s="49"/>
      <c r="C23" s="50"/>
      <c r="D23" s="171"/>
      <c r="E23" s="52"/>
      <c r="F23" s="52"/>
      <c r="G23" s="52"/>
      <c r="H23" s="53"/>
      <c r="I23" s="53"/>
      <c r="J23" s="53"/>
      <c r="K23" s="53"/>
      <c r="L23" s="53"/>
      <c r="M23" s="54"/>
      <c r="N23" s="55"/>
      <c r="O23" s="56"/>
      <c r="P23" s="38"/>
      <c r="Q23" s="57">
        <v>42750</v>
      </c>
      <c r="R23" s="47"/>
    </row>
    <row r="24" spans="1:19" s="48" customFormat="1" ht="21.75" hidden="1" customHeight="1">
      <c r="A24" s="38"/>
      <c r="B24" s="61" t="s">
        <v>158</v>
      </c>
      <c r="C24" s="62" t="s">
        <v>159</v>
      </c>
      <c r="D24" s="172"/>
      <c r="E24" s="63">
        <f>Q23*Q12</f>
        <v>156999.375</v>
      </c>
      <c r="F24" s="63"/>
      <c r="G24" s="64">
        <v>180000</v>
      </c>
      <c r="H24" s="65"/>
      <c r="I24" s="65"/>
      <c r="J24" s="65"/>
      <c r="K24" s="65"/>
      <c r="L24" s="65"/>
      <c r="M24" s="66"/>
      <c r="N24" s="67"/>
      <c r="O24" s="68"/>
      <c r="P24" s="38"/>
      <c r="Q24" s="38"/>
      <c r="R24" s="47"/>
    </row>
    <row r="25" spans="1:19" s="48" customFormat="1" ht="21.75" hidden="1" customHeight="1">
      <c r="A25" s="38"/>
      <c r="B25" s="49"/>
      <c r="C25" s="50"/>
      <c r="D25" s="171"/>
      <c r="E25" s="52"/>
      <c r="F25" s="52"/>
      <c r="G25" s="52"/>
      <c r="H25" s="53"/>
      <c r="I25" s="53"/>
      <c r="J25" s="53"/>
      <c r="K25" s="53"/>
      <c r="L25" s="53"/>
      <c r="M25" s="54"/>
      <c r="N25" s="55"/>
      <c r="O25" s="56"/>
      <c r="P25" s="38"/>
      <c r="Q25" s="38"/>
      <c r="R25" s="47"/>
    </row>
    <row r="26" spans="1:19" s="48" customFormat="1" ht="21.75" hidden="1" customHeight="1">
      <c r="A26" s="38">
        <f>A14+1</f>
        <v>3</v>
      </c>
      <c r="B26" s="61" t="s">
        <v>160</v>
      </c>
      <c r="C26" s="62" t="s">
        <v>161</v>
      </c>
      <c r="D26" s="172"/>
      <c r="E26" s="63"/>
      <c r="F26" s="64">
        <v>350000</v>
      </c>
      <c r="G26" s="64">
        <v>350000</v>
      </c>
      <c r="H26" s="65">
        <f t="shared" ref="H26:H112" si="1">G26*$H$2</f>
        <v>87500</v>
      </c>
      <c r="I26" s="65">
        <f t="shared" ref="I26:I106" si="2">G26*$I$2</f>
        <v>105000</v>
      </c>
      <c r="J26" s="65">
        <f t="shared" ref="J26:J106" si="3">G26*$J$2</f>
        <v>122499.99999999999</v>
      </c>
      <c r="K26" s="65">
        <f t="shared" ref="K26:K106" si="4">G26*$K$2</f>
        <v>17500</v>
      </c>
      <c r="L26" s="65">
        <f t="shared" ref="L26:L106" si="5">G26*$L$2</f>
        <v>17500</v>
      </c>
      <c r="M26" s="66">
        <f t="shared" ref="M26:M106" si="6">SUM(H26:L26)</f>
        <v>350000</v>
      </c>
      <c r="N26" s="67"/>
      <c r="O26" s="68">
        <f t="shared" ref="O26:O112" si="7">M26+N26</f>
        <v>350000</v>
      </c>
      <c r="P26" s="57"/>
      <c r="Q26" s="57"/>
      <c r="R26" s="47"/>
      <c r="S26" s="37"/>
    </row>
    <row r="27" spans="1:19" s="48" customFormat="1" ht="21.75" hidden="1" customHeight="1">
      <c r="A27" s="38"/>
      <c r="B27" s="61"/>
      <c r="C27" s="62" t="s">
        <v>162</v>
      </c>
      <c r="D27" s="172"/>
      <c r="E27" s="63"/>
      <c r="F27" s="63"/>
      <c r="G27" s="64"/>
      <c r="H27" s="65"/>
      <c r="I27" s="65"/>
      <c r="J27" s="65"/>
      <c r="K27" s="65"/>
      <c r="L27" s="65"/>
      <c r="M27" s="66"/>
      <c r="N27" s="67"/>
      <c r="O27" s="68"/>
      <c r="P27" s="57"/>
      <c r="Q27" s="57"/>
      <c r="R27" s="47"/>
      <c r="S27" s="69"/>
    </row>
    <row r="28" spans="1:19" s="48" customFormat="1" ht="21.75" hidden="1" customHeight="1">
      <c r="A28" s="38"/>
      <c r="B28" s="61"/>
      <c r="C28" s="62"/>
      <c r="D28" s="172"/>
      <c r="E28" s="63"/>
      <c r="F28" s="63"/>
      <c r="G28" s="64"/>
      <c r="H28" s="65"/>
      <c r="I28" s="65"/>
      <c r="J28" s="65"/>
      <c r="K28" s="65"/>
      <c r="L28" s="65"/>
      <c r="M28" s="66"/>
      <c r="N28" s="67"/>
      <c r="O28" s="68"/>
      <c r="P28" s="57"/>
      <c r="Q28" s="57"/>
      <c r="R28" s="47"/>
      <c r="S28" s="69"/>
    </row>
    <row r="29" spans="1:19" s="48" customFormat="1" ht="21.75" hidden="1" customHeight="1">
      <c r="A29" s="38">
        <f>A26+1</f>
        <v>4</v>
      </c>
      <c r="B29" s="61" t="s">
        <v>163</v>
      </c>
      <c r="C29" s="62" t="s">
        <v>164</v>
      </c>
      <c r="D29" s="172"/>
      <c r="E29" s="63">
        <v>275000</v>
      </c>
      <c r="F29" s="63">
        <v>275000</v>
      </c>
      <c r="G29" s="64">
        <v>275000</v>
      </c>
      <c r="H29" s="65">
        <f t="shared" si="1"/>
        <v>68750</v>
      </c>
      <c r="I29" s="65">
        <f t="shared" si="2"/>
        <v>82500</v>
      </c>
      <c r="J29" s="65">
        <f t="shared" si="3"/>
        <v>96250</v>
      </c>
      <c r="K29" s="65">
        <f t="shared" si="4"/>
        <v>13750</v>
      </c>
      <c r="L29" s="65">
        <f t="shared" si="5"/>
        <v>13750</v>
      </c>
      <c r="M29" s="66">
        <f t="shared" si="6"/>
        <v>275000</v>
      </c>
      <c r="N29" s="67"/>
      <c r="O29" s="68">
        <f t="shared" si="7"/>
        <v>275000</v>
      </c>
      <c r="P29" s="57"/>
      <c r="Q29" s="57"/>
      <c r="R29" s="47"/>
      <c r="S29" s="69"/>
    </row>
    <row r="30" spans="1:19" s="48" customFormat="1" ht="21.75" hidden="1" customHeight="1">
      <c r="A30" s="38"/>
      <c r="B30" s="61"/>
      <c r="C30" s="62" t="s">
        <v>165</v>
      </c>
      <c r="D30" s="172"/>
      <c r="E30" s="63">
        <v>226275</v>
      </c>
      <c r="F30" s="63"/>
      <c r="G30" s="64"/>
      <c r="H30" s="65"/>
      <c r="I30" s="65"/>
      <c r="J30" s="65"/>
      <c r="K30" s="65"/>
      <c r="L30" s="65"/>
      <c r="M30" s="66"/>
      <c r="N30" s="67"/>
      <c r="O30" s="68"/>
      <c r="P30" s="57"/>
      <c r="Q30" s="57"/>
      <c r="R30" s="47"/>
      <c r="S30" s="69"/>
    </row>
    <row r="31" spans="1:19" s="48" customFormat="1" ht="21.75" hidden="1" customHeight="1">
      <c r="A31" s="38"/>
      <c r="B31" s="61"/>
      <c r="C31" s="62"/>
      <c r="D31" s="172"/>
      <c r="E31" s="63"/>
      <c r="F31" s="63"/>
      <c r="G31" s="64"/>
      <c r="H31" s="65"/>
      <c r="I31" s="65"/>
      <c r="J31" s="65"/>
      <c r="K31" s="65"/>
      <c r="L31" s="65"/>
      <c r="M31" s="66"/>
      <c r="N31" s="67"/>
      <c r="O31" s="68"/>
      <c r="P31" s="57"/>
      <c r="Q31" s="57"/>
      <c r="R31" s="47"/>
      <c r="S31" s="69"/>
    </row>
    <row r="32" spans="1:19" s="48" customFormat="1" hidden="1">
      <c r="A32" s="38">
        <f>A29+1</f>
        <v>5</v>
      </c>
      <c r="B32" s="70" t="s">
        <v>166</v>
      </c>
      <c r="C32" s="71" t="s">
        <v>73</v>
      </c>
      <c r="D32" s="173"/>
      <c r="E32" s="72">
        <v>1330000</v>
      </c>
      <c r="F32" s="73">
        <v>1300000</v>
      </c>
      <c r="G32" s="74">
        <v>1500000</v>
      </c>
      <c r="H32" s="75">
        <f t="shared" si="1"/>
        <v>375000</v>
      </c>
      <c r="I32" s="75">
        <f t="shared" si="2"/>
        <v>450000</v>
      </c>
      <c r="J32" s="75">
        <f t="shared" si="3"/>
        <v>525000</v>
      </c>
      <c r="K32" s="75">
        <f t="shared" si="4"/>
        <v>75000</v>
      </c>
      <c r="L32" s="75">
        <f t="shared" si="5"/>
        <v>75000</v>
      </c>
      <c r="M32" s="76">
        <f t="shared" si="6"/>
        <v>1500000</v>
      </c>
      <c r="N32" s="77"/>
      <c r="O32" s="78">
        <f t="shared" si="7"/>
        <v>1500000</v>
      </c>
      <c r="P32" s="57"/>
      <c r="Q32" s="57"/>
      <c r="R32" s="47"/>
      <c r="S32" s="69"/>
    </row>
    <row r="33" spans="1:20" s="48" customFormat="1" ht="21.75" hidden="1" customHeight="1">
      <c r="A33" s="38"/>
      <c r="B33" s="70"/>
      <c r="C33" s="71" t="s">
        <v>167</v>
      </c>
      <c r="D33" s="173"/>
      <c r="E33" s="74"/>
      <c r="F33" s="74"/>
      <c r="G33" s="74"/>
      <c r="H33" s="75"/>
      <c r="I33" s="75"/>
      <c r="J33" s="75"/>
      <c r="K33" s="75"/>
      <c r="L33" s="75"/>
      <c r="M33" s="76">
        <f t="shared" si="6"/>
        <v>0</v>
      </c>
      <c r="N33" s="77"/>
      <c r="O33" s="78">
        <f t="shared" si="7"/>
        <v>0</v>
      </c>
      <c r="P33" s="57"/>
      <c r="Q33" s="57"/>
      <c r="R33" s="47"/>
      <c r="S33" s="69"/>
    </row>
    <row r="34" spans="1:20" s="48" customFormat="1" ht="21.75" hidden="1" customHeight="1">
      <c r="A34" s="38"/>
      <c r="B34" s="70"/>
      <c r="C34" s="71" t="s">
        <v>168</v>
      </c>
      <c r="D34" s="173"/>
      <c r="E34" s="79">
        <v>1450000</v>
      </c>
      <c r="F34" s="74"/>
      <c r="G34" s="74"/>
      <c r="H34" s="75"/>
      <c r="I34" s="75"/>
      <c r="J34" s="75"/>
      <c r="K34" s="75"/>
      <c r="L34" s="75"/>
      <c r="M34" s="76">
        <f t="shared" si="6"/>
        <v>0</v>
      </c>
      <c r="N34" s="77"/>
      <c r="O34" s="78">
        <f t="shared" si="7"/>
        <v>0</v>
      </c>
      <c r="P34" s="57"/>
      <c r="Q34" s="57"/>
      <c r="R34" s="47"/>
      <c r="S34" s="69"/>
    </row>
    <row r="35" spans="1:20" s="48" customFormat="1" ht="21.75" hidden="1" customHeight="1">
      <c r="A35" s="38"/>
      <c r="B35" s="70"/>
      <c r="C35" s="71"/>
      <c r="D35" s="173"/>
      <c r="E35" s="79"/>
      <c r="F35" s="79"/>
      <c r="G35" s="74"/>
      <c r="H35" s="75"/>
      <c r="I35" s="75"/>
      <c r="J35" s="75"/>
      <c r="K35" s="75"/>
      <c r="L35" s="75"/>
      <c r="M35" s="76"/>
      <c r="N35" s="77"/>
      <c r="O35" s="78"/>
      <c r="P35" s="57"/>
      <c r="Q35" s="57"/>
      <c r="R35" s="47"/>
      <c r="S35" s="69"/>
    </row>
    <row r="36" spans="1:20" s="48" customFormat="1" ht="28.5" customHeight="1">
      <c r="A36" s="38">
        <f>A32+1</f>
        <v>6</v>
      </c>
      <c r="B36" s="61" t="s">
        <v>35</v>
      </c>
      <c r="C36" s="62" t="s">
        <v>36</v>
      </c>
      <c r="D36" s="172" t="s">
        <v>169</v>
      </c>
      <c r="E36" s="183">
        <v>763120</v>
      </c>
      <c r="F36" s="80"/>
      <c r="G36" s="64"/>
      <c r="H36" s="65">
        <f t="shared" si="1"/>
        <v>0</v>
      </c>
      <c r="I36" s="65">
        <f t="shared" si="2"/>
        <v>0</v>
      </c>
      <c r="J36" s="65">
        <f t="shared" si="3"/>
        <v>0</v>
      </c>
      <c r="K36" s="65">
        <f t="shared" si="4"/>
        <v>0</v>
      </c>
      <c r="L36" s="65">
        <f t="shared" si="5"/>
        <v>0</v>
      </c>
      <c r="M36" s="66">
        <f t="shared" si="6"/>
        <v>0</v>
      </c>
      <c r="N36" s="67"/>
      <c r="O36" s="68">
        <f t="shared" si="7"/>
        <v>0</v>
      </c>
      <c r="P36" s="57"/>
      <c r="Q36" s="57"/>
      <c r="R36" s="47">
        <f>E36/3.67</f>
        <v>207934.60490463214</v>
      </c>
      <c r="S36" s="47">
        <v>300000</v>
      </c>
      <c r="T36" s="69"/>
    </row>
    <row r="37" spans="1:20" s="48" customFormat="1" ht="21.75" customHeight="1">
      <c r="A37" s="38"/>
      <c r="B37" s="61"/>
      <c r="C37" s="62" t="s">
        <v>170</v>
      </c>
      <c r="D37" s="172" t="s">
        <v>169</v>
      </c>
      <c r="E37" s="205" t="s">
        <v>171</v>
      </c>
      <c r="F37" s="63"/>
      <c r="G37" s="64"/>
      <c r="H37" s="65"/>
      <c r="I37" s="65"/>
      <c r="J37" s="65"/>
      <c r="K37" s="65"/>
      <c r="L37" s="65"/>
      <c r="M37" s="66">
        <f t="shared" si="6"/>
        <v>0</v>
      </c>
      <c r="N37" s="67"/>
      <c r="O37" s="68"/>
      <c r="P37" s="57"/>
      <c r="Q37" s="57"/>
      <c r="R37" s="47" t="e">
        <f t="shared" ref="R37:R38" si="8">E37/3.67</f>
        <v>#VALUE!</v>
      </c>
      <c r="S37" s="47">
        <f>S36/25</f>
        <v>12000</v>
      </c>
      <c r="T37" s="69">
        <f>S37/3.67</f>
        <v>3269.7547683923708</v>
      </c>
    </row>
    <row r="38" spans="1:20" s="48" customFormat="1" ht="21.75" customHeight="1">
      <c r="A38" s="38"/>
      <c r="B38" s="61"/>
      <c r="C38" s="62" t="s">
        <v>172</v>
      </c>
      <c r="D38" s="172" t="s">
        <v>169</v>
      </c>
      <c r="E38" s="184">
        <v>1060000</v>
      </c>
      <c r="F38" s="63"/>
      <c r="G38" s="64"/>
      <c r="H38" s="65"/>
      <c r="I38" s="65"/>
      <c r="J38" s="65"/>
      <c r="K38" s="65"/>
      <c r="L38" s="65"/>
      <c r="M38" s="66"/>
      <c r="N38" s="67"/>
      <c r="O38" s="68"/>
      <c r="P38" s="57"/>
      <c r="Q38" s="57"/>
      <c r="R38" s="47">
        <f t="shared" si="8"/>
        <v>288828.3378746594</v>
      </c>
      <c r="S38" s="69"/>
    </row>
    <row r="39" spans="1:20" s="48" customFormat="1" ht="21.75" customHeight="1">
      <c r="A39" s="38"/>
      <c r="B39" s="61"/>
      <c r="C39" s="62"/>
      <c r="D39" s="172"/>
      <c r="E39" s="184"/>
      <c r="F39" s="63"/>
      <c r="G39" s="64"/>
      <c r="H39" s="65"/>
      <c r="I39" s="65"/>
      <c r="J39" s="65"/>
      <c r="K39" s="65"/>
      <c r="L39" s="65"/>
      <c r="M39" s="66"/>
      <c r="N39" s="67"/>
      <c r="O39" s="68"/>
      <c r="P39" s="57"/>
      <c r="Q39" s="57"/>
      <c r="R39" s="47"/>
      <c r="S39" s="69"/>
    </row>
    <row r="40" spans="1:20" s="48" customFormat="1">
      <c r="A40" s="38">
        <f>A36+1</f>
        <v>7</v>
      </c>
      <c r="B40" s="70" t="s">
        <v>173</v>
      </c>
      <c r="C40" s="98" t="s">
        <v>174</v>
      </c>
      <c r="D40" s="174"/>
      <c r="E40" s="185"/>
      <c r="F40" s="79"/>
      <c r="G40" s="74"/>
      <c r="H40" s="75">
        <f t="shared" si="1"/>
        <v>0</v>
      </c>
      <c r="I40" s="75">
        <f t="shared" si="2"/>
        <v>0</v>
      </c>
      <c r="J40" s="75">
        <f t="shared" si="3"/>
        <v>0</v>
      </c>
      <c r="K40" s="75">
        <f t="shared" si="4"/>
        <v>0</v>
      </c>
      <c r="L40" s="75">
        <f t="shared" si="5"/>
        <v>0</v>
      </c>
      <c r="M40" s="76">
        <f t="shared" si="6"/>
        <v>0</v>
      </c>
      <c r="N40" s="77"/>
      <c r="O40" s="78">
        <f t="shared" si="7"/>
        <v>0</v>
      </c>
      <c r="P40" s="57"/>
      <c r="Q40" s="57"/>
      <c r="R40" s="47"/>
      <c r="S40" s="69"/>
    </row>
    <row r="41" spans="1:20" s="48" customFormat="1">
      <c r="A41" s="38"/>
      <c r="B41" s="70"/>
      <c r="C41" s="71" t="s">
        <v>175</v>
      </c>
      <c r="D41" s="173" t="s">
        <v>169</v>
      </c>
      <c r="E41" s="185"/>
      <c r="F41" s="79"/>
      <c r="G41" s="74"/>
      <c r="H41" s="75"/>
      <c r="I41" s="75"/>
      <c r="J41" s="75"/>
      <c r="K41" s="75"/>
      <c r="L41" s="75"/>
      <c r="M41" s="76">
        <f t="shared" si="6"/>
        <v>0</v>
      </c>
      <c r="N41" s="77"/>
      <c r="O41" s="78"/>
      <c r="P41" s="57"/>
      <c r="Q41" s="57"/>
      <c r="R41" s="47"/>
      <c r="S41" s="69"/>
    </row>
    <row r="42" spans="1:20" s="48" customFormat="1">
      <c r="A42" s="38"/>
      <c r="B42" s="70"/>
      <c r="C42" s="71" t="s">
        <v>176</v>
      </c>
      <c r="D42" s="173" t="s">
        <v>169</v>
      </c>
      <c r="E42" s="186">
        <v>386000</v>
      </c>
      <c r="F42" s="72"/>
      <c r="G42" s="74"/>
      <c r="H42" s="75"/>
      <c r="I42" s="75"/>
      <c r="J42" s="75"/>
      <c r="K42" s="75"/>
      <c r="L42" s="75"/>
      <c r="M42" s="76">
        <f>SUM(H42:L42)</f>
        <v>0</v>
      </c>
      <c r="N42" s="77"/>
      <c r="O42" s="78"/>
      <c r="P42" s="57"/>
      <c r="Q42" s="57"/>
      <c r="R42" s="47"/>
      <c r="S42" s="69"/>
    </row>
    <row r="43" spans="1:20" s="48" customFormat="1">
      <c r="A43" s="38"/>
      <c r="B43" s="70"/>
      <c r="C43" s="71" t="s">
        <v>54</v>
      </c>
      <c r="D43" s="173" t="s">
        <v>169</v>
      </c>
      <c r="E43" s="186">
        <v>75000</v>
      </c>
      <c r="F43" s="79"/>
      <c r="G43" s="74"/>
      <c r="H43" s="75"/>
      <c r="I43" s="75"/>
      <c r="J43" s="75"/>
      <c r="K43" s="75"/>
      <c r="L43" s="75"/>
      <c r="M43" s="76">
        <f>SUM(H43:L43)</f>
        <v>0</v>
      </c>
      <c r="N43" s="77"/>
      <c r="O43" s="78"/>
      <c r="P43" s="57"/>
      <c r="Q43" s="57"/>
      <c r="R43" s="47"/>
      <c r="S43" s="69"/>
    </row>
    <row r="44" spans="1:20" s="48" customFormat="1">
      <c r="A44" s="38"/>
      <c r="B44" s="70"/>
      <c r="C44" s="71" t="s">
        <v>177</v>
      </c>
      <c r="D44" s="173" t="s">
        <v>169</v>
      </c>
      <c r="E44" s="186">
        <v>500000</v>
      </c>
      <c r="F44" s="72"/>
      <c r="G44" s="74"/>
      <c r="H44" s="75"/>
      <c r="I44" s="75"/>
      <c r="J44" s="75"/>
      <c r="K44" s="75"/>
      <c r="L44" s="75"/>
      <c r="M44" s="76"/>
      <c r="N44" s="77"/>
      <c r="O44" s="78"/>
      <c r="P44" s="57"/>
      <c r="Q44" s="57"/>
      <c r="R44" s="95"/>
      <c r="S44" s="69"/>
    </row>
    <row r="45" spans="1:20" s="48" customFormat="1">
      <c r="A45" s="38"/>
      <c r="B45" s="70"/>
      <c r="C45" s="71"/>
      <c r="D45" s="173"/>
      <c r="E45" s="185"/>
      <c r="F45" s="79"/>
      <c r="G45" s="74"/>
      <c r="H45" s="75"/>
      <c r="I45" s="75"/>
      <c r="J45" s="75"/>
      <c r="K45" s="75"/>
      <c r="L45" s="75"/>
      <c r="M45" s="76"/>
      <c r="N45" s="77"/>
      <c r="O45" s="78"/>
      <c r="P45" s="57"/>
      <c r="Q45" s="57"/>
      <c r="R45" s="47"/>
      <c r="S45" s="69"/>
    </row>
    <row r="46" spans="1:20" s="48" customFormat="1" ht="30" customHeight="1">
      <c r="A46" s="38">
        <f>A40+1</f>
        <v>8</v>
      </c>
      <c r="B46" s="61" t="s">
        <v>178</v>
      </c>
      <c r="C46" s="181" t="s">
        <v>179</v>
      </c>
      <c r="D46" s="172" t="s">
        <v>169</v>
      </c>
      <c r="E46" s="187">
        <v>390000</v>
      </c>
      <c r="F46" s="111"/>
      <c r="G46" s="64"/>
      <c r="H46" s="65">
        <f t="shared" si="1"/>
        <v>0</v>
      </c>
      <c r="I46" s="65">
        <f t="shared" si="2"/>
        <v>0</v>
      </c>
      <c r="J46" s="65">
        <f t="shared" si="3"/>
        <v>0</v>
      </c>
      <c r="K46" s="65">
        <f t="shared" si="4"/>
        <v>0</v>
      </c>
      <c r="L46" s="65">
        <f t="shared" si="5"/>
        <v>0</v>
      </c>
      <c r="M46" s="66">
        <f t="shared" si="6"/>
        <v>0</v>
      </c>
      <c r="N46" s="112"/>
      <c r="O46" s="68">
        <f t="shared" si="7"/>
        <v>0</v>
      </c>
      <c r="P46" s="57"/>
      <c r="Q46" s="57"/>
      <c r="R46" s="47"/>
      <c r="S46" s="69"/>
    </row>
    <row r="47" spans="1:20" s="48" customFormat="1">
      <c r="A47" s="38"/>
      <c r="B47" s="61"/>
      <c r="C47" s="62" t="s">
        <v>180</v>
      </c>
      <c r="D47" s="172" t="s">
        <v>169</v>
      </c>
      <c r="E47" s="187"/>
      <c r="F47" s="97"/>
      <c r="G47" s="64"/>
      <c r="H47" s="65"/>
      <c r="I47" s="65"/>
      <c r="J47" s="65"/>
      <c r="K47" s="65"/>
      <c r="L47" s="65"/>
      <c r="M47" s="66"/>
      <c r="N47" s="112"/>
      <c r="O47" s="68"/>
      <c r="P47" s="57"/>
      <c r="Q47" s="57"/>
      <c r="R47" s="47"/>
      <c r="S47" s="69"/>
    </row>
    <row r="48" spans="1:20" s="48" customFormat="1">
      <c r="A48" s="38"/>
      <c r="B48" s="61"/>
      <c r="C48" s="62" t="s">
        <v>181</v>
      </c>
      <c r="D48" s="172" t="s">
        <v>169</v>
      </c>
      <c r="E48" s="187">
        <v>423000</v>
      </c>
      <c r="F48" s="97"/>
      <c r="G48" s="64"/>
      <c r="H48" s="65"/>
      <c r="I48" s="65"/>
      <c r="J48" s="65"/>
      <c r="K48" s="65"/>
      <c r="L48" s="65"/>
      <c r="M48" s="66"/>
      <c r="N48" s="112"/>
      <c r="O48" s="68"/>
      <c r="P48" s="57"/>
      <c r="Q48" s="57"/>
      <c r="R48" s="95"/>
      <c r="S48" s="69"/>
    </row>
    <row r="49" spans="1:23" s="48" customFormat="1">
      <c r="A49" s="38"/>
      <c r="B49" s="61"/>
      <c r="C49" s="62" t="s">
        <v>182</v>
      </c>
      <c r="D49" s="172"/>
      <c r="E49" s="187"/>
      <c r="F49" s="97"/>
      <c r="G49" s="64"/>
      <c r="H49" s="65"/>
      <c r="I49" s="65"/>
      <c r="J49" s="65"/>
      <c r="K49" s="65"/>
      <c r="L49" s="65"/>
      <c r="M49" s="66"/>
      <c r="N49" s="112"/>
      <c r="O49" s="68"/>
      <c r="P49" s="57"/>
      <c r="Q49" s="57"/>
      <c r="R49" s="47"/>
      <c r="S49" s="69"/>
    </row>
    <row r="50" spans="1:23" s="48" customFormat="1">
      <c r="A50" s="38"/>
      <c r="B50" s="61"/>
      <c r="C50" s="62" t="s">
        <v>183</v>
      </c>
      <c r="D50" s="172" t="s">
        <v>169</v>
      </c>
      <c r="E50" s="187"/>
      <c r="F50" s="97"/>
      <c r="G50" s="64"/>
      <c r="H50" s="65"/>
      <c r="I50" s="65"/>
      <c r="J50" s="65"/>
      <c r="K50" s="65"/>
      <c r="L50" s="65"/>
      <c r="M50" s="66">
        <f t="shared" si="6"/>
        <v>0</v>
      </c>
      <c r="N50" s="112"/>
      <c r="O50" s="68">
        <f t="shared" si="7"/>
        <v>0</v>
      </c>
      <c r="P50" s="57"/>
      <c r="Q50" s="57"/>
      <c r="R50" s="47"/>
      <c r="S50" s="69"/>
    </row>
    <row r="51" spans="1:23" s="48" customFormat="1">
      <c r="A51" s="38"/>
      <c r="B51" s="61"/>
      <c r="C51" s="62"/>
      <c r="D51" s="172"/>
      <c r="E51" s="187"/>
      <c r="F51" s="97"/>
      <c r="G51" s="64"/>
      <c r="H51" s="65"/>
      <c r="I51" s="65"/>
      <c r="J51" s="65"/>
      <c r="K51" s="65"/>
      <c r="L51" s="65"/>
      <c r="M51" s="66"/>
      <c r="N51" s="112"/>
      <c r="O51" s="68"/>
      <c r="P51" s="57"/>
      <c r="Q51" s="57"/>
      <c r="R51" s="47"/>
      <c r="S51" s="69"/>
    </row>
    <row r="52" spans="1:23" s="48" customFormat="1" ht="23.85" customHeight="1">
      <c r="A52" s="38">
        <f>A46+1</f>
        <v>9</v>
      </c>
      <c r="B52" s="70" t="s">
        <v>184</v>
      </c>
      <c r="C52" s="71" t="s">
        <v>185</v>
      </c>
      <c r="D52" s="173" t="s">
        <v>169</v>
      </c>
      <c r="E52" s="186">
        <v>162500</v>
      </c>
      <c r="F52" s="113"/>
      <c r="G52" s="74"/>
      <c r="H52" s="75">
        <f t="shared" si="1"/>
        <v>0</v>
      </c>
      <c r="I52" s="75">
        <f t="shared" si="2"/>
        <v>0</v>
      </c>
      <c r="J52" s="75">
        <f t="shared" si="3"/>
        <v>0</v>
      </c>
      <c r="K52" s="75">
        <f t="shared" si="4"/>
        <v>0</v>
      </c>
      <c r="L52" s="75">
        <f t="shared" si="5"/>
        <v>0</v>
      </c>
      <c r="M52" s="76">
        <f t="shared" si="6"/>
        <v>0</v>
      </c>
      <c r="N52" s="77"/>
      <c r="O52" s="78">
        <f t="shared" si="7"/>
        <v>0</v>
      </c>
      <c r="P52" s="57"/>
      <c r="Q52" s="57"/>
      <c r="R52" s="47"/>
      <c r="S52" s="69"/>
    </row>
    <row r="53" spans="1:23" s="48" customFormat="1" ht="20.85" customHeight="1">
      <c r="A53" s="38"/>
      <c r="B53" s="70"/>
      <c r="C53" s="71" t="s">
        <v>186</v>
      </c>
      <c r="D53" s="173" t="s">
        <v>169</v>
      </c>
      <c r="E53" s="186">
        <v>138750</v>
      </c>
      <c r="F53" s="113"/>
      <c r="G53" s="74"/>
      <c r="H53" s="75"/>
      <c r="I53" s="75"/>
      <c r="J53" s="75"/>
      <c r="K53" s="75"/>
      <c r="L53" s="75"/>
      <c r="M53" s="76"/>
      <c r="N53" s="77"/>
      <c r="O53" s="78"/>
      <c r="P53" s="57"/>
      <c r="Q53" s="57"/>
      <c r="R53" s="47"/>
      <c r="S53" s="69"/>
    </row>
    <row r="54" spans="1:23" s="48" customFormat="1" ht="21.75" customHeight="1">
      <c r="A54" s="38"/>
      <c r="B54" s="70"/>
      <c r="C54" s="71" t="s">
        <v>187</v>
      </c>
      <c r="D54" s="173" t="s">
        <v>169</v>
      </c>
      <c r="E54" s="188">
        <v>187500</v>
      </c>
      <c r="F54" s="113"/>
      <c r="G54" s="74"/>
      <c r="H54" s="75"/>
      <c r="I54" s="75"/>
      <c r="J54" s="75"/>
      <c r="K54" s="75"/>
      <c r="L54" s="75"/>
      <c r="M54" s="76">
        <f t="shared" si="6"/>
        <v>0</v>
      </c>
      <c r="N54" s="77"/>
      <c r="O54" s="78">
        <f t="shared" si="7"/>
        <v>0</v>
      </c>
      <c r="P54" s="57"/>
      <c r="Q54" s="57"/>
      <c r="R54" s="47"/>
      <c r="S54" s="69"/>
    </row>
    <row r="55" spans="1:23" s="48" customFormat="1">
      <c r="A55" s="38"/>
      <c r="B55" s="70"/>
      <c r="C55" s="71" t="s">
        <v>188</v>
      </c>
      <c r="D55" s="173" t="s">
        <v>169</v>
      </c>
      <c r="E55" s="186">
        <v>38250</v>
      </c>
      <c r="F55" s="113"/>
      <c r="G55" s="74"/>
      <c r="H55" s="75"/>
      <c r="I55" s="75"/>
      <c r="J55" s="75"/>
      <c r="K55" s="75"/>
      <c r="L55" s="75"/>
      <c r="M55" s="76"/>
      <c r="N55" s="77"/>
      <c r="O55" s="78"/>
      <c r="P55" s="57"/>
      <c r="Q55" s="57"/>
      <c r="R55" s="47"/>
      <c r="S55" s="69"/>
    </row>
    <row r="56" spans="1:23" s="48" customFormat="1">
      <c r="A56" s="38"/>
      <c r="B56" s="70"/>
      <c r="C56" s="71"/>
      <c r="D56" s="173"/>
      <c r="E56" s="188"/>
      <c r="F56" s="113"/>
      <c r="G56" s="74"/>
      <c r="H56" s="75"/>
      <c r="I56" s="75"/>
      <c r="J56" s="75"/>
      <c r="K56" s="75"/>
      <c r="L56" s="75"/>
      <c r="M56" s="76"/>
      <c r="N56" s="77"/>
      <c r="O56" s="78"/>
      <c r="P56" s="57"/>
      <c r="Q56" s="57"/>
      <c r="R56" s="47"/>
      <c r="S56" s="69"/>
    </row>
    <row r="57" spans="1:23" s="48" customFormat="1">
      <c r="A57" s="38">
        <f>A52+1</f>
        <v>10</v>
      </c>
      <c r="B57" s="61" t="s">
        <v>189</v>
      </c>
      <c r="C57" s="62" t="s">
        <v>190</v>
      </c>
      <c r="D57" s="172" t="s">
        <v>169</v>
      </c>
      <c r="E57" s="187"/>
      <c r="F57" s="97"/>
      <c r="G57" s="64"/>
      <c r="H57" s="65">
        <f t="shared" si="1"/>
        <v>0</v>
      </c>
      <c r="I57" s="65">
        <f t="shared" si="2"/>
        <v>0</v>
      </c>
      <c r="J57" s="65">
        <f t="shared" si="3"/>
        <v>0</v>
      </c>
      <c r="K57" s="65">
        <f t="shared" si="4"/>
        <v>0</v>
      </c>
      <c r="L57" s="65">
        <f t="shared" si="5"/>
        <v>0</v>
      </c>
      <c r="M57" s="66">
        <f t="shared" si="6"/>
        <v>0</v>
      </c>
      <c r="N57" s="112"/>
      <c r="O57" s="68">
        <f t="shared" si="7"/>
        <v>0</v>
      </c>
      <c r="P57" s="57"/>
      <c r="Q57" s="57"/>
      <c r="R57" s="47"/>
      <c r="S57" s="69"/>
      <c r="W57" s="48">
        <v>294</v>
      </c>
    </row>
    <row r="58" spans="1:23" s="48" customFormat="1">
      <c r="A58" s="38"/>
      <c r="B58" s="61"/>
      <c r="C58" s="62" t="s">
        <v>50</v>
      </c>
      <c r="D58" s="172" t="s">
        <v>169</v>
      </c>
      <c r="E58" s="187">
        <v>156250</v>
      </c>
      <c r="F58" s="97"/>
      <c r="G58" s="64"/>
      <c r="H58" s="65"/>
      <c r="I58" s="65"/>
      <c r="J58" s="65"/>
      <c r="K58" s="65"/>
      <c r="L58" s="65"/>
      <c r="M58" s="66"/>
      <c r="N58" s="112"/>
      <c r="O58" s="68"/>
      <c r="P58" s="57"/>
      <c r="Q58" s="57"/>
      <c r="R58" s="95"/>
      <c r="S58" s="69"/>
    </row>
    <row r="59" spans="1:23" s="48" customFormat="1">
      <c r="A59" s="38"/>
      <c r="B59" s="61"/>
      <c r="C59" s="62"/>
      <c r="D59" s="172"/>
      <c r="E59" s="184"/>
      <c r="F59" s="63"/>
      <c r="G59" s="64"/>
      <c r="H59" s="65"/>
      <c r="I59" s="65"/>
      <c r="J59" s="65"/>
      <c r="K59" s="65"/>
      <c r="L59" s="65"/>
      <c r="M59" s="66"/>
      <c r="N59" s="67"/>
      <c r="O59" s="68"/>
      <c r="P59" s="57"/>
      <c r="Q59" s="57"/>
      <c r="R59" s="47"/>
      <c r="S59" s="69"/>
    </row>
    <row r="60" spans="1:23" s="48" customFormat="1" ht="21.75" customHeight="1">
      <c r="A60" s="38">
        <f>A57+1</f>
        <v>11</v>
      </c>
      <c r="B60" s="70" t="s">
        <v>191</v>
      </c>
      <c r="C60" s="71" t="s">
        <v>73</v>
      </c>
      <c r="D60" s="173" t="s">
        <v>169</v>
      </c>
      <c r="E60" s="185">
        <v>82500</v>
      </c>
      <c r="F60" s="79"/>
      <c r="G60" s="74">
        <v>0</v>
      </c>
      <c r="H60" s="75">
        <f t="shared" si="1"/>
        <v>0</v>
      </c>
      <c r="I60" s="75">
        <f t="shared" si="2"/>
        <v>0</v>
      </c>
      <c r="J60" s="75">
        <f t="shared" si="3"/>
        <v>0</v>
      </c>
      <c r="K60" s="75">
        <f t="shared" si="4"/>
        <v>0</v>
      </c>
      <c r="L60" s="75">
        <f t="shared" si="5"/>
        <v>0</v>
      </c>
      <c r="M60" s="76">
        <f t="shared" si="6"/>
        <v>0</v>
      </c>
      <c r="N60" s="77"/>
      <c r="O60" s="78">
        <f t="shared" si="7"/>
        <v>0</v>
      </c>
      <c r="P60" s="57"/>
      <c r="Q60" s="57"/>
      <c r="R60" s="47"/>
      <c r="S60" s="69"/>
      <c r="W60" s="48">
        <v>29</v>
      </c>
    </row>
    <row r="61" spans="1:23" s="48" customFormat="1" ht="21.75" customHeight="1">
      <c r="A61" s="38"/>
      <c r="B61" s="70"/>
      <c r="C61" s="71" t="s">
        <v>192</v>
      </c>
      <c r="D61" s="173" t="s">
        <v>169</v>
      </c>
      <c r="E61" s="185">
        <v>94650</v>
      </c>
      <c r="F61" s="79"/>
      <c r="G61" s="74"/>
      <c r="H61" s="75"/>
      <c r="I61" s="75"/>
      <c r="J61" s="75"/>
      <c r="K61" s="75"/>
      <c r="L61" s="75"/>
      <c r="M61" s="76">
        <f>SUM(H61:L61)</f>
        <v>0</v>
      </c>
      <c r="N61" s="77"/>
      <c r="O61" s="78">
        <f>M61+N61</f>
        <v>0</v>
      </c>
      <c r="P61" s="57"/>
      <c r="Q61" s="57"/>
      <c r="R61" s="47"/>
      <c r="S61" s="69"/>
      <c r="W61" s="48">
        <f>SUM(W57:W60)</f>
        <v>323</v>
      </c>
    </row>
    <row r="62" spans="1:23" s="48" customFormat="1" ht="21.75" customHeight="1">
      <c r="A62" s="38"/>
      <c r="B62" s="70"/>
      <c r="C62" s="71"/>
      <c r="D62" s="173"/>
      <c r="E62" s="185"/>
      <c r="F62" s="79"/>
      <c r="G62" s="74"/>
      <c r="H62" s="75"/>
      <c r="I62" s="75"/>
      <c r="J62" s="75"/>
      <c r="K62" s="75"/>
      <c r="L62" s="75"/>
      <c r="M62" s="76"/>
      <c r="N62" s="77"/>
      <c r="O62" s="78"/>
      <c r="P62" s="57"/>
      <c r="Q62" s="57"/>
      <c r="R62" s="47"/>
      <c r="S62" s="69"/>
    </row>
    <row r="63" spans="1:23" s="48" customFormat="1">
      <c r="A63" s="38">
        <f>A60+1</f>
        <v>12</v>
      </c>
      <c r="B63" s="61" t="s">
        <v>193</v>
      </c>
      <c r="C63" s="62" t="s">
        <v>194</v>
      </c>
      <c r="D63" s="172" t="s">
        <v>169</v>
      </c>
      <c r="E63" s="187">
        <v>72000</v>
      </c>
      <c r="F63" s="111"/>
      <c r="G63" s="64"/>
      <c r="H63" s="65">
        <f t="shared" si="1"/>
        <v>0</v>
      </c>
      <c r="I63" s="65">
        <f t="shared" si="2"/>
        <v>0</v>
      </c>
      <c r="J63" s="65">
        <f t="shared" si="3"/>
        <v>0</v>
      </c>
      <c r="K63" s="65">
        <f t="shared" si="4"/>
        <v>0</v>
      </c>
      <c r="L63" s="65">
        <f t="shared" si="5"/>
        <v>0</v>
      </c>
      <c r="M63" s="66">
        <f t="shared" si="6"/>
        <v>0</v>
      </c>
      <c r="N63" s="67"/>
      <c r="O63" s="68">
        <f t="shared" si="7"/>
        <v>0</v>
      </c>
      <c r="P63" s="57"/>
      <c r="Q63" s="57"/>
      <c r="R63" s="47"/>
      <c r="S63" s="69"/>
    </row>
    <row r="64" spans="1:23" s="48" customFormat="1" ht="21.75" customHeight="1">
      <c r="A64" s="38"/>
      <c r="B64" s="61"/>
      <c r="C64" s="62"/>
      <c r="D64" s="172"/>
      <c r="E64" s="184"/>
      <c r="F64" s="63"/>
      <c r="G64" s="64"/>
      <c r="H64" s="65"/>
      <c r="I64" s="65"/>
      <c r="J64" s="65"/>
      <c r="K64" s="65"/>
      <c r="L64" s="65"/>
      <c r="M64" s="66">
        <f t="shared" si="6"/>
        <v>0</v>
      </c>
      <c r="N64" s="67"/>
      <c r="O64" s="68">
        <f t="shared" si="7"/>
        <v>0</v>
      </c>
      <c r="P64" s="57"/>
      <c r="Q64" s="57"/>
      <c r="R64" s="47"/>
      <c r="S64" s="69"/>
    </row>
    <row r="65" spans="1:24" s="48" customFormat="1" ht="18" customHeight="1">
      <c r="A65" s="38">
        <f>A63+1</f>
        <v>13</v>
      </c>
      <c r="B65" s="70" t="s">
        <v>196</v>
      </c>
      <c r="C65" s="71" t="s">
        <v>197</v>
      </c>
      <c r="D65" s="173"/>
      <c r="E65" s="185"/>
      <c r="F65" s="74"/>
      <c r="G65" s="74"/>
      <c r="H65" s="75">
        <f t="shared" si="1"/>
        <v>0</v>
      </c>
      <c r="I65" s="75">
        <f t="shared" si="2"/>
        <v>0</v>
      </c>
      <c r="J65" s="75">
        <f t="shared" si="3"/>
        <v>0</v>
      </c>
      <c r="K65" s="75">
        <f t="shared" si="4"/>
        <v>0</v>
      </c>
      <c r="L65" s="75">
        <f t="shared" si="5"/>
        <v>0</v>
      </c>
      <c r="M65" s="76">
        <f t="shared" si="6"/>
        <v>0</v>
      </c>
      <c r="N65" s="77"/>
      <c r="O65" s="78">
        <f t="shared" si="7"/>
        <v>0</v>
      </c>
      <c r="P65" s="57"/>
      <c r="Q65" s="57"/>
      <c r="R65" s="47"/>
      <c r="S65" s="69"/>
    </row>
    <row r="66" spans="1:24" s="48" customFormat="1" ht="16.350000000000001" customHeight="1">
      <c r="A66" s="38"/>
      <c r="B66" s="70"/>
      <c r="C66" s="71" t="s">
        <v>198</v>
      </c>
      <c r="D66" s="173"/>
      <c r="E66" s="185"/>
      <c r="F66" s="79"/>
      <c r="G66" s="74"/>
      <c r="H66" s="75"/>
      <c r="I66" s="75"/>
      <c r="J66" s="75"/>
      <c r="K66" s="75"/>
      <c r="L66" s="75"/>
      <c r="M66" s="76">
        <f t="shared" si="6"/>
        <v>0</v>
      </c>
      <c r="N66" s="77"/>
      <c r="O66" s="78">
        <f t="shared" si="7"/>
        <v>0</v>
      </c>
      <c r="P66" s="57"/>
      <c r="Q66" s="57"/>
      <c r="R66" s="47"/>
      <c r="S66" s="69"/>
    </row>
    <row r="67" spans="1:24" s="48" customFormat="1" ht="16.350000000000001" customHeight="1">
      <c r="A67" s="38"/>
      <c r="B67" s="70"/>
      <c r="C67" s="71" t="s">
        <v>199</v>
      </c>
      <c r="D67" s="173" t="s">
        <v>169</v>
      </c>
      <c r="E67" s="186"/>
      <c r="F67" s="74"/>
      <c r="G67" s="74"/>
      <c r="H67" s="75"/>
      <c r="I67" s="75"/>
      <c r="J67" s="75"/>
      <c r="K67" s="75"/>
      <c r="L67" s="75"/>
      <c r="M67" s="76">
        <f t="shared" si="6"/>
        <v>0</v>
      </c>
      <c r="N67" s="77"/>
      <c r="O67" s="78">
        <f t="shared" si="7"/>
        <v>0</v>
      </c>
      <c r="P67" s="57"/>
      <c r="Q67" s="57"/>
      <c r="R67" s="47"/>
      <c r="S67" s="69"/>
    </row>
    <row r="68" spans="1:24" s="48" customFormat="1" ht="14.85" customHeight="1">
      <c r="A68" s="38"/>
      <c r="B68" s="70"/>
      <c r="C68" s="71" t="s">
        <v>200</v>
      </c>
      <c r="D68" s="173" t="s">
        <v>169</v>
      </c>
      <c r="E68" s="186"/>
      <c r="F68" s="74"/>
      <c r="G68" s="74"/>
      <c r="H68" s="75"/>
      <c r="I68" s="75"/>
      <c r="J68" s="75"/>
      <c r="K68" s="75"/>
      <c r="L68" s="75"/>
      <c r="M68" s="76"/>
      <c r="N68" s="77"/>
      <c r="O68" s="78"/>
      <c r="P68" s="57"/>
      <c r="Q68" s="57"/>
      <c r="R68" s="47"/>
      <c r="S68" s="69"/>
    </row>
    <row r="69" spans="1:24" s="48" customFormat="1" ht="21.75" customHeight="1">
      <c r="A69" s="38"/>
      <c r="B69" s="70"/>
      <c r="C69" s="71"/>
      <c r="D69" s="173"/>
      <c r="E69" s="189"/>
      <c r="F69" s="74"/>
      <c r="G69" s="74"/>
      <c r="H69" s="75"/>
      <c r="I69" s="75"/>
      <c r="J69" s="75"/>
      <c r="K69" s="75"/>
      <c r="L69" s="75"/>
      <c r="M69" s="76"/>
      <c r="N69" s="77"/>
      <c r="O69" s="78"/>
      <c r="P69" s="57"/>
      <c r="Q69" s="57"/>
      <c r="R69" s="47"/>
      <c r="S69" s="69"/>
    </row>
    <row r="70" spans="1:24" s="48" customFormat="1">
      <c r="A70" s="38">
        <f>A65+1</f>
        <v>14</v>
      </c>
      <c r="B70" s="61" t="s">
        <v>201</v>
      </c>
      <c r="C70" s="62" t="s">
        <v>44</v>
      </c>
      <c r="D70" s="172" t="s">
        <v>169</v>
      </c>
      <c r="E70" s="184">
        <v>72500</v>
      </c>
      <c r="F70" s="97"/>
      <c r="G70" s="64"/>
      <c r="H70" s="65">
        <f t="shared" si="1"/>
        <v>0</v>
      </c>
      <c r="I70" s="65">
        <f t="shared" si="2"/>
        <v>0</v>
      </c>
      <c r="J70" s="65">
        <f t="shared" si="3"/>
        <v>0</v>
      </c>
      <c r="K70" s="65">
        <f t="shared" si="4"/>
        <v>0</v>
      </c>
      <c r="L70" s="65">
        <f t="shared" si="5"/>
        <v>0</v>
      </c>
      <c r="M70" s="66">
        <f t="shared" si="6"/>
        <v>0</v>
      </c>
      <c r="N70" s="112"/>
      <c r="O70" s="68">
        <f t="shared" si="7"/>
        <v>0</v>
      </c>
      <c r="P70" s="57"/>
      <c r="Q70" s="57"/>
      <c r="R70" s="47"/>
      <c r="S70" s="69"/>
    </row>
    <row r="71" spans="1:24" s="48" customFormat="1">
      <c r="A71" s="38"/>
      <c r="B71" s="61"/>
      <c r="C71" s="62" t="s">
        <v>202</v>
      </c>
      <c r="D71" s="172" t="s">
        <v>169</v>
      </c>
      <c r="E71" s="184">
        <v>150000</v>
      </c>
      <c r="F71" s="97"/>
      <c r="G71" s="64"/>
      <c r="H71" s="65"/>
      <c r="I71" s="65"/>
      <c r="J71" s="65"/>
      <c r="K71" s="65"/>
      <c r="L71" s="65"/>
      <c r="M71" s="66"/>
      <c r="N71" s="112"/>
      <c r="O71" s="68"/>
      <c r="P71" s="57"/>
      <c r="Q71" s="57"/>
      <c r="R71" s="95"/>
      <c r="S71" s="69"/>
    </row>
    <row r="72" spans="1:24" s="48" customFormat="1">
      <c r="A72" s="38"/>
      <c r="B72" s="89"/>
      <c r="C72" s="90" t="s">
        <v>192</v>
      </c>
      <c r="D72" s="175" t="s">
        <v>169</v>
      </c>
      <c r="E72" s="184">
        <v>175000</v>
      </c>
      <c r="F72" s="91"/>
      <c r="G72" s="92"/>
      <c r="H72" s="65"/>
      <c r="I72" s="65"/>
      <c r="J72" s="65"/>
      <c r="K72" s="65"/>
      <c r="L72" s="65"/>
      <c r="M72" s="66"/>
      <c r="N72" s="93"/>
      <c r="O72" s="94"/>
      <c r="P72" s="57"/>
      <c r="Q72" s="57"/>
      <c r="R72" s="95"/>
      <c r="S72" s="69"/>
    </row>
    <row r="73" spans="1:24" s="48" customFormat="1">
      <c r="A73" s="38"/>
      <c r="B73" s="89"/>
      <c r="C73" s="90" t="s">
        <v>181</v>
      </c>
      <c r="D73" s="175" t="s">
        <v>169</v>
      </c>
      <c r="E73" s="184">
        <v>240000</v>
      </c>
      <c r="F73" s="91"/>
      <c r="G73" s="92"/>
      <c r="H73" s="65"/>
      <c r="I73" s="65"/>
      <c r="J73" s="65"/>
      <c r="K73" s="65"/>
      <c r="L73" s="65"/>
      <c r="M73" s="66"/>
      <c r="N73" s="93"/>
      <c r="O73" s="94"/>
      <c r="P73" s="57"/>
      <c r="Q73" s="57"/>
      <c r="R73" s="95"/>
      <c r="S73" s="69"/>
    </row>
    <row r="74" spans="1:24" s="48" customFormat="1">
      <c r="A74" s="38"/>
      <c r="B74" s="61"/>
      <c r="C74" s="62"/>
      <c r="D74" s="172"/>
      <c r="E74" s="184"/>
      <c r="F74" s="63"/>
      <c r="G74" s="64"/>
      <c r="H74" s="65"/>
      <c r="I74" s="65"/>
      <c r="J74" s="65"/>
      <c r="K74" s="65"/>
      <c r="L74" s="65"/>
      <c r="M74" s="66"/>
      <c r="N74" s="67"/>
      <c r="O74" s="68"/>
      <c r="P74" s="57"/>
      <c r="Q74" s="57"/>
      <c r="R74" s="47"/>
      <c r="S74" s="69"/>
      <c r="X74" s="114">
        <v>30000</v>
      </c>
    </row>
    <row r="75" spans="1:24" s="48" customFormat="1">
      <c r="A75" s="38">
        <f>A70+1</f>
        <v>15</v>
      </c>
      <c r="B75" s="70" t="s">
        <v>203</v>
      </c>
      <c r="C75" s="116" t="s">
        <v>204</v>
      </c>
      <c r="D75" s="176" t="s">
        <v>169</v>
      </c>
      <c r="E75" s="185"/>
      <c r="F75" s="79"/>
      <c r="G75" s="74"/>
      <c r="H75" s="75">
        <f t="shared" si="1"/>
        <v>0</v>
      </c>
      <c r="I75" s="75">
        <f t="shared" si="2"/>
        <v>0</v>
      </c>
      <c r="J75" s="75">
        <f t="shared" si="3"/>
        <v>0</v>
      </c>
      <c r="K75" s="75">
        <f t="shared" si="4"/>
        <v>0</v>
      </c>
      <c r="L75" s="75">
        <f t="shared" si="5"/>
        <v>0</v>
      </c>
      <c r="M75" s="76">
        <f t="shared" si="6"/>
        <v>0</v>
      </c>
      <c r="N75" s="77"/>
      <c r="O75" s="78">
        <f t="shared" si="7"/>
        <v>0</v>
      </c>
      <c r="P75" s="57"/>
      <c r="Q75" s="57"/>
      <c r="R75" s="47"/>
      <c r="S75" s="69"/>
      <c r="X75" s="114">
        <v>25000</v>
      </c>
    </row>
    <row r="76" spans="1:24" s="48" customFormat="1" ht="27">
      <c r="A76" s="38"/>
      <c r="B76" s="99"/>
      <c r="C76" s="182" t="s">
        <v>205</v>
      </c>
      <c r="D76" s="177" t="s">
        <v>169</v>
      </c>
      <c r="E76" s="190"/>
      <c r="F76" s="115"/>
      <c r="G76" s="100"/>
      <c r="H76" s="101"/>
      <c r="I76" s="101"/>
      <c r="J76" s="101"/>
      <c r="K76" s="101"/>
      <c r="L76" s="101"/>
      <c r="M76" s="102">
        <f t="shared" si="6"/>
        <v>0</v>
      </c>
      <c r="N76" s="103"/>
      <c r="O76" s="104">
        <f t="shared" si="7"/>
        <v>0</v>
      </c>
      <c r="P76" s="57"/>
      <c r="Q76" s="57"/>
      <c r="R76" s="47"/>
      <c r="S76" s="69"/>
      <c r="X76" s="114">
        <v>25000</v>
      </c>
    </row>
    <row r="77" spans="1:24" s="48" customFormat="1">
      <c r="A77" s="38"/>
      <c r="B77" s="70"/>
      <c r="C77" s="116"/>
      <c r="D77" s="176"/>
      <c r="E77" s="189"/>
      <c r="F77" s="74"/>
      <c r="G77" s="74"/>
      <c r="H77" s="75"/>
      <c r="I77" s="75"/>
      <c r="J77" s="75"/>
      <c r="K77" s="75"/>
      <c r="L77" s="75"/>
      <c r="M77" s="76"/>
      <c r="N77" s="77"/>
      <c r="O77" s="78"/>
      <c r="P77" s="57"/>
      <c r="Q77" s="57"/>
      <c r="R77" s="47"/>
      <c r="S77" s="69"/>
      <c r="X77" s="114"/>
    </row>
    <row r="78" spans="1:24" s="48" customFormat="1">
      <c r="A78" s="38">
        <f>A75+1</f>
        <v>16</v>
      </c>
      <c r="B78" s="61" t="s">
        <v>206</v>
      </c>
      <c r="C78" s="62" t="s">
        <v>207</v>
      </c>
      <c r="D78" s="172"/>
      <c r="E78" s="187" t="s">
        <v>171</v>
      </c>
      <c r="F78" s="97"/>
      <c r="G78" s="64"/>
      <c r="H78" s="65">
        <f t="shared" si="1"/>
        <v>0</v>
      </c>
      <c r="I78" s="65">
        <f t="shared" si="2"/>
        <v>0</v>
      </c>
      <c r="J78" s="65">
        <f t="shared" si="3"/>
        <v>0</v>
      </c>
      <c r="K78" s="65">
        <f t="shared" si="4"/>
        <v>0</v>
      </c>
      <c r="L78" s="65">
        <f t="shared" si="5"/>
        <v>0</v>
      </c>
      <c r="M78" s="66">
        <f t="shared" si="6"/>
        <v>0</v>
      </c>
      <c r="N78" s="67"/>
      <c r="O78" s="68">
        <f t="shared" si="7"/>
        <v>0</v>
      </c>
      <c r="P78" s="57"/>
      <c r="Q78" s="57"/>
      <c r="R78" s="47"/>
      <c r="S78" s="69"/>
      <c r="X78" s="114">
        <v>12500</v>
      </c>
    </row>
    <row r="79" spans="1:24" s="48" customFormat="1">
      <c r="A79" s="38"/>
      <c r="B79" s="61"/>
      <c r="C79" s="62" t="s">
        <v>61</v>
      </c>
      <c r="D79" s="172" t="s">
        <v>169</v>
      </c>
      <c r="E79" s="191"/>
      <c r="F79" s="117"/>
      <c r="G79" s="64"/>
      <c r="H79" s="65"/>
      <c r="I79" s="65"/>
      <c r="J79" s="65"/>
      <c r="K79" s="65"/>
      <c r="L79" s="65"/>
      <c r="M79" s="66"/>
      <c r="N79" s="67"/>
      <c r="O79" s="68"/>
      <c r="P79" s="57"/>
      <c r="Q79" s="57"/>
      <c r="R79" s="47"/>
      <c r="S79" s="69"/>
      <c r="X79" s="114">
        <v>5000</v>
      </c>
    </row>
    <row r="80" spans="1:24" s="48" customFormat="1">
      <c r="A80" s="38"/>
      <c r="B80" s="61"/>
      <c r="C80" s="62" t="s">
        <v>208</v>
      </c>
      <c r="D80" s="172"/>
      <c r="E80" s="191"/>
      <c r="F80" s="117"/>
      <c r="G80" s="64"/>
      <c r="H80" s="65"/>
      <c r="I80" s="65"/>
      <c r="J80" s="65"/>
      <c r="K80" s="65"/>
      <c r="L80" s="65"/>
      <c r="M80" s="66"/>
      <c r="N80" s="67"/>
      <c r="O80" s="68"/>
      <c r="P80" s="57"/>
      <c r="Q80" s="57"/>
      <c r="R80" s="47"/>
      <c r="S80" s="69"/>
      <c r="X80" s="114"/>
    </row>
    <row r="81" spans="1:24" s="48" customFormat="1">
      <c r="A81" s="38"/>
      <c r="B81" s="61"/>
      <c r="C81" s="62" t="s">
        <v>209</v>
      </c>
      <c r="D81" s="172" t="s">
        <v>169</v>
      </c>
      <c r="E81" s="191"/>
      <c r="F81" s="117"/>
      <c r="G81" s="64"/>
      <c r="H81" s="65"/>
      <c r="I81" s="65"/>
      <c r="J81" s="65"/>
      <c r="K81" s="65"/>
      <c r="L81" s="65"/>
      <c r="M81" s="66"/>
      <c r="N81" s="67"/>
      <c r="O81" s="68"/>
      <c r="P81" s="57"/>
      <c r="Q81" s="57"/>
      <c r="R81" s="47"/>
      <c r="S81" s="69"/>
      <c r="X81" s="114"/>
    </row>
    <row r="82" spans="1:24" s="48" customFormat="1">
      <c r="A82" s="38"/>
      <c r="B82" s="61"/>
      <c r="C82" s="62" t="s">
        <v>210</v>
      </c>
      <c r="D82" s="172"/>
      <c r="E82" s="191"/>
      <c r="F82" s="117"/>
      <c r="G82" s="64"/>
      <c r="H82" s="65"/>
      <c r="I82" s="65"/>
      <c r="J82" s="65"/>
      <c r="K82" s="65"/>
      <c r="L82" s="65"/>
      <c r="M82" s="66"/>
      <c r="N82" s="67"/>
      <c r="O82" s="68"/>
      <c r="P82" s="57"/>
      <c r="Q82" s="57"/>
      <c r="R82" s="47"/>
      <c r="S82" s="69"/>
      <c r="X82" s="114"/>
    </row>
    <row r="83" spans="1:24" s="48" customFormat="1">
      <c r="A83" s="38"/>
      <c r="B83" s="61"/>
      <c r="C83" s="62"/>
      <c r="D83" s="172"/>
      <c r="E83" s="184"/>
      <c r="F83" s="63"/>
      <c r="G83" s="64"/>
      <c r="H83" s="65"/>
      <c r="I83" s="65"/>
      <c r="J83" s="65"/>
      <c r="K83" s="65"/>
      <c r="L83" s="65"/>
      <c r="M83" s="66"/>
      <c r="N83" s="67"/>
      <c r="O83" s="68"/>
      <c r="P83" s="57"/>
      <c r="Q83" s="57"/>
      <c r="R83" s="47"/>
      <c r="S83" s="69"/>
      <c r="X83" s="114"/>
    </row>
    <row r="84" spans="1:24" s="48" customFormat="1">
      <c r="A84" s="38">
        <f>A78+1</f>
        <v>17</v>
      </c>
      <c r="B84" s="70" t="s">
        <v>41</v>
      </c>
      <c r="C84" s="71" t="s">
        <v>42</v>
      </c>
      <c r="D84" s="173" t="s">
        <v>169</v>
      </c>
      <c r="E84" s="185">
        <v>58000</v>
      </c>
      <c r="F84" s="74"/>
      <c r="G84" s="74"/>
      <c r="H84" s="75">
        <f t="shared" si="1"/>
        <v>0</v>
      </c>
      <c r="I84" s="75">
        <f t="shared" si="2"/>
        <v>0</v>
      </c>
      <c r="J84" s="75">
        <f t="shared" si="3"/>
        <v>0</v>
      </c>
      <c r="K84" s="75">
        <f t="shared" si="4"/>
        <v>0</v>
      </c>
      <c r="L84" s="75">
        <f t="shared" si="5"/>
        <v>0</v>
      </c>
      <c r="M84" s="76">
        <f t="shared" si="6"/>
        <v>0</v>
      </c>
      <c r="N84" s="77"/>
      <c r="O84" s="78">
        <f t="shared" si="7"/>
        <v>0</v>
      </c>
      <c r="P84" s="57"/>
      <c r="Q84" s="57"/>
      <c r="R84" s="47"/>
      <c r="S84" s="69"/>
      <c r="X84" s="114">
        <f>SUM(X74:X79)</f>
        <v>97500</v>
      </c>
    </row>
    <row r="85" spans="1:24" s="48" customFormat="1">
      <c r="A85" s="38"/>
      <c r="B85" s="70"/>
      <c r="C85" s="71" t="s">
        <v>182</v>
      </c>
      <c r="D85" s="173"/>
      <c r="E85" s="185"/>
      <c r="F85" s="79"/>
      <c r="G85" s="74"/>
      <c r="H85" s="75"/>
      <c r="I85" s="75"/>
      <c r="J85" s="75"/>
      <c r="K85" s="75"/>
      <c r="L85" s="75"/>
      <c r="M85" s="76"/>
      <c r="N85" s="77"/>
      <c r="O85" s="78"/>
      <c r="P85" s="57"/>
      <c r="Q85" s="57"/>
      <c r="R85" s="95"/>
      <c r="S85" s="69"/>
      <c r="X85" s="114"/>
    </row>
    <row r="86" spans="1:24" s="48" customFormat="1">
      <c r="A86" s="38"/>
      <c r="B86" s="105"/>
      <c r="C86" s="106" t="s">
        <v>211</v>
      </c>
      <c r="D86" s="178" t="s">
        <v>169</v>
      </c>
      <c r="E86" s="204" t="s">
        <v>212</v>
      </c>
      <c r="F86" s="108"/>
      <c r="G86" s="107"/>
      <c r="H86" s="75"/>
      <c r="I86" s="75"/>
      <c r="J86" s="75"/>
      <c r="K86" s="75"/>
      <c r="L86" s="75"/>
      <c r="M86" s="76"/>
      <c r="N86" s="109"/>
      <c r="O86" s="110"/>
      <c r="P86" s="57"/>
      <c r="Q86" s="57"/>
      <c r="R86" s="95"/>
      <c r="S86" s="69"/>
      <c r="X86" s="114"/>
    </row>
    <row r="87" spans="1:24" s="48" customFormat="1">
      <c r="A87" s="38"/>
      <c r="B87" s="105"/>
      <c r="C87" s="106" t="s">
        <v>181</v>
      </c>
      <c r="D87" s="178"/>
      <c r="E87" s="185">
        <v>112000</v>
      </c>
      <c r="F87" s="108"/>
      <c r="G87" s="107"/>
      <c r="H87" s="75"/>
      <c r="I87" s="75"/>
      <c r="J87" s="75"/>
      <c r="K87" s="75"/>
      <c r="L87" s="75"/>
      <c r="M87" s="76"/>
      <c r="N87" s="109"/>
      <c r="O87" s="110"/>
      <c r="P87" s="57"/>
      <c r="Q87" s="57"/>
      <c r="R87" s="95"/>
      <c r="S87" s="69"/>
      <c r="X87" s="114"/>
    </row>
    <row r="88" spans="1:24" s="48" customFormat="1">
      <c r="A88" s="38"/>
      <c r="B88" s="70"/>
      <c r="C88" s="71"/>
      <c r="D88" s="173"/>
      <c r="E88" s="185"/>
      <c r="F88" s="79"/>
      <c r="G88" s="74"/>
      <c r="H88" s="75"/>
      <c r="I88" s="75"/>
      <c r="J88" s="75"/>
      <c r="K88" s="75"/>
      <c r="L88" s="75"/>
      <c r="M88" s="76"/>
      <c r="N88" s="77"/>
      <c r="O88" s="78"/>
      <c r="P88" s="57"/>
      <c r="Q88" s="57"/>
      <c r="R88" s="47"/>
      <c r="S88" s="69"/>
    </row>
    <row r="89" spans="1:24" s="48" customFormat="1">
      <c r="A89" s="38">
        <f>A84+1</f>
        <v>18</v>
      </c>
      <c r="B89" s="61" t="s">
        <v>213</v>
      </c>
      <c r="C89" s="62" t="s">
        <v>214</v>
      </c>
      <c r="D89" s="172"/>
      <c r="E89" s="184"/>
      <c r="F89" s="63"/>
      <c r="G89" s="64"/>
      <c r="H89" s="65">
        <f t="shared" si="1"/>
        <v>0</v>
      </c>
      <c r="I89" s="65">
        <f t="shared" si="2"/>
        <v>0</v>
      </c>
      <c r="J89" s="65">
        <f t="shared" si="3"/>
        <v>0</v>
      </c>
      <c r="K89" s="65">
        <f t="shared" si="4"/>
        <v>0</v>
      </c>
      <c r="L89" s="65">
        <f t="shared" si="5"/>
        <v>0</v>
      </c>
      <c r="M89" s="66">
        <f t="shared" si="6"/>
        <v>0</v>
      </c>
      <c r="N89" s="67"/>
      <c r="O89" s="68">
        <f t="shared" si="7"/>
        <v>0</v>
      </c>
      <c r="P89" s="57"/>
      <c r="Q89" s="57"/>
      <c r="R89" s="47"/>
      <c r="S89" s="69"/>
    </row>
    <row r="90" spans="1:24" s="48" customFormat="1">
      <c r="A90" s="38"/>
      <c r="B90" s="81"/>
      <c r="C90" s="82" t="s">
        <v>215</v>
      </c>
      <c r="D90" s="179" t="s">
        <v>169</v>
      </c>
      <c r="E90" s="192"/>
      <c r="F90" s="83"/>
      <c r="G90" s="84"/>
      <c r="H90" s="85"/>
      <c r="I90" s="85"/>
      <c r="J90" s="85"/>
      <c r="K90" s="85"/>
      <c r="L90" s="85"/>
      <c r="M90" s="86"/>
      <c r="N90" s="87"/>
      <c r="O90" s="88"/>
      <c r="P90" s="57"/>
      <c r="Q90" s="57"/>
      <c r="R90" s="47"/>
      <c r="S90" s="69"/>
    </row>
    <row r="91" spans="1:24" s="48" customFormat="1" ht="21.75" customHeight="1">
      <c r="A91" s="38"/>
      <c r="B91" s="61"/>
      <c r="C91" s="62"/>
      <c r="D91" s="172"/>
      <c r="E91" s="193"/>
      <c r="F91" s="64"/>
      <c r="G91" s="64"/>
      <c r="H91" s="65"/>
      <c r="I91" s="65"/>
      <c r="J91" s="65"/>
      <c r="K91" s="65"/>
      <c r="L91" s="65"/>
      <c r="M91" s="66"/>
      <c r="N91" s="67"/>
      <c r="O91" s="68">
        <f t="shared" si="7"/>
        <v>0</v>
      </c>
      <c r="P91" s="57"/>
      <c r="Q91" s="57"/>
      <c r="R91" s="47"/>
      <c r="S91" s="69"/>
    </row>
    <row r="92" spans="1:24" s="48" customFormat="1">
      <c r="A92" s="38">
        <f>A89+1</f>
        <v>19</v>
      </c>
      <c r="B92" s="70" t="s">
        <v>216</v>
      </c>
      <c r="C92" s="71" t="s">
        <v>214</v>
      </c>
      <c r="D92" s="173"/>
      <c r="E92" s="185"/>
      <c r="F92" s="79"/>
      <c r="G92" s="74"/>
      <c r="H92" s="75">
        <f t="shared" si="1"/>
        <v>0</v>
      </c>
      <c r="I92" s="75">
        <f t="shared" si="2"/>
        <v>0</v>
      </c>
      <c r="J92" s="75">
        <f t="shared" si="3"/>
        <v>0</v>
      </c>
      <c r="K92" s="75">
        <f t="shared" si="4"/>
        <v>0</v>
      </c>
      <c r="L92" s="75">
        <f t="shared" si="5"/>
        <v>0</v>
      </c>
      <c r="M92" s="76">
        <f t="shared" si="6"/>
        <v>0</v>
      </c>
      <c r="N92" s="77"/>
      <c r="O92" s="68">
        <f t="shared" si="7"/>
        <v>0</v>
      </c>
      <c r="P92" s="57"/>
      <c r="Q92" s="57"/>
      <c r="R92" s="47"/>
      <c r="S92" s="69"/>
    </row>
    <row r="93" spans="1:24" s="48" customFormat="1">
      <c r="A93" s="38"/>
      <c r="B93" s="70"/>
      <c r="C93" s="71" t="s">
        <v>215</v>
      </c>
      <c r="D93" s="173" t="s">
        <v>169</v>
      </c>
      <c r="E93" s="185"/>
      <c r="F93" s="79"/>
      <c r="G93" s="74"/>
      <c r="H93" s="75"/>
      <c r="I93" s="75"/>
      <c r="J93" s="75"/>
      <c r="K93" s="75"/>
      <c r="L93" s="75"/>
      <c r="M93" s="76"/>
      <c r="N93" s="77"/>
      <c r="O93" s="68"/>
      <c r="P93" s="57"/>
      <c r="Q93" s="57"/>
      <c r="R93" s="47"/>
      <c r="S93" s="69"/>
    </row>
    <row r="94" spans="1:24" s="48" customFormat="1">
      <c r="A94" s="38"/>
      <c r="B94" s="70"/>
      <c r="C94" s="71"/>
      <c r="D94" s="173"/>
      <c r="E94" s="185"/>
      <c r="F94" s="79"/>
      <c r="G94" s="74"/>
      <c r="H94" s="75"/>
      <c r="I94" s="75"/>
      <c r="J94" s="75"/>
      <c r="K94" s="75"/>
      <c r="L94" s="75"/>
      <c r="M94" s="76"/>
      <c r="N94" s="77"/>
      <c r="O94" s="68">
        <f t="shared" si="7"/>
        <v>0</v>
      </c>
      <c r="P94" s="57"/>
      <c r="Q94" s="57"/>
      <c r="R94" s="47"/>
      <c r="S94" s="69"/>
    </row>
    <row r="95" spans="1:24" s="48" customFormat="1">
      <c r="A95" s="38">
        <f>A92+1</f>
        <v>20</v>
      </c>
      <c r="B95" s="61" t="s">
        <v>217</v>
      </c>
      <c r="C95" s="62" t="s">
        <v>78</v>
      </c>
      <c r="D95" s="172" t="s">
        <v>169</v>
      </c>
      <c r="E95" s="184">
        <v>16040</v>
      </c>
      <c r="F95" s="63"/>
      <c r="G95" s="64"/>
      <c r="H95" s="65">
        <f t="shared" si="1"/>
        <v>0</v>
      </c>
      <c r="I95" s="65">
        <f t="shared" si="2"/>
        <v>0</v>
      </c>
      <c r="J95" s="65">
        <f t="shared" si="3"/>
        <v>0</v>
      </c>
      <c r="K95" s="65">
        <f t="shared" si="4"/>
        <v>0</v>
      </c>
      <c r="L95" s="65">
        <f t="shared" si="5"/>
        <v>0</v>
      </c>
      <c r="M95" s="66">
        <f t="shared" si="6"/>
        <v>0</v>
      </c>
      <c r="N95" s="67"/>
      <c r="O95" s="68">
        <f t="shared" si="7"/>
        <v>0</v>
      </c>
      <c r="P95" s="57"/>
      <c r="Q95" s="57"/>
      <c r="R95" s="47"/>
      <c r="S95" s="69"/>
    </row>
    <row r="96" spans="1:24" s="48" customFormat="1">
      <c r="A96" s="38"/>
      <c r="B96" s="61"/>
      <c r="C96" s="62"/>
      <c r="D96" s="172"/>
      <c r="E96" s="184"/>
      <c r="F96" s="63"/>
      <c r="G96" s="64"/>
      <c r="H96" s="65"/>
      <c r="I96" s="65"/>
      <c r="J96" s="65"/>
      <c r="K96" s="65"/>
      <c r="L96" s="65"/>
      <c r="M96" s="66"/>
      <c r="N96" s="67"/>
      <c r="O96" s="68"/>
      <c r="P96" s="57"/>
      <c r="Q96" s="57"/>
      <c r="R96" s="47"/>
      <c r="S96" s="69"/>
    </row>
    <row r="97" spans="1:19" s="48" customFormat="1">
      <c r="A97" s="38">
        <f>A95+1</f>
        <v>21</v>
      </c>
      <c r="B97" s="70" t="s">
        <v>218</v>
      </c>
      <c r="C97" s="71" t="s">
        <v>219</v>
      </c>
      <c r="D97" s="173" t="s">
        <v>169</v>
      </c>
      <c r="E97" s="185">
        <v>40500</v>
      </c>
      <c r="F97" s="79"/>
      <c r="G97" s="74"/>
      <c r="H97" s="75">
        <f t="shared" si="1"/>
        <v>0</v>
      </c>
      <c r="I97" s="75">
        <f t="shared" si="2"/>
        <v>0</v>
      </c>
      <c r="J97" s="75">
        <f t="shared" si="3"/>
        <v>0</v>
      </c>
      <c r="K97" s="75">
        <f t="shared" si="4"/>
        <v>0</v>
      </c>
      <c r="L97" s="75">
        <f t="shared" si="5"/>
        <v>0</v>
      </c>
      <c r="M97" s="76">
        <f>SUM(H97:L97)</f>
        <v>0</v>
      </c>
      <c r="N97" s="77"/>
      <c r="O97" s="78">
        <f t="shared" si="7"/>
        <v>0</v>
      </c>
      <c r="P97" s="57"/>
      <c r="Q97" s="57"/>
      <c r="R97" s="47"/>
      <c r="S97" s="69"/>
    </row>
    <row r="98" spans="1:19" s="48" customFormat="1">
      <c r="A98" s="38"/>
      <c r="B98" s="70"/>
      <c r="C98" s="71"/>
      <c r="D98" s="173"/>
      <c r="E98" s="194"/>
      <c r="F98" s="73"/>
      <c r="G98" s="74"/>
      <c r="H98" s="75"/>
      <c r="I98" s="75"/>
      <c r="J98" s="75"/>
      <c r="K98" s="75"/>
      <c r="L98" s="75"/>
      <c r="M98" s="76">
        <f>SUM(H98:L98)</f>
        <v>0</v>
      </c>
      <c r="N98" s="77"/>
      <c r="O98" s="78"/>
      <c r="P98" s="57"/>
      <c r="Q98" s="57"/>
      <c r="R98" s="47"/>
      <c r="S98" s="69"/>
    </row>
    <row r="99" spans="1:19" s="48" customFormat="1">
      <c r="A99" s="38"/>
      <c r="B99" s="61" t="s">
        <v>56</v>
      </c>
      <c r="C99" s="62" t="s">
        <v>220</v>
      </c>
      <c r="D99" s="172" t="s">
        <v>169</v>
      </c>
      <c r="E99" s="184"/>
      <c r="F99" s="63"/>
      <c r="G99" s="64"/>
      <c r="H99" s="65"/>
      <c r="I99" s="65"/>
      <c r="J99" s="65"/>
      <c r="K99" s="65"/>
      <c r="L99" s="65"/>
      <c r="M99" s="66"/>
      <c r="N99" s="67"/>
      <c r="O99" s="68"/>
      <c r="P99" s="57"/>
      <c r="Q99" s="57"/>
      <c r="R99" s="47"/>
      <c r="S99" s="69"/>
    </row>
    <row r="100" spans="1:19" s="48" customFormat="1">
      <c r="A100" s="38"/>
      <c r="B100" s="61"/>
      <c r="C100" s="62" t="s">
        <v>57</v>
      </c>
      <c r="D100" s="172" t="s">
        <v>169</v>
      </c>
      <c r="E100" s="184">
        <v>118200</v>
      </c>
      <c r="F100" s="63"/>
      <c r="G100" s="64"/>
      <c r="H100" s="65"/>
      <c r="I100" s="65"/>
      <c r="J100" s="65"/>
      <c r="K100" s="65"/>
      <c r="L100" s="65"/>
      <c r="M100" s="66"/>
      <c r="N100" s="67"/>
      <c r="O100" s="68"/>
      <c r="P100" s="57"/>
      <c r="Q100" s="57"/>
      <c r="R100" s="47"/>
      <c r="S100" s="69"/>
    </row>
    <row r="101" spans="1:19" s="48" customFormat="1">
      <c r="A101" s="38"/>
      <c r="B101" s="61"/>
      <c r="C101" s="62"/>
      <c r="D101" s="172"/>
      <c r="E101" s="195"/>
      <c r="F101" s="96"/>
      <c r="G101" s="64"/>
      <c r="H101" s="65"/>
      <c r="I101" s="65"/>
      <c r="J101" s="65"/>
      <c r="K101" s="65"/>
      <c r="L101" s="65"/>
      <c r="M101" s="66"/>
      <c r="N101" s="67"/>
      <c r="O101" s="68"/>
      <c r="P101" s="57"/>
      <c r="Q101" s="57"/>
      <c r="R101" s="47"/>
      <c r="S101" s="69"/>
    </row>
    <row r="102" spans="1:19" s="48" customFormat="1" ht="21.75" customHeight="1">
      <c r="A102" s="38"/>
      <c r="B102" s="118" t="s">
        <v>223</v>
      </c>
      <c r="C102" s="119" t="s">
        <v>224</v>
      </c>
      <c r="D102" s="180"/>
      <c r="E102" s="196"/>
      <c r="F102" s="120"/>
      <c r="G102" s="121"/>
      <c r="H102" s="122">
        <f t="shared" si="1"/>
        <v>0</v>
      </c>
      <c r="I102" s="122">
        <f t="shared" si="2"/>
        <v>0</v>
      </c>
      <c r="J102" s="122">
        <f t="shared" si="3"/>
        <v>0</v>
      </c>
      <c r="K102" s="122">
        <f t="shared" si="4"/>
        <v>0</v>
      </c>
      <c r="L102" s="122">
        <f t="shared" si="5"/>
        <v>0</v>
      </c>
      <c r="M102" s="123">
        <f t="shared" ref="M102" si="9">SUM(H102:L102)</f>
        <v>0</v>
      </c>
      <c r="N102" s="124"/>
      <c r="O102" s="125">
        <f t="shared" ref="O102" si="10">M102+N102</f>
        <v>0</v>
      </c>
      <c r="P102" s="57"/>
      <c r="Q102" s="57"/>
      <c r="R102" s="47"/>
      <c r="S102" s="69"/>
    </row>
    <row r="103" spans="1:19" s="48" customFormat="1" ht="21.75" customHeight="1">
      <c r="A103" s="38">
        <f>A97+1</f>
        <v>22</v>
      </c>
      <c r="B103" s="118" t="s">
        <v>225</v>
      </c>
      <c r="C103" s="119" t="s">
        <v>224</v>
      </c>
      <c r="D103" s="180"/>
      <c r="E103" s="196"/>
      <c r="F103" s="120"/>
      <c r="G103" s="121"/>
      <c r="H103" s="122">
        <f t="shared" si="1"/>
        <v>0</v>
      </c>
      <c r="I103" s="122">
        <f t="shared" si="2"/>
        <v>0</v>
      </c>
      <c r="J103" s="122">
        <f t="shared" si="3"/>
        <v>0</v>
      </c>
      <c r="K103" s="122">
        <f t="shared" si="4"/>
        <v>0</v>
      </c>
      <c r="L103" s="122">
        <f t="shared" si="5"/>
        <v>0</v>
      </c>
      <c r="M103" s="123">
        <f t="shared" si="6"/>
        <v>0</v>
      </c>
      <c r="N103" s="124"/>
      <c r="O103" s="125">
        <f t="shared" si="7"/>
        <v>0</v>
      </c>
      <c r="P103" s="57"/>
      <c r="Q103" s="57"/>
      <c r="R103" s="47"/>
      <c r="S103" s="69"/>
    </row>
    <row r="104" spans="1:19" s="48" customFormat="1" ht="21.75" customHeight="1">
      <c r="A104" s="38"/>
      <c r="B104" s="118" t="s">
        <v>226</v>
      </c>
      <c r="C104" s="119" t="s">
        <v>224</v>
      </c>
      <c r="D104" s="180"/>
      <c r="E104" s="196"/>
      <c r="F104" s="120"/>
      <c r="G104" s="121"/>
      <c r="H104" s="122"/>
      <c r="I104" s="122"/>
      <c r="J104" s="122"/>
      <c r="K104" s="122"/>
      <c r="L104" s="122"/>
      <c r="M104" s="123"/>
      <c r="N104" s="124"/>
      <c r="O104" s="125"/>
      <c r="P104" s="57"/>
      <c r="Q104" s="57"/>
      <c r="R104" s="47"/>
      <c r="S104" s="69"/>
    </row>
    <row r="105" spans="1:19" s="48" customFormat="1" ht="21.75" customHeight="1">
      <c r="A105" s="38"/>
      <c r="B105" s="118" t="s">
        <v>227</v>
      </c>
      <c r="C105" s="119" t="s">
        <v>224</v>
      </c>
      <c r="D105" s="180"/>
      <c r="E105" s="196"/>
      <c r="F105" s="120"/>
      <c r="G105" s="121"/>
      <c r="H105" s="122">
        <f t="shared" si="1"/>
        <v>0</v>
      </c>
      <c r="I105" s="122">
        <f t="shared" si="2"/>
        <v>0</v>
      </c>
      <c r="J105" s="122">
        <f t="shared" si="3"/>
        <v>0</v>
      </c>
      <c r="K105" s="122">
        <f t="shared" si="4"/>
        <v>0</v>
      </c>
      <c r="L105" s="122">
        <f t="shared" si="5"/>
        <v>0</v>
      </c>
      <c r="M105" s="123"/>
      <c r="N105" s="124"/>
      <c r="O105" s="125"/>
      <c r="P105" s="57"/>
      <c r="Q105" s="57"/>
      <c r="R105" s="47"/>
      <c r="S105" s="69"/>
    </row>
    <row r="106" spans="1:19" s="48" customFormat="1" ht="21.75" customHeight="1" thickBot="1">
      <c r="A106" s="38">
        <f>A103+1</f>
        <v>23</v>
      </c>
      <c r="B106" s="118" t="s">
        <v>228</v>
      </c>
      <c r="C106" s="126"/>
      <c r="D106" s="134"/>
      <c r="E106" s="197"/>
      <c r="F106" s="121"/>
      <c r="G106" s="121"/>
      <c r="H106" s="122">
        <f t="shared" si="1"/>
        <v>0</v>
      </c>
      <c r="I106" s="122">
        <f t="shared" si="2"/>
        <v>0</v>
      </c>
      <c r="J106" s="122">
        <f t="shared" si="3"/>
        <v>0</v>
      </c>
      <c r="K106" s="122">
        <f t="shared" si="4"/>
        <v>0</v>
      </c>
      <c r="L106" s="122">
        <f t="shared" si="5"/>
        <v>0</v>
      </c>
      <c r="M106" s="123">
        <f t="shared" si="6"/>
        <v>0</v>
      </c>
      <c r="N106" s="124"/>
      <c r="O106" s="125">
        <f t="shared" si="7"/>
        <v>0</v>
      </c>
      <c r="P106" s="57"/>
      <c r="Q106" s="57"/>
      <c r="R106" s="47"/>
      <c r="S106" s="69"/>
    </row>
    <row r="107" spans="1:19" s="48" customFormat="1" ht="21.75" customHeight="1">
      <c r="A107" s="38">
        <f t="shared" ref="A107:A112" si="11">A106+1</f>
        <v>24</v>
      </c>
      <c r="B107" s="127" t="s">
        <v>229</v>
      </c>
      <c r="C107" s="128"/>
      <c r="D107" s="129"/>
      <c r="E107" s="198"/>
      <c r="F107" s="130">
        <f t="shared" ref="F107:O107" si="12">SUM(F13:F106)</f>
        <v>10037552.5</v>
      </c>
      <c r="G107" s="130">
        <f t="shared" si="12"/>
        <v>10570565</v>
      </c>
      <c r="H107" s="130">
        <f t="shared" si="12"/>
        <v>2081250</v>
      </c>
      <c r="I107" s="130">
        <f t="shared" si="12"/>
        <v>2497500</v>
      </c>
      <c r="J107" s="130">
        <f t="shared" si="12"/>
        <v>2913750</v>
      </c>
      <c r="K107" s="130">
        <f t="shared" si="12"/>
        <v>416250</v>
      </c>
      <c r="L107" s="130">
        <f t="shared" si="12"/>
        <v>416250</v>
      </c>
      <c r="M107" s="131">
        <f t="shared" si="12"/>
        <v>8325000</v>
      </c>
      <c r="N107" s="130">
        <f t="shared" si="12"/>
        <v>0</v>
      </c>
      <c r="O107" s="132">
        <f t="shared" si="12"/>
        <v>8325000</v>
      </c>
      <c r="P107" s="57"/>
      <c r="Q107" s="57"/>
      <c r="R107" s="47"/>
      <c r="S107" s="69"/>
    </row>
    <row r="108" spans="1:19" s="48" customFormat="1" ht="22.35" customHeight="1">
      <c r="A108" s="38">
        <f t="shared" si="11"/>
        <v>25</v>
      </c>
      <c r="B108" s="133" t="s">
        <v>230</v>
      </c>
      <c r="C108" s="126" t="s">
        <v>21</v>
      </c>
      <c r="D108" s="134"/>
      <c r="E108" s="199"/>
      <c r="F108" s="135">
        <v>2000000</v>
      </c>
      <c r="G108" s="135">
        <v>2000000</v>
      </c>
      <c r="H108" s="122">
        <f t="shared" si="1"/>
        <v>500000</v>
      </c>
      <c r="I108" s="122">
        <f t="shared" ref="I108:I112" si="13">G108*$I$2</f>
        <v>600000</v>
      </c>
      <c r="J108" s="122">
        <f t="shared" ref="J108:J112" si="14">G108*$J$2</f>
        <v>700000</v>
      </c>
      <c r="K108" s="122">
        <f t="shared" ref="K108:K112" si="15">G108*$K$2</f>
        <v>100000</v>
      </c>
      <c r="L108" s="122">
        <f t="shared" ref="L108:L112" si="16">G108*$L$2</f>
        <v>100000</v>
      </c>
      <c r="M108" s="123">
        <f>SUM(H108:L108)</f>
        <v>2000000</v>
      </c>
      <c r="N108" s="124"/>
      <c r="O108" s="125">
        <f t="shared" si="7"/>
        <v>2000000</v>
      </c>
      <c r="P108" s="57"/>
      <c r="Q108" s="57"/>
      <c r="R108" s="47"/>
      <c r="S108" s="69"/>
    </row>
    <row r="109" spans="1:19" s="48" customFormat="1" ht="22.35" customHeight="1">
      <c r="A109" s="38">
        <f t="shared" si="11"/>
        <v>26</v>
      </c>
      <c r="B109" s="118" t="s">
        <v>231</v>
      </c>
      <c r="C109" s="126" t="s">
        <v>21</v>
      </c>
      <c r="D109" s="134"/>
      <c r="E109" s="199"/>
      <c r="F109" s="135">
        <v>2500000</v>
      </c>
      <c r="G109" s="135">
        <v>2500000</v>
      </c>
      <c r="H109" s="122">
        <f t="shared" si="1"/>
        <v>625000</v>
      </c>
      <c r="I109" s="122">
        <f t="shared" si="13"/>
        <v>750000</v>
      </c>
      <c r="J109" s="122">
        <f t="shared" si="14"/>
        <v>875000</v>
      </c>
      <c r="K109" s="122">
        <f t="shared" si="15"/>
        <v>125000</v>
      </c>
      <c r="L109" s="122">
        <f t="shared" si="16"/>
        <v>125000</v>
      </c>
      <c r="M109" s="123">
        <f t="shared" ref="M109:M112" si="17">SUM(H109:L109)</f>
        <v>2500000</v>
      </c>
      <c r="N109" s="124"/>
      <c r="O109" s="125">
        <f t="shared" si="7"/>
        <v>2500000</v>
      </c>
      <c r="P109" s="57"/>
      <c r="Q109" s="57"/>
      <c r="R109" s="47"/>
      <c r="S109" s="69"/>
    </row>
    <row r="110" spans="1:19" s="48" customFormat="1" ht="22.35" customHeight="1">
      <c r="A110" s="38">
        <f t="shared" si="11"/>
        <v>27</v>
      </c>
      <c r="B110" s="118" t="s">
        <v>232</v>
      </c>
      <c r="C110" s="126" t="s">
        <v>21</v>
      </c>
      <c r="D110" s="134"/>
      <c r="E110" s="199"/>
      <c r="F110" s="135"/>
      <c r="G110" s="135"/>
      <c r="H110" s="122"/>
      <c r="I110" s="122"/>
      <c r="J110" s="122"/>
      <c r="K110" s="122"/>
      <c r="L110" s="122"/>
      <c r="M110" s="123"/>
      <c r="N110" s="124"/>
      <c r="O110" s="125"/>
      <c r="P110" s="57"/>
      <c r="Q110" s="57"/>
      <c r="R110" s="47"/>
      <c r="S110" s="69"/>
    </row>
    <row r="111" spans="1:19" s="48" customFormat="1" ht="22.35" customHeight="1">
      <c r="A111" s="38">
        <f t="shared" si="11"/>
        <v>28</v>
      </c>
      <c r="B111" s="118" t="s">
        <v>233</v>
      </c>
      <c r="C111" s="126" t="s">
        <v>21</v>
      </c>
      <c r="D111" s="134"/>
      <c r="E111" s="199"/>
      <c r="F111" s="134"/>
      <c r="G111" s="134"/>
      <c r="H111" s="122">
        <f t="shared" si="1"/>
        <v>0</v>
      </c>
      <c r="I111" s="122">
        <f t="shared" si="13"/>
        <v>0</v>
      </c>
      <c r="J111" s="122">
        <f t="shared" si="14"/>
        <v>0</v>
      </c>
      <c r="K111" s="122">
        <f t="shared" si="15"/>
        <v>0</v>
      </c>
      <c r="L111" s="122">
        <f t="shared" si="16"/>
        <v>0</v>
      </c>
      <c r="M111" s="123">
        <f t="shared" si="17"/>
        <v>0</v>
      </c>
      <c r="N111" s="124"/>
      <c r="O111" s="125">
        <f t="shared" si="7"/>
        <v>0</v>
      </c>
      <c r="P111" s="57"/>
      <c r="Q111" s="57"/>
      <c r="R111" s="47"/>
      <c r="S111" s="69"/>
    </row>
    <row r="112" spans="1:19" s="48" customFormat="1" ht="21.75" customHeight="1">
      <c r="A112" s="38">
        <f t="shared" si="11"/>
        <v>29</v>
      </c>
      <c r="B112" s="136" t="s">
        <v>234</v>
      </c>
      <c r="C112" s="137" t="s">
        <v>21</v>
      </c>
      <c r="D112" s="42"/>
      <c r="E112" s="200"/>
      <c r="F112" s="121">
        <v>100000</v>
      </c>
      <c r="G112" s="121">
        <v>100000</v>
      </c>
      <c r="H112" s="122">
        <f t="shared" si="1"/>
        <v>25000</v>
      </c>
      <c r="I112" s="122">
        <f t="shared" si="13"/>
        <v>30000</v>
      </c>
      <c r="J112" s="122">
        <f t="shared" si="14"/>
        <v>35000</v>
      </c>
      <c r="K112" s="122">
        <f t="shared" si="15"/>
        <v>5000</v>
      </c>
      <c r="L112" s="122">
        <f t="shared" si="16"/>
        <v>5000</v>
      </c>
      <c r="M112" s="123">
        <f t="shared" si="17"/>
        <v>100000</v>
      </c>
      <c r="N112" s="124"/>
      <c r="O112" s="125">
        <f t="shared" si="7"/>
        <v>100000</v>
      </c>
      <c r="P112" s="57"/>
      <c r="Q112" s="57"/>
      <c r="R112" s="47"/>
      <c r="S112" s="69"/>
    </row>
    <row r="113" spans="1:24" s="48" customFormat="1" ht="21.75" customHeight="1" thickBot="1">
      <c r="A113" s="38"/>
      <c r="B113" s="138"/>
      <c r="C113" s="139"/>
      <c r="D113" s="140"/>
      <c r="E113" s="201"/>
      <c r="F113" s="140"/>
      <c r="G113" s="140"/>
      <c r="H113" s="141"/>
      <c r="I113" s="141"/>
      <c r="J113" s="141"/>
      <c r="K113" s="141"/>
      <c r="L113" s="141"/>
      <c r="M113" s="142"/>
      <c r="N113" s="143"/>
      <c r="O113" s="144">
        <f>M113+N113</f>
        <v>0</v>
      </c>
      <c r="P113" s="57"/>
      <c r="Q113" s="57"/>
      <c r="R113" s="47"/>
      <c r="S113" s="69"/>
    </row>
    <row r="114" spans="1:24" s="48" customFormat="1" ht="22.5" customHeight="1">
      <c r="A114" s="38"/>
      <c r="B114" s="127" t="s">
        <v>235</v>
      </c>
      <c r="C114" s="130"/>
      <c r="D114" s="130"/>
      <c r="E114" s="198"/>
      <c r="F114" s="130">
        <f t="shared" ref="F114:O114" si="18">SUM(F107:F113)</f>
        <v>14637552.5</v>
      </c>
      <c r="G114" s="130">
        <f t="shared" si="18"/>
        <v>15170565</v>
      </c>
      <c r="H114" s="130">
        <f t="shared" si="18"/>
        <v>3231250</v>
      </c>
      <c r="I114" s="130">
        <f t="shared" si="18"/>
        <v>3877500</v>
      </c>
      <c r="J114" s="130">
        <f t="shared" si="18"/>
        <v>4523750</v>
      </c>
      <c r="K114" s="130">
        <f t="shared" si="18"/>
        <v>646250</v>
      </c>
      <c r="L114" s="130">
        <f t="shared" si="18"/>
        <v>646250</v>
      </c>
      <c r="M114" s="131">
        <f t="shared" si="18"/>
        <v>12925000</v>
      </c>
      <c r="N114" s="145">
        <f t="shared" si="18"/>
        <v>0</v>
      </c>
      <c r="O114" s="132">
        <f t="shared" si="18"/>
        <v>12925000</v>
      </c>
      <c r="P114" s="38"/>
      <c r="Q114" s="38"/>
      <c r="R114" s="47"/>
    </row>
    <row r="115" spans="1:24" s="48" customFormat="1" ht="22.5" customHeight="1">
      <c r="A115" s="38"/>
      <c r="B115" s="146" t="s">
        <v>236</v>
      </c>
      <c r="C115" s="147"/>
      <c r="D115" s="147"/>
      <c r="E115" s="202"/>
      <c r="F115" s="148">
        <f>F114*15%</f>
        <v>2195632.875</v>
      </c>
      <c r="G115" s="148">
        <f>G114*15%</f>
        <v>2275584.75</v>
      </c>
      <c r="H115" s="149">
        <f t="shared" ref="H115:H116" si="19">G115*$H$2</f>
        <v>568896.1875</v>
      </c>
      <c r="I115" s="149">
        <f t="shared" ref="I115:I116" si="20">G115*$I$2</f>
        <v>682675.42499999993</v>
      </c>
      <c r="J115" s="149">
        <f t="shared" ref="J115:J116" si="21">G115*$J$2</f>
        <v>796454.66249999998</v>
      </c>
      <c r="K115" s="149">
        <f t="shared" ref="K115:K116" si="22">G115*$K$2</f>
        <v>113779.2375</v>
      </c>
      <c r="L115" s="149">
        <f t="shared" ref="L115:L116" si="23">G115*$L$2</f>
        <v>113779.2375</v>
      </c>
      <c r="M115" s="150">
        <f>SUM(H115:L115)</f>
        <v>2275584.7499999995</v>
      </c>
      <c r="N115" s="151"/>
      <c r="O115" s="152">
        <f t="shared" ref="O115:O116" si="24">M115+N115</f>
        <v>2275584.7499999995</v>
      </c>
      <c r="P115" s="38"/>
      <c r="Q115" s="38"/>
      <c r="R115" s="47"/>
    </row>
    <row r="116" spans="1:24" s="48" customFormat="1" ht="22.5" customHeight="1" thickBot="1">
      <c r="A116" s="38"/>
      <c r="B116" s="153" t="s">
        <v>237</v>
      </c>
      <c r="C116" s="154"/>
      <c r="D116" s="155"/>
      <c r="E116" s="202"/>
      <c r="F116" s="147">
        <f>P118</f>
        <v>0</v>
      </c>
      <c r="G116" s="147">
        <f>R118</f>
        <v>1938461.0833333333</v>
      </c>
      <c r="H116" s="149">
        <f t="shared" si="19"/>
        <v>484615.27083333331</v>
      </c>
      <c r="I116" s="149">
        <f t="shared" si="20"/>
        <v>581538.32499999995</v>
      </c>
      <c r="J116" s="149">
        <f t="shared" si="21"/>
        <v>678461.37916666665</v>
      </c>
      <c r="K116" s="149">
        <f t="shared" si="22"/>
        <v>96923.054166666669</v>
      </c>
      <c r="L116" s="149">
        <f t="shared" si="23"/>
        <v>96923.054166666669</v>
      </c>
      <c r="M116" s="150">
        <f>SUM(H116:L116)</f>
        <v>1938461.0833333333</v>
      </c>
      <c r="N116" s="156"/>
      <c r="O116" s="152">
        <f t="shared" si="24"/>
        <v>1938461.0833333333</v>
      </c>
      <c r="P116" s="38"/>
      <c r="Q116" s="38"/>
      <c r="R116" s="47">
        <f>G114+G115</f>
        <v>17446149.75</v>
      </c>
    </row>
    <row r="117" spans="1:24" s="48" customFormat="1" ht="22.5" customHeight="1" thickBot="1">
      <c r="A117" s="38"/>
      <c r="B117" s="157" t="s">
        <v>238</v>
      </c>
      <c r="C117" s="158"/>
      <c r="D117" s="159"/>
      <c r="E117" s="203"/>
      <c r="F117" s="160">
        <f t="shared" ref="F117:O117" si="25">SUM(F114:F116)</f>
        <v>16833185.375</v>
      </c>
      <c r="G117" s="160">
        <f t="shared" si="25"/>
        <v>19384610.833333332</v>
      </c>
      <c r="H117" s="160">
        <f>SUM(H114:H116)</f>
        <v>4284761.458333333</v>
      </c>
      <c r="I117" s="160">
        <f t="shared" si="25"/>
        <v>5141713.75</v>
      </c>
      <c r="J117" s="160">
        <f t="shared" si="25"/>
        <v>5998666.041666666</v>
      </c>
      <c r="K117" s="160">
        <f t="shared" si="25"/>
        <v>856952.29166666674</v>
      </c>
      <c r="L117" s="160">
        <f t="shared" si="25"/>
        <v>856952.29166666674</v>
      </c>
      <c r="M117" s="161">
        <f t="shared" si="25"/>
        <v>17139045.833333332</v>
      </c>
      <c r="N117" s="162">
        <f t="shared" si="25"/>
        <v>0</v>
      </c>
      <c r="O117" s="163">
        <f t="shared" si="25"/>
        <v>17139045.833333332</v>
      </c>
      <c r="P117" s="57"/>
      <c r="Q117" s="57"/>
      <c r="R117" s="47">
        <f>R116/0.9</f>
        <v>19384610.833333332</v>
      </c>
    </row>
    <row r="118" spans="1:24" s="167" customFormat="1" ht="18.75" customHeight="1">
      <c r="A118" s="164"/>
      <c r="B118" s="165"/>
      <c r="C118" s="164"/>
      <c r="D118" s="164"/>
      <c r="E118" s="164"/>
      <c r="F118" s="164"/>
      <c r="G118" s="164"/>
      <c r="H118" s="3">
        <v>0.25</v>
      </c>
      <c r="I118" s="3">
        <v>0.3</v>
      </c>
      <c r="J118" s="3">
        <v>0.35</v>
      </c>
      <c r="K118" s="3">
        <v>0.05</v>
      </c>
      <c r="L118" s="3">
        <v>0.05</v>
      </c>
      <c r="M118" s="4"/>
      <c r="N118" s="4"/>
      <c r="O118" s="4"/>
      <c r="P118" s="164"/>
      <c r="Q118" s="164"/>
      <c r="R118" s="166">
        <f>R117*10%</f>
        <v>1938461.0833333333</v>
      </c>
    </row>
    <row r="120" spans="1:24">
      <c r="H120" s="168">
        <v>0.2</v>
      </c>
      <c r="I120" s="3">
        <v>0.3</v>
      </c>
      <c r="J120" s="3">
        <v>0.35</v>
      </c>
      <c r="K120" s="3">
        <v>0.1</v>
      </c>
      <c r="L120" s="3">
        <v>0.05</v>
      </c>
    </row>
    <row r="121" spans="1:24" ht="14.1" thickBot="1"/>
    <row r="122" spans="1:24" s="1" customFormat="1" ht="14.1" thickBot="1">
      <c r="B122" s="2"/>
      <c r="H122" s="160">
        <v>1522419.7810606062</v>
      </c>
      <c r="I122" s="160">
        <v>1826903.7372727273</v>
      </c>
      <c r="J122" s="160">
        <v>2131387.6934848484</v>
      </c>
      <c r="K122" s="160">
        <v>304483.95621212124</v>
      </c>
      <c r="L122" s="160">
        <v>304483.95621212124</v>
      </c>
      <c r="M122" s="161">
        <v>6089679.124242424</v>
      </c>
      <c r="R122" s="5"/>
      <c r="S122" s="2"/>
      <c r="T122" s="2"/>
      <c r="U122" s="2"/>
      <c r="V122" s="2"/>
      <c r="W122" s="2"/>
      <c r="X122" s="2"/>
    </row>
    <row r="123" spans="1:24" s="1" customFormat="1">
      <c r="B123" s="2"/>
      <c r="H123" s="169">
        <f>H120*$M$122</f>
        <v>1217935.8248484849</v>
      </c>
      <c r="I123" s="169">
        <f t="shared" ref="I123:L123" si="26">I120*$M$122</f>
        <v>1826903.7372727271</v>
      </c>
      <c r="J123" s="169">
        <f t="shared" si="26"/>
        <v>2131387.6934848484</v>
      </c>
      <c r="K123" s="169">
        <f t="shared" si="26"/>
        <v>608967.91242424247</v>
      </c>
      <c r="L123" s="169">
        <f t="shared" si="26"/>
        <v>304483.95621212124</v>
      </c>
      <c r="R123" s="5"/>
      <c r="S123" s="2"/>
      <c r="T123" s="2"/>
      <c r="U123" s="2"/>
      <c r="V123" s="2"/>
      <c r="W123" s="2"/>
      <c r="X123" s="2"/>
    </row>
  </sheetData>
  <mergeCells count="4">
    <mergeCell ref="B7:O7"/>
    <mergeCell ref="B9:B10"/>
    <mergeCell ref="C9:C10"/>
    <mergeCell ref="B12:C12"/>
  </mergeCells>
  <printOptions horizontalCentered="1"/>
  <pageMargins left="0.5" right="0.25" top="0.5" bottom="0.5" header="0.5" footer="0.5"/>
  <pageSetup paperSize="8" scale="33" firstPageNumber="4" orientation="portrait" r:id="rId1"/>
  <headerFooter>
    <oddFooter>&amp;L&amp;G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79F3-795C-46E3-9E16-5836230095D0}">
  <sheetPr codeName="Sheet5">
    <pageSetUpPr fitToPage="1"/>
  </sheetPr>
  <dimension ref="A2:BG37"/>
  <sheetViews>
    <sheetView zoomScale="70" zoomScaleNormal="70" workbookViewId="0">
      <selection activeCell="E4" sqref="E1:E1048576"/>
    </sheetView>
  </sheetViews>
  <sheetFormatPr defaultColWidth="12.42578125" defaultRowHeight="15.6"/>
  <cols>
    <col min="1" max="1" width="5.42578125" style="417" customWidth="1"/>
    <col min="2" max="2" width="32.42578125" style="416" hidden="1" customWidth="1"/>
    <col min="3" max="3" width="10.5703125" style="416" customWidth="1"/>
    <col min="4" max="4" width="45.5703125" style="423" customWidth="1"/>
    <col min="5" max="5" width="14.42578125" style="422" customWidth="1"/>
    <col min="6" max="6" width="15.85546875" style="417" customWidth="1"/>
    <col min="7" max="7" width="15" style="417" customWidth="1"/>
    <col min="8" max="8" width="15.85546875" style="417" customWidth="1"/>
    <col min="9" max="39" width="6.5703125" style="416" customWidth="1"/>
    <col min="40" max="16384" width="12.42578125" style="416"/>
  </cols>
  <sheetData>
    <row r="2" spans="1:59" ht="15.95" thickBot="1"/>
    <row r="3" spans="1:59" s="420" customFormat="1" ht="87.6" customHeight="1">
      <c r="A3" s="418"/>
      <c r="B3" s="424"/>
      <c r="C3" s="606" t="s">
        <v>240</v>
      </c>
      <c r="D3" s="606"/>
      <c r="E3" s="606"/>
      <c r="F3" s="606"/>
      <c r="G3" s="606"/>
      <c r="H3" s="607"/>
      <c r="I3" s="427">
        <v>46195</v>
      </c>
      <c r="J3" s="427">
        <f t="shared" ref="J3:AB3" si="0">I3+7</f>
        <v>46202</v>
      </c>
      <c r="K3" s="427">
        <f t="shared" si="0"/>
        <v>46209</v>
      </c>
      <c r="L3" s="427">
        <f t="shared" si="0"/>
        <v>46216</v>
      </c>
      <c r="M3" s="446">
        <f t="shared" si="0"/>
        <v>46223</v>
      </c>
      <c r="N3" s="427">
        <f t="shared" si="0"/>
        <v>46230</v>
      </c>
      <c r="O3" s="427">
        <f t="shared" si="0"/>
        <v>46237</v>
      </c>
      <c r="P3" s="427">
        <f t="shared" si="0"/>
        <v>46244</v>
      </c>
      <c r="Q3" s="447">
        <f t="shared" si="0"/>
        <v>46251</v>
      </c>
      <c r="R3" s="427">
        <f t="shared" si="0"/>
        <v>46258</v>
      </c>
      <c r="S3" s="427">
        <f t="shared" si="0"/>
        <v>46265</v>
      </c>
      <c r="T3" s="427">
        <f t="shared" si="0"/>
        <v>46272</v>
      </c>
      <c r="U3" s="427">
        <f t="shared" si="0"/>
        <v>46279</v>
      </c>
      <c r="V3" s="427">
        <f t="shared" si="0"/>
        <v>46286</v>
      </c>
      <c r="W3" s="446">
        <f t="shared" si="0"/>
        <v>46293</v>
      </c>
      <c r="X3" s="427">
        <f t="shared" si="0"/>
        <v>46300</v>
      </c>
      <c r="Y3" s="427">
        <f t="shared" si="0"/>
        <v>46307</v>
      </c>
      <c r="Z3" s="427">
        <f t="shared" si="0"/>
        <v>46314</v>
      </c>
      <c r="AA3" s="447">
        <f t="shared" si="0"/>
        <v>46321</v>
      </c>
      <c r="AB3" s="427">
        <f t="shared" si="0"/>
        <v>46328</v>
      </c>
      <c r="AC3" s="427">
        <f t="shared" ref="AC3" si="1">AB3+7</f>
        <v>46335</v>
      </c>
      <c r="AD3" s="427">
        <f t="shared" ref="AD3" si="2">AC3+7</f>
        <v>46342</v>
      </c>
      <c r="AE3" s="427">
        <f t="shared" ref="AE3" si="3">AD3+7</f>
        <v>46349</v>
      </c>
      <c r="AF3" s="427">
        <f t="shared" ref="AF3" si="4">AE3+7</f>
        <v>46356</v>
      </c>
      <c r="AG3" s="446">
        <f t="shared" ref="AG3" si="5">AF3+7</f>
        <v>46363</v>
      </c>
      <c r="AH3" s="427">
        <f t="shared" ref="AH3" si="6">AG3+7</f>
        <v>46370</v>
      </c>
      <c r="AI3" s="427">
        <f t="shared" ref="AI3" si="7">AH3+7</f>
        <v>46377</v>
      </c>
      <c r="AJ3" s="427">
        <f t="shared" ref="AJ3" si="8">AI3+7</f>
        <v>46384</v>
      </c>
      <c r="AK3" s="447">
        <f t="shared" ref="AK3" si="9">AJ3+7</f>
        <v>46391</v>
      </c>
      <c r="AL3" s="427">
        <f t="shared" ref="AL3" si="10">AK3+7</f>
        <v>46398</v>
      </c>
      <c r="AM3" s="427">
        <f t="shared" ref="AM3" si="11">AL3+7</f>
        <v>46405</v>
      </c>
      <c r="AN3" s="427">
        <f t="shared" ref="AN3" si="12">AM3+7</f>
        <v>46412</v>
      </c>
      <c r="AO3" s="427">
        <f t="shared" ref="AO3" si="13">AN3+7</f>
        <v>46419</v>
      </c>
      <c r="AP3" s="427">
        <f t="shared" ref="AP3" si="14">AO3+7</f>
        <v>46426</v>
      </c>
      <c r="AQ3" s="427">
        <f t="shared" ref="AQ3" si="15">AP3+7</f>
        <v>46433</v>
      </c>
      <c r="AR3" s="427">
        <f t="shared" ref="AR3" si="16">AQ3+7</f>
        <v>46440</v>
      </c>
      <c r="AS3" s="427">
        <f t="shared" ref="AS3" si="17">AR3+7</f>
        <v>46447</v>
      </c>
      <c r="AT3" s="427">
        <f t="shared" ref="AT3" si="18">AS3+7</f>
        <v>46454</v>
      </c>
      <c r="AU3" s="427">
        <f t="shared" ref="AU3" si="19">AT3+7</f>
        <v>46461</v>
      </c>
      <c r="AV3" s="427">
        <f t="shared" ref="AV3" si="20">AU3+7</f>
        <v>46468</v>
      </c>
      <c r="AW3" s="427">
        <f t="shared" ref="AW3" si="21">AV3+7</f>
        <v>46475</v>
      </c>
      <c r="AX3" s="427">
        <f t="shared" ref="AX3" si="22">AW3+7</f>
        <v>46482</v>
      </c>
      <c r="AY3" s="427">
        <f t="shared" ref="AY3" si="23">AX3+7</f>
        <v>46489</v>
      </c>
      <c r="AZ3" s="427">
        <f t="shared" ref="AZ3" si="24">AY3+7</f>
        <v>46496</v>
      </c>
      <c r="BA3" s="427">
        <f t="shared" ref="BA3" si="25">AZ3+7</f>
        <v>46503</v>
      </c>
      <c r="BB3" s="427">
        <f t="shared" ref="BB3" si="26">BA3+7</f>
        <v>46510</v>
      </c>
      <c r="BC3" s="427">
        <f t="shared" ref="BC3" si="27">BB3+7</f>
        <v>46517</v>
      </c>
      <c r="BD3" s="427">
        <f t="shared" ref="BD3" si="28">BC3+7</f>
        <v>46524</v>
      </c>
      <c r="BE3" s="427">
        <f t="shared" ref="BE3" si="29">BD3+7</f>
        <v>46531</v>
      </c>
      <c r="BF3" s="427">
        <f t="shared" ref="BF3" si="30">BE3+7</f>
        <v>46538</v>
      </c>
      <c r="BG3" s="427">
        <f t="shared" ref="BG3" si="31">BF3+7</f>
        <v>46545</v>
      </c>
    </row>
    <row r="4" spans="1:59" s="420" customFormat="1" ht="74.099999999999994">
      <c r="A4" s="421" t="s">
        <v>241</v>
      </c>
      <c r="B4" s="425" t="s">
        <v>242</v>
      </c>
      <c r="C4" s="503" t="s">
        <v>243</v>
      </c>
      <c r="D4" s="504" t="s">
        <v>244</v>
      </c>
      <c r="E4" s="434" t="s">
        <v>245</v>
      </c>
      <c r="F4" s="434" t="s">
        <v>246</v>
      </c>
      <c r="G4" s="542" t="s">
        <v>247</v>
      </c>
      <c r="H4" s="434" t="s">
        <v>248</v>
      </c>
      <c r="I4" s="431" t="s">
        <v>249</v>
      </c>
      <c r="J4" s="431" t="s">
        <v>250</v>
      </c>
      <c r="K4" s="431" t="s">
        <v>251</v>
      </c>
      <c r="L4" s="431" t="s">
        <v>252</v>
      </c>
      <c r="M4" s="429" t="s">
        <v>253</v>
      </c>
      <c r="N4" s="431" t="s">
        <v>254</v>
      </c>
      <c r="O4" s="431" t="s">
        <v>255</v>
      </c>
      <c r="P4" s="431" t="s">
        <v>256</v>
      </c>
      <c r="Q4" s="432" t="s">
        <v>257</v>
      </c>
      <c r="R4" s="431" t="s">
        <v>258</v>
      </c>
      <c r="S4" s="431" t="s">
        <v>259</v>
      </c>
      <c r="T4" s="431" t="s">
        <v>260</v>
      </c>
      <c r="U4" s="431" t="s">
        <v>261</v>
      </c>
      <c r="V4" s="431" t="s">
        <v>262</v>
      </c>
      <c r="W4" s="429" t="s">
        <v>263</v>
      </c>
      <c r="X4" s="431" t="s">
        <v>264</v>
      </c>
      <c r="Y4" s="431" t="s">
        <v>265</v>
      </c>
      <c r="Z4" s="431" t="s">
        <v>266</v>
      </c>
      <c r="AA4" s="432" t="s">
        <v>267</v>
      </c>
      <c r="AB4" s="431" t="s">
        <v>268</v>
      </c>
      <c r="AC4" s="431" t="s">
        <v>269</v>
      </c>
      <c r="AD4" s="431" t="s">
        <v>270</v>
      </c>
      <c r="AE4" s="431" t="s">
        <v>271</v>
      </c>
      <c r="AF4" s="432" t="s">
        <v>272</v>
      </c>
      <c r="AG4" s="431" t="s">
        <v>273</v>
      </c>
      <c r="AH4" s="431" t="s">
        <v>274</v>
      </c>
      <c r="AI4" s="431" t="s">
        <v>275</v>
      </c>
      <c r="AJ4" s="431" t="s">
        <v>276</v>
      </c>
      <c r="AK4" s="431" t="s">
        <v>277</v>
      </c>
      <c r="AL4" s="431" t="s">
        <v>278</v>
      </c>
      <c r="AM4" s="431" t="s">
        <v>279</v>
      </c>
      <c r="AN4" s="431" t="s">
        <v>280</v>
      </c>
      <c r="AO4" s="431" t="s">
        <v>281</v>
      </c>
      <c r="AP4" s="431" t="s">
        <v>282</v>
      </c>
      <c r="AQ4" s="431" t="s">
        <v>283</v>
      </c>
      <c r="AR4" s="431" t="s">
        <v>284</v>
      </c>
      <c r="AS4" s="431" t="s">
        <v>285</v>
      </c>
      <c r="AT4" s="431" t="s">
        <v>286</v>
      </c>
      <c r="AU4" s="431" t="s">
        <v>287</v>
      </c>
      <c r="AV4" s="431" t="s">
        <v>288</v>
      </c>
      <c r="AW4" s="431" t="s">
        <v>289</v>
      </c>
      <c r="AX4" s="431" t="s">
        <v>289</v>
      </c>
      <c r="AY4" s="431" t="s">
        <v>289</v>
      </c>
      <c r="AZ4" s="431" t="s">
        <v>289</v>
      </c>
      <c r="BA4" s="431" t="s">
        <v>289</v>
      </c>
      <c r="BB4" s="431" t="s">
        <v>289</v>
      </c>
      <c r="BC4" s="431" t="s">
        <v>289</v>
      </c>
      <c r="BD4" s="431" t="s">
        <v>289</v>
      </c>
      <c r="BE4" s="431" t="s">
        <v>289</v>
      </c>
      <c r="BF4" s="431" t="s">
        <v>289</v>
      </c>
      <c r="BG4" s="431" t="s">
        <v>289</v>
      </c>
    </row>
    <row r="5" spans="1:59" s="420" customFormat="1" ht="18.600000000000001">
      <c r="A5" s="419"/>
      <c r="B5" s="501"/>
      <c r="C5" s="505" t="s">
        <v>166</v>
      </c>
      <c r="D5" s="467" t="s">
        <v>290</v>
      </c>
      <c r="E5" s="534">
        <v>1</v>
      </c>
      <c r="F5" s="513">
        <v>1</v>
      </c>
      <c r="G5" s="543">
        <v>1</v>
      </c>
      <c r="H5" s="524">
        <f t="shared" ref="H5" si="32">AVERAGE(X5:AO5)</f>
        <v>0.24444444444444446</v>
      </c>
      <c r="I5" s="433">
        <f>SUMIF('Mastersheet-Projects'!$B$41:$B$68,$C5,'Mastersheet-Projects'!E$41:E$68)/45</f>
        <v>0</v>
      </c>
      <c r="J5" s="433">
        <f>SUMIF('Mastersheet-Projects'!$B$41:$B$68,$C5,'Mastersheet-Projects'!F$41:F$68)/45</f>
        <v>0</v>
      </c>
      <c r="K5" s="433">
        <f>SUMIF('Mastersheet-Projects'!$B$41:$B$68,$C5,'Mastersheet-Projects'!G$41:G$68)/45</f>
        <v>0</v>
      </c>
      <c r="L5" s="433">
        <f>SUMIF('Mastersheet-Projects'!$B$41:$B$68,$C5,'Mastersheet-Projects'!H$41:H$68)/45</f>
        <v>0</v>
      </c>
      <c r="M5" s="448">
        <f>SUMIF('Mastersheet-Projects'!$B$41:$B$68,$C5,'Mastersheet-Projects'!I$41:I$68)/45</f>
        <v>0</v>
      </c>
      <c r="N5" s="433">
        <f>SUMIF('Mastersheet-Projects'!$B$41:$B$68,$C5,'Mastersheet-Projects'!J$41:J$68)/45</f>
        <v>0</v>
      </c>
      <c r="O5" s="433">
        <f>SUMIF('Mastersheet-Projects'!$B$41:$B$68,$C5,'Mastersheet-Projects'!K$41:K$68)/45</f>
        <v>0</v>
      </c>
      <c r="P5" s="433">
        <f>SUMIF('Mastersheet-Projects'!$B$41:$B$68,$C5,'Mastersheet-Projects'!L$41:L$68)/45</f>
        <v>0</v>
      </c>
      <c r="Q5" s="449">
        <f>SUMIF('Mastersheet-Projects'!$B$41:$B$68,$C5,'Mastersheet-Projects'!M$41:M$68)/45</f>
        <v>0</v>
      </c>
      <c r="R5" s="433">
        <f>SUMIF('Mastersheet-Projects'!$B$41:$B$68,$C5,'Mastersheet-Projects'!N$41:N$68)/45</f>
        <v>0</v>
      </c>
      <c r="S5" s="433">
        <f>SUMIF('Mastersheet-Projects'!$B$41:$B$68,$C5,'Mastersheet-Projects'!O$41:O$68)/45</f>
        <v>0.2</v>
      </c>
      <c r="T5" s="433">
        <f>SUMIF('Mastersheet-Projects'!$B$41:$B$68,$C5,'Mastersheet-Projects'!P$41:P$68)/45</f>
        <v>0.2</v>
      </c>
      <c r="U5" s="433">
        <f>SUMIF('Mastersheet-Projects'!$B$41:$B$68,$C5,'Mastersheet-Projects'!Q$41:Q$68)/45</f>
        <v>0.2</v>
      </c>
      <c r="V5" s="433">
        <f>SUMIF('Mastersheet-Projects'!$B$41:$B$68,$C5,'Mastersheet-Projects'!R$41:R$68)/45</f>
        <v>0.2</v>
      </c>
      <c r="W5" s="448">
        <f>SUMIF('Mastersheet-Projects'!$B$41:$B$68,$C5,'Mastersheet-Projects'!S$41:S$68)/45</f>
        <v>0.2</v>
      </c>
      <c r="X5" s="433">
        <f>SUMIF('Mastersheet-Projects'!$B$41:$B$68,$C5,'Mastersheet-Projects'!T$41:T$68)/45</f>
        <v>0.4</v>
      </c>
      <c r="Y5" s="433">
        <f>SUMIF('Mastersheet-Projects'!$B$41:$B$68,$C5,'Mastersheet-Projects'!U$41:U$68)/45</f>
        <v>0.2</v>
      </c>
      <c r="Z5" s="433">
        <f>SUMIF('Mastersheet-Projects'!$B$41:$B$68,$C5,'Mastersheet-Projects'!V$41:V$68)/45</f>
        <v>0.2</v>
      </c>
      <c r="AA5" s="449">
        <f>SUMIF('Mastersheet-Projects'!$B$41:$B$68,$C5,'Mastersheet-Projects'!W$41:W$68)/45</f>
        <v>0.2</v>
      </c>
      <c r="AB5" s="433">
        <f>SUMIF('Mastersheet-Projects'!$B$41:$B$68,$C5,'Mastersheet-Projects'!X$41:X$68)/45</f>
        <v>0.4</v>
      </c>
      <c r="AC5" s="433">
        <f>SUMIF('Mastersheet-Projects'!$B$41:$B$68,$C5,'Mastersheet-Projects'!Y$41:Y$68)/45</f>
        <v>0.4</v>
      </c>
      <c r="AD5" s="433">
        <f>SUMIF('Mastersheet-Projects'!$B$41:$B$68,$C5,'Mastersheet-Projects'!Z$41:Z$68)/45</f>
        <v>0.4</v>
      </c>
      <c r="AE5" s="433">
        <f>SUMIF('Mastersheet-Projects'!$B$41:$B$68,$C5,'Mastersheet-Projects'!AA$41:AA$68)/45</f>
        <v>0.2</v>
      </c>
      <c r="AF5" s="433">
        <f>SUMIF('Mastersheet-Projects'!$B$41:$B$68,$C5,'Mastersheet-Projects'!AB$41:AB$68)/45</f>
        <v>0.2</v>
      </c>
      <c r="AG5" s="448">
        <f>SUMIF('Mastersheet-Projects'!$B$41:$B$68,$C5,'Mastersheet-Projects'!AC$41:AC$68)/45</f>
        <v>0.2</v>
      </c>
      <c r="AH5" s="433">
        <f>SUMIF('Mastersheet-Projects'!$B$41:$B$68,$C5,'Mastersheet-Projects'!AD$41:AD$68)/45</f>
        <v>0.2</v>
      </c>
      <c r="AI5" s="433">
        <f>SUMIF('Mastersheet-Projects'!$B$41:$B$68,$C5,'Mastersheet-Projects'!AE$41:AE$68)/45</f>
        <v>0</v>
      </c>
      <c r="AJ5" s="433">
        <f>SUMIF('Mastersheet-Projects'!$B$41:$B$68,$C5,'Mastersheet-Projects'!AF$41:AF$68)/45</f>
        <v>0</v>
      </c>
      <c r="AK5" s="433">
        <f>SUMIF('Mastersheet-Projects'!$B$41:$B$68,$C5,'Mastersheet-Projects'!AG$41:AG$68)/45</f>
        <v>0.4</v>
      </c>
      <c r="AL5" s="433">
        <f>SUMIF('Mastersheet-Projects'!$B$41:$B$68,$C5,'Mastersheet-Projects'!AH$41:AH$68)/45</f>
        <v>0.4</v>
      </c>
      <c r="AM5" s="433">
        <f>SUMIF('Mastersheet-Projects'!$B$41:$B$68,$C5,'Mastersheet-Projects'!AI$41:AI$68)/45</f>
        <v>0.2</v>
      </c>
      <c r="AN5" s="433">
        <f>SUMIF('Mastersheet-Projects'!$B$41:$B$68,$C5,'Mastersheet-Projects'!AJ$41:AJ$68)/45</f>
        <v>0.2</v>
      </c>
      <c r="AO5" s="433">
        <f>SUMIF('Mastersheet-Projects'!$B$41:$B$68,$C5,'Mastersheet-Projects'!AK$41:AK$68)/45</f>
        <v>0.2</v>
      </c>
      <c r="AP5" s="433">
        <f>SUMIF('Mastersheet-Projects'!$B$41:$B$68,$C5,'Mastersheet-Projects'!AL$41:AL$68)/45</f>
        <v>0.4</v>
      </c>
      <c r="AQ5" s="433">
        <f>SUMIF('Mastersheet-Projects'!$B$41:$B$68,$C5,'Mastersheet-Projects'!AM$41:AM$68)/45</f>
        <v>0.4</v>
      </c>
      <c r="AR5" s="433">
        <f>SUMIF('Mastersheet-Projects'!$B$41:$B$68,$C5,'Mastersheet-Projects'!AN$41:AN$68)/45</f>
        <v>0.2</v>
      </c>
      <c r="AS5" s="433">
        <f>SUMIF('Mastersheet-Projects'!$B$41:$B$68,$C5,'Mastersheet-Projects'!AO$41:AO$68)/45</f>
        <v>0.2</v>
      </c>
      <c r="AT5" s="433">
        <f>SUMIF('Mastersheet-Projects'!$B$41:$B$68,$C5,'Mastersheet-Projects'!AP$41:AP$68)/45</f>
        <v>0.2</v>
      </c>
      <c r="AU5" s="433">
        <f>SUMIF('Mastersheet-Projects'!$B$41:$B$68,$C5,'Mastersheet-Projects'!AQ$41:AQ$68)/45</f>
        <v>0.4</v>
      </c>
      <c r="AV5" s="433">
        <f>SUMIF('Mastersheet-Projects'!$B$41:$B$68,$C5,'Mastersheet-Projects'!AR$41:AR$68)/45</f>
        <v>0.4</v>
      </c>
      <c r="AW5" s="433">
        <f>SUMIF('Mastersheet-Projects'!$B$41:$B$68,$C5,'Mastersheet-Projects'!AS$41:AS$68)/45</f>
        <v>0</v>
      </c>
      <c r="AX5" s="433">
        <f>SUMIF('Mastersheet-Projects'!$B$41:$B$68,$C5,'Mastersheet-Projects'!AT$41:AT$68)/45</f>
        <v>0</v>
      </c>
      <c r="AY5" s="433">
        <f>SUMIF('Mastersheet-Projects'!$B$41:$B$68,$C5,'Mastersheet-Projects'!AU$41:AU$68)/45</f>
        <v>0</v>
      </c>
      <c r="AZ5" s="433">
        <f>SUMIF('Mastersheet-Projects'!$B$41:$B$68,$C5,'Mastersheet-Projects'!AV$41:AV$68)/45</f>
        <v>0</v>
      </c>
      <c r="BA5" s="433">
        <f>SUMIF('Mastersheet-Projects'!$B$41:$B$68,$C5,'Mastersheet-Projects'!AW$41:AW$68)/45</f>
        <v>0</v>
      </c>
      <c r="BB5" s="433">
        <f>SUMIF('Mastersheet-Projects'!$B$41:$B$68,$C5,'Mastersheet-Projects'!AX$41:AX$68)/45</f>
        <v>0</v>
      </c>
      <c r="BC5" s="433">
        <f>SUMIF('Mastersheet-Projects'!$B$41:$B$68,$C5,'Mastersheet-Projects'!AY$41:AY$68)/45</f>
        <v>0</v>
      </c>
      <c r="BD5" s="433">
        <f>SUMIF('Mastersheet-Projects'!$B$41:$B$68,$C5,'Mastersheet-Projects'!AZ$41:AZ$68)/45</f>
        <v>0</v>
      </c>
      <c r="BE5" s="433">
        <f>SUMIF('Mastersheet-Projects'!$B$41:$B$68,$C5,'Mastersheet-Projects'!BA$41:BA$68)/45</f>
        <v>0</v>
      </c>
      <c r="BF5" s="433">
        <f>SUMIF('Mastersheet-Projects'!$B$41:$B$68,$C5,'Mastersheet-Projects'!BB$41:BB$68)/45</f>
        <v>0</v>
      </c>
      <c r="BG5" s="433">
        <f>SUMIF('Mastersheet-Projects'!$B$41:$B$68,$C5,'Mastersheet-Projects'!BC$41:BC$68)/45</f>
        <v>0</v>
      </c>
    </row>
    <row r="6" spans="1:59" s="420" customFormat="1" ht="18.600000000000001">
      <c r="A6" s="419"/>
      <c r="B6" s="501"/>
      <c r="C6" s="505" t="s">
        <v>291</v>
      </c>
      <c r="D6" s="467" t="s">
        <v>292</v>
      </c>
      <c r="E6" s="535">
        <v>1</v>
      </c>
      <c r="F6" s="513">
        <v>1</v>
      </c>
      <c r="G6" s="543">
        <v>1</v>
      </c>
      <c r="H6" s="524">
        <f>AVERAGE(X6:AO6)</f>
        <v>0.17777777777777781</v>
      </c>
      <c r="I6" s="433">
        <f>SUMIF('Mastersheet-Projects'!$B$41:$B$68,$C6,'Mastersheet-Projects'!E$41:E$68)/45</f>
        <v>0</v>
      </c>
      <c r="J6" s="433">
        <f>SUMIF('Mastersheet-Projects'!$B$41:$B$68,$C6,'Mastersheet-Projects'!F$41:F$68)/45</f>
        <v>0</v>
      </c>
      <c r="K6" s="433">
        <f>SUMIF('Mastersheet-Projects'!$B$41:$B$68,$C6,'Mastersheet-Projects'!G$41:G$68)/45</f>
        <v>0</v>
      </c>
      <c r="L6" s="433">
        <f>SUMIF('Mastersheet-Projects'!$B$41:$B$68,$C6,'Mastersheet-Projects'!H$41:H$68)/45</f>
        <v>0</v>
      </c>
      <c r="M6" s="448">
        <f>SUMIF('Mastersheet-Projects'!$B$41:$B$68,$C6,'Mastersheet-Projects'!I$41:I$68)/45</f>
        <v>0</v>
      </c>
      <c r="N6" s="433">
        <f>SUMIF('Mastersheet-Projects'!$B$41:$B$68,$C6,'Mastersheet-Projects'!J$41:J$68)/45</f>
        <v>0</v>
      </c>
      <c r="O6" s="433">
        <f>SUMIF('Mastersheet-Projects'!$B$41:$B$68,$C6,'Mastersheet-Projects'!K$41:K$68)/45</f>
        <v>0</v>
      </c>
      <c r="P6" s="433">
        <f>SUMIF('Mastersheet-Projects'!$B$41:$B$68,$C6,'Mastersheet-Projects'!L$41:L$68)/45</f>
        <v>0</v>
      </c>
      <c r="Q6" s="449">
        <f>SUMIF('Mastersheet-Projects'!$B$41:$B$68,$C6,'Mastersheet-Projects'!M$41:M$68)/45</f>
        <v>0</v>
      </c>
      <c r="R6" s="433">
        <f>SUMIF('Mastersheet-Projects'!$B$41:$B$68,$C6,'Mastersheet-Projects'!N$41:N$68)/45</f>
        <v>0</v>
      </c>
      <c r="S6" s="433">
        <f>SUMIF('Mastersheet-Projects'!$B$41:$B$68,$C6,'Mastersheet-Projects'!O$41:O$68)/45</f>
        <v>0</v>
      </c>
      <c r="T6" s="433">
        <f>SUMIF('Mastersheet-Projects'!$B$41:$B$68,$C6,'Mastersheet-Projects'!P$41:P$68)/45</f>
        <v>0</v>
      </c>
      <c r="U6" s="433">
        <f>SUMIF('Mastersheet-Projects'!$B$41:$B$68,$C6,'Mastersheet-Projects'!Q$41:Q$68)/45</f>
        <v>0</v>
      </c>
      <c r="V6" s="433">
        <f>SUMIF('Mastersheet-Projects'!$B$41:$B$68,$C6,'Mastersheet-Projects'!R$41:R$68)/45</f>
        <v>0</v>
      </c>
      <c r="W6" s="448">
        <f>SUMIF('Mastersheet-Projects'!$B$41:$B$68,$C6,'Mastersheet-Projects'!S$41:S$68)/45</f>
        <v>0</v>
      </c>
      <c r="X6" s="433">
        <f>SUMIF('Mastersheet-Projects'!$B$41:$B$68,$C6,'Mastersheet-Projects'!T$41:T$68)/45</f>
        <v>0.2</v>
      </c>
      <c r="Y6" s="433">
        <f>SUMIF('Mastersheet-Projects'!$B$41:$B$68,$C6,'Mastersheet-Projects'!U$41:U$68)/45</f>
        <v>0.2</v>
      </c>
      <c r="Z6" s="433">
        <f>SUMIF('Mastersheet-Projects'!$B$41:$B$68,$C6,'Mastersheet-Projects'!V$41:V$68)/45</f>
        <v>0.2</v>
      </c>
      <c r="AA6" s="449">
        <f>SUMIF('Mastersheet-Projects'!$B$41:$B$68,$C6,'Mastersheet-Projects'!W$41:W$68)/45</f>
        <v>0.2</v>
      </c>
      <c r="AB6" s="433">
        <f>SUMIF('Mastersheet-Projects'!$B$41:$B$68,$C6,'Mastersheet-Projects'!X$41:X$68)/45</f>
        <v>0.2</v>
      </c>
      <c r="AC6" s="433">
        <f>SUMIF('Mastersheet-Projects'!$B$41:$B$68,$C6,'Mastersheet-Projects'!Y$41:Y$68)/45</f>
        <v>0.2</v>
      </c>
      <c r="AD6" s="433">
        <f>SUMIF('Mastersheet-Projects'!$B$41:$B$68,$C6,'Mastersheet-Projects'!Z$41:Z$68)/45</f>
        <v>0.2</v>
      </c>
      <c r="AE6" s="433">
        <f>SUMIF('Mastersheet-Projects'!$B$41:$B$68,$C6,'Mastersheet-Projects'!AA$41:AA$68)/45</f>
        <v>0.2</v>
      </c>
      <c r="AF6" s="433">
        <f>SUMIF('Mastersheet-Projects'!$B$41:$B$68,$C6,'Mastersheet-Projects'!AB$41:AB$68)/45</f>
        <v>0.2</v>
      </c>
      <c r="AG6" s="448">
        <f>SUMIF('Mastersheet-Projects'!$B$41:$B$68,$C6,'Mastersheet-Projects'!AC$41:AC$68)/45</f>
        <v>0.2</v>
      </c>
      <c r="AH6" s="433">
        <f>SUMIF('Mastersheet-Projects'!$B$41:$B$68,$C6,'Mastersheet-Projects'!AD$41:AD$68)/45</f>
        <v>0.2</v>
      </c>
      <c r="AI6" s="433">
        <f>SUMIF('Mastersheet-Projects'!$B$41:$B$68,$C6,'Mastersheet-Projects'!AE$41:AE$68)/45</f>
        <v>0</v>
      </c>
      <c r="AJ6" s="433">
        <f>SUMIF('Mastersheet-Projects'!$B$41:$B$68,$C6,'Mastersheet-Projects'!AF$41:AF$68)/45</f>
        <v>0</v>
      </c>
      <c r="AK6" s="433">
        <f>SUMIF('Mastersheet-Projects'!$B$41:$B$68,$C6,'Mastersheet-Projects'!AG$41:AG$68)/45</f>
        <v>0.2</v>
      </c>
      <c r="AL6" s="433">
        <f>SUMIF('Mastersheet-Projects'!$B$41:$B$68,$C6,'Mastersheet-Projects'!AH$41:AH$68)/45</f>
        <v>0.2</v>
      </c>
      <c r="AM6" s="433">
        <f>SUMIF('Mastersheet-Projects'!$B$41:$B$68,$C6,'Mastersheet-Projects'!AI$41:AI$68)/45</f>
        <v>0.2</v>
      </c>
      <c r="AN6" s="433">
        <f>SUMIF('Mastersheet-Projects'!$B$41:$B$68,$C6,'Mastersheet-Projects'!AJ$41:AJ$68)/45</f>
        <v>0.2</v>
      </c>
      <c r="AO6" s="433">
        <f>SUMIF('Mastersheet-Projects'!$B$41:$B$68,$C6,'Mastersheet-Projects'!AK$41:AK$68)/45</f>
        <v>0.2</v>
      </c>
      <c r="AP6" s="433">
        <f>SUMIF('Mastersheet-Projects'!$B$41:$B$68,$C6,'Mastersheet-Projects'!AL$41:AL$68)/45</f>
        <v>0.2</v>
      </c>
      <c r="AQ6" s="433">
        <f>SUMIF('Mastersheet-Projects'!$B$41:$B$68,$C6,'Mastersheet-Projects'!AM$41:AM$68)/45</f>
        <v>0.2</v>
      </c>
      <c r="AR6" s="433">
        <f>SUMIF('Mastersheet-Projects'!$B$41:$B$68,$C6,'Mastersheet-Projects'!AN$41:AN$68)/45</f>
        <v>0.2</v>
      </c>
      <c r="AS6" s="433">
        <f>SUMIF('Mastersheet-Projects'!$B$41:$B$68,$C6,'Mastersheet-Projects'!AO$41:AO$68)/45</f>
        <v>0.2</v>
      </c>
      <c r="AT6" s="433">
        <f>SUMIF('Mastersheet-Projects'!$B$41:$B$68,$C6,'Mastersheet-Projects'!AP$41:AP$68)/45</f>
        <v>0.2</v>
      </c>
      <c r="AU6" s="433">
        <f>SUMIF('Mastersheet-Projects'!$B$41:$B$68,$C6,'Mastersheet-Projects'!AQ$41:AQ$68)/45</f>
        <v>0.2</v>
      </c>
      <c r="AV6" s="433">
        <f>SUMIF('Mastersheet-Projects'!$B$41:$B$68,$C6,'Mastersheet-Projects'!AR$41:AR$68)/45</f>
        <v>0.2</v>
      </c>
      <c r="AW6" s="433">
        <f>SUMIF('Mastersheet-Projects'!$B$41:$B$68,$C6,'Mastersheet-Projects'!AS$41:AS$68)/45</f>
        <v>0</v>
      </c>
      <c r="AX6" s="433">
        <f>SUMIF('Mastersheet-Projects'!$B$41:$B$68,$C6,'Mastersheet-Projects'!AT$41:AT$68)/45</f>
        <v>0</v>
      </c>
      <c r="AY6" s="433">
        <f>SUMIF('Mastersheet-Projects'!$B$41:$B$68,$C6,'Mastersheet-Projects'!AU$41:AU$68)/45</f>
        <v>0</v>
      </c>
      <c r="AZ6" s="433">
        <f>SUMIF('Mastersheet-Projects'!$B$41:$B$68,$C6,'Mastersheet-Projects'!AV$41:AV$68)/45</f>
        <v>0</v>
      </c>
      <c r="BA6" s="433">
        <f>SUMIF('Mastersheet-Projects'!$B$41:$B$68,$C6,'Mastersheet-Projects'!AW$41:AW$68)/45</f>
        <v>0</v>
      </c>
      <c r="BB6" s="433">
        <f>SUMIF('Mastersheet-Projects'!$B$41:$B$68,$C6,'Mastersheet-Projects'!AX$41:AX$68)/45</f>
        <v>0</v>
      </c>
      <c r="BC6" s="433">
        <f>SUMIF('Mastersheet-Projects'!$B$41:$B$68,$C6,'Mastersheet-Projects'!AY$41:AY$68)/45</f>
        <v>0</v>
      </c>
      <c r="BD6" s="433">
        <f>SUMIF('Mastersheet-Projects'!$B$41:$B$68,$C6,'Mastersheet-Projects'!AZ$41:AZ$68)/45</f>
        <v>0</v>
      </c>
      <c r="BE6" s="433">
        <f>SUMIF('Mastersheet-Projects'!$B$41:$B$68,$C6,'Mastersheet-Projects'!BA$41:BA$68)/45</f>
        <v>0</v>
      </c>
      <c r="BF6" s="433">
        <f>SUMIF('Mastersheet-Projects'!$B$41:$B$68,$C6,'Mastersheet-Projects'!BB$41:BB$68)/45</f>
        <v>0</v>
      </c>
      <c r="BG6" s="433">
        <f>SUMIF('Mastersheet-Projects'!$B$41:$B$68,$C6,'Mastersheet-Projects'!BC$41:BC$68)/45</f>
        <v>0</v>
      </c>
    </row>
    <row r="7" spans="1:59" s="420" customFormat="1" ht="18.600000000000001">
      <c r="A7" s="419"/>
      <c r="B7" s="501"/>
      <c r="C7" s="505" t="s">
        <v>293</v>
      </c>
      <c r="D7" s="467" t="s">
        <v>294</v>
      </c>
      <c r="E7" s="535">
        <v>1</v>
      </c>
      <c r="F7" s="513">
        <v>1</v>
      </c>
      <c r="G7" s="543">
        <v>1</v>
      </c>
      <c r="H7" s="524">
        <f t="shared" ref="H7:H28" si="33">AVERAGE(X7:AO7)</f>
        <v>0.17777777777777781</v>
      </c>
      <c r="I7" s="433">
        <f>SUMIF('Mastersheet-Projects'!$B$41:$B$68,$C7,'Mastersheet-Projects'!E$41:E$68)/45</f>
        <v>0</v>
      </c>
      <c r="J7" s="433">
        <f>SUMIF('Mastersheet-Projects'!$B$41:$B$68,$C7,'Mastersheet-Projects'!F$41:F$68)/45</f>
        <v>0</v>
      </c>
      <c r="K7" s="433">
        <f>SUMIF('Mastersheet-Projects'!$B$41:$B$68,$C7,'Mastersheet-Projects'!G$41:G$68)/45</f>
        <v>0</v>
      </c>
      <c r="L7" s="433">
        <f>SUMIF('Mastersheet-Projects'!$B$41:$B$68,$C7,'Mastersheet-Projects'!H$41:H$68)/45</f>
        <v>0</v>
      </c>
      <c r="M7" s="448">
        <f>SUMIF('Mastersheet-Projects'!$B$41:$B$68,$C7,'Mastersheet-Projects'!I$41:I$68)/45</f>
        <v>0</v>
      </c>
      <c r="N7" s="433">
        <f>SUMIF('Mastersheet-Projects'!$B$41:$B$68,$C7,'Mastersheet-Projects'!J$41:J$68)/45</f>
        <v>0</v>
      </c>
      <c r="O7" s="433">
        <f>SUMIF('Mastersheet-Projects'!$B$41:$B$68,$C7,'Mastersheet-Projects'!K$41:K$68)/45</f>
        <v>0</v>
      </c>
      <c r="P7" s="433">
        <f>SUMIF('Mastersheet-Projects'!$B$41:$B$68,$C7,'Mastersheet-Projects'!L$41:L$68)/45</f>
        <v>0</v>
      </c>
      <c r="Q7" s="449">
        <f>SUMIF('Mastersheet-Projects'!$B$41:$B$68,$C7,'Mastersheet-Projects'!M$41:M$68)/45</f>
        <v>0</v>
      </c>
      <c r="R7" s="433">
        <f>SUMIF('Mastersheet-Projects'!$B$41:$B$68,$C7,'Mastersheet-Projects'!N$41:N$68)/45</f>
        <v>0</v>
      </c>
      <c r="S7" s="433">
        <f>SUMIF('Mastersheet-Projects'!$B$41:$B$68,$C7,'Mastersheet-Projects'!O$41:O$68)/45</f>
        <v>0</v>
      </c>
      <c r="T7" s="433">
        <f>SUMIF('Mastersheet-Projects'!$B$41:$B$68,$C7,'Mastersheet-Projects'!P$41:P$68)/45</f>
        <v>0</v>
      </c>
      <c r="U7" s="433">
        <f>SUMIF('Mastersheet-Projects'!$B$41:$B$68,$C7,'Mastersheet-Projects'!Q$41:Q$68)/45</f>
        <v>0</v>
      </c>
      <c r="V7" s="433">
        <f>SUMIF('Mastersheet-Projects'!$B$41:$B$68,$C7,'Mastersheet-Projects'!R$41:R$68)/45</f>
        <v>0</v>
      </c>
      <c r="W7" s="448">
        <f>SUMIF('Mastersheet-Projects'!$B$41:$B$68,$C7,'Mastersheet-Projects'!S$41:S$68)/45</f>
        <v>0</v>
      </c>
      <c r="X7" s="433">
        <f>SUMIF('Mastersheet-Projects'!$B$41:$B$68,$C7,'Mastersheet-Projects'!T$41:T$68)/45</f>
        <v>0.2</v>
      </c>
      <c r="Y7" s="433">
        <f>SUMIF('Mastersheet-Projects'!$B$41:$B$68,$C7,'Mastersheet-Projects'!U$41:U$68)/45</f>
        <v>0.2</v>
      </c>
      <c r="Z7" s="433">
        <f>SUMIF('Mastersheet-Projects'!$B$41:$B$68,$C7,'Mastersheet-Projects'!V$41:V$68)/45</f>
        <v>0.2</v>
      </c>
      <c r="AA7" s="449">
        <f>SUMIF('Mastersheet-Projects'!$B$41:$B$68,$C7,'Mastersheet-Projects'!W$41:W$68)/45</f>
        <v>0.2</v>
      </c>
      <c r="AB7" s="433">
        <f>SUMIF('Mastersheet-Projects'!$B$41:$B$68,$C7,'Mastersheet-Projects'!X$41:X$68)/45</f>
        <v>0.2</v>
      </c>
      <c r="AC7" s="433">
        <f>SUMIF('Mastersheet-Projects'!$B$41:$B$68,$C7,'Mastersheet-Projects'!Y$41:Y$68)/45</f>
        <v>0.2</v>
      </c>
      <c r="AD7" s="433">
        <f>SUMIF('Mastersheet-Projects'!$B$41:$B$68,$C7,'Mastersheet-Projects'!Z$41:Z$68)/45</f>
        <v>0.2</v>
      </c>
      <c r="AE7" s="433">
        <f>SUMIF('Mastersheet-Projects'!$B$41:$B$68,$C7,'Mastersheet-Projects'!AA$41:AA$68)/45</f>
        <v>0.2</v>
      </c>
      <c r="AF7" s="433">
        <f>SUMIF('Mastersheet-Projects'!$B$41:$B$68,$C7,'Mastersheet-Projects'!AB$41:AB$68)/45</f>
        <v>0.2</v>
      </c>
      <c r="AG7" s="448">
        <f>SUMIF('Mastersheet-Projects'!$B$41:$B$68,$C7,'Mastersheet-Projects'!AC$41:AC$68)/45</f>
        <v>0.2</v>
      </c>
      <c r="AH7" s="433">
        <f>SUMIF('Mastersheet-Projects'!$B$41:$B$68,$C7,'Mastersheet-Projects'!AD$41:AD$68)/45</f>
        <v>0.2</v>
      </c>
      <c r="AI7" s="433">
        <f>SUMIF('Mastersheet-Projects'!$B$41:$B$68,$C7,'Mastersheet-Projects'!AE$41:AE$68)/45</f>
        <v>0</v>
      </c>
      <c r="AJ7" s="433">
        <f>SUMIF('Mastersheet-Projects'!$B$41:$B$68,$C7,'Mastersheet-Projects'!AF$41:AF$68)/45</f>
        <v>0</v>
      </c>
      <c r="AK7" s="433">
        <f>SUMIF('Mastersheet-Projects'!$B$41:$B$68,$C7,'Mastersheet-Projects'!AG$41:AG$68)/45</f>
        <v>0.2</v>
      </c>
      <c r="AL7" s="433">
        <f>SUMIF('Mastersheet-Projects'!$B$41:$B$68,$C7,'Mastersheet-Projects'!AH$41:AH$68)/45</f>
        <v>0.2</v>
      </c>
      <c r="AM7" s="433">
        <f>SUMIF('Mastersheet-Projects'!$B$41:$B$68,$C7,'Mastersheet-Projects'!AI$41:AI$68)/45</f>
        <v>0.2</v>
      </c>
      <c r="AN7" s="433">
        <f>SUMIF('Mastersheet-Projects'!$B$41:$B$68,$C7,'Mastersheet-Projects'!AJ$41:AJ$68)/45</f>
        <v>0.2</v>
      </c>
      <c r="AO7" s="433">
        <f>SUMIF('Mastersheet-Projects'!$B$41:$B$68,$C7,'Mastersheet-Projects'!AK$41:AK$68)/45</f>
        <v>0.2</v>
      </c>
      <c r="AP7" s="433">
        <f>SUMIF('Mastersheet-Projects'!$B$41:$B$68,$C7,'Mastersheet-Projects'!AL$41:AL$68)/45</f>
        <v>0.2</v>
      </c>
      <c r="AQ7" s="433">
        <f>SUMIF('Mastersheet-Projects'!$B$41:$B$68,$C7,'Mastersheet-Projects'!AM$41:AM$68)/45</f>
        <v>0.2</v>
      </c>
      <c r="AR7" s="433">
        <f>SUMIF('Mastersheet-Projects'!$B$41:$B$68,$C7,'Mastersheet-Projects'!AN$41:AN$68)/45</f>
        <v>0.2</v>
      </c>
      <c r="AS7" s="433">
        <f>SUMIF('Mastersheet-Projects'!$B$41:$B$68,$C7,'Mastersheet-Projects'!AO$41:AO$68)/45</f>
        <v>0.2</v>
      </c>
      <c r="AT7" s="433">
        <f>SUMIF('Mastersheet-Projects'!$B$41:$B$68,$C7,'Mastersheet-Projects'!AP$41:AP$68)/45</f>
        <v>0.2</v>
      </c>
      <c r="AU7" s="433">
        <f>SUMIF('Mastersheet-Projects'!$B$41:$B$68,$C7,'Mastersheet-Projects'!AQ$41:AQ$68)/45</f>
        <v>0.2</v>
      </c>
      <c r="AV7" s="433">
        <f>SUMIF('Mastersheet-Projects'!$B$41:$B$68,$C7,'Mastersheet-Projects'!AR$41:AR$68)/45</f>
        <v>0.2</v>
      </c>
      <c r="AW7" s="433">
        <f>SUMIF('Mastersheet-Projects'!$B$41:$B$68,$C7,'Mastersheet-Projects'!AS$41:AS$68)/45</f>
        <v>0</v>
      </c>
      <c r="AX7" s="433">
        <f>SUMIF('Mastersheet-Projects'!$B$41:$B$68,$C7,'Mastersheet-Projects'!AT$41:AT$68)/45</f>
        <v>0</v>
      </c>
      <c r="AY7" s="433">
        <f>SUMIF('Mastersheet-Projects'!$B$41:$B$68,$C7,'Mastersheet-Projects'!AU$41:AU$68)/45</f>
        <v>0</v>
      </c>
      <c r="AZ7" s="433">
        <f>SUMIF('Mastersheet-Projects'!$B$41:$B$68,$C7,'Mastersheet-Projects'!AV$41:AV$68)/45</f>
        <v>0</v>
      </c>
      <c r="BA7" s="433">
        <f>SUMIF('Mastersheet-Projects'!$B$41:$B$68,$C7,'Mastersheet-Projects'!AW$41:AW$68)/45</f>
        <v>0</v>
      </c>
      <c r="BB7" s="433">
        <f>SUMIF('Mastersheet-Projects'!$B$41:$B$68,$C7,'Mastersheet-Projects'!AX$41:AX$68)/45</f>
        <v>0</v>
      </c>
      <c r="BC7" s="433">
        <f>SUMIF('Mastersheet-Projects'!$B$41:$B$68,$C7,'Mastersheet-Projects'!AY$41:AY$68)/45</f>
        <v>0</v>
      </c>
      <c r="BD7" s="433">
        <f>SUMIF('Mastersheet-Projects'!$B$41:$B$68,$C7,'Mastersheet-Projects'!AZ$41:AZ$68)/45</f>
        <v>0</v>
      </c>
      <c r="BE7" s="433">
        <f>SUMIF('Mastersheet-Projects'!$B$41:$B$68,$C7,'Mastersheet-Projects'!BA$41:BA$68)/45</f>
        <v>0</v>
      </c>
      <c r="BF7" s="433">
        <f>SUMIF('Mastersheet-Projects'!$B$41:$B$68,$C7,'Mastersheet-Projects'!BB$41:BB$68)/45</f>
        <v>0</v>
      </c>
      <c r="BG7" s="433">
        <f>SUMIF('Mastersheet-Projects'!$B$41:$B$68,$C7,'Mastersheet-Projects'!BC$41:BC$68)/45</f>
        <v>0</v>
      </c>
    </row>
    <row r="8" spans="1:59" s="420" customFormat="1" ht="18.600000000000001">
      <c r="A8" s="419">
        <v>3</v>
      </c>
      <c r="B8" s="501"/>
      <c r="C8" s="506" t="s">
        <v>295</v>
      </c>
      <c r="D8" s="466" t="s">
        <v>296</v>
      </c>
      <c r="E8" s="536">
        <v>1</v>
      </c>
      <c r="F8" s="514">
        <v>1</v>
      </c>
      <c r="G8" s="544">
        <v>1</v>
      </c>
      <c r="H8" s="525">
        <f t="shared" si="33"/>
        <v>0.17777777777777781</v>
      </c>
      <c r="I8" s="433">
        <f>SUMIF('Mastersheet-Projects'!$B$41:$B$68,$C8,'Mastersheet-Projects'!E$41:E$68)/45</f>
        <v>0</v>
      </c>
      <c r="J8" s="433">
        <f>SUMIF('Mastersheet-Projects'!$B$41:$B$68,$C8,'Mastersheet-Projects'!F$41:F$68)/45</f>
        <v>0</v>
      </c>
      <c r="K8" s="433">
        <f>SUMIF('Mastersheet-Projects'!$B$41:$B$68,$C8,'Mastersheet-Projects'!G$41:G$68)/45</f>
        <v>0</v>
      </c>
      <c r="L8" s="433">
        <f>SUMIF('Mastersheet-Projects'!$B$41:$B$68,$C8,'Mastersheet-Projects'!H$41:H$68)/45</f>
        <v>0</v>
      </c>
      <c r="M8" s="448">
        <f>SUMIF('Mastersheet-Projects'!$B$41:$B$68,$C8,'Mastersheet-Projects'!I$41:I$68)/45</f>
        <v>0</v>
      </c>
      <c r="N8" s="433">
        <f>SUMIF('Mastersheet-Projects'!$B$41:$B$68,$C8,'Mastersheet-Projects'!J$41:J$68)/45</f>
        <v>0</v>
      </c>
      <c r="O8" s="433">
        <f>SUMIF('Mastersheet-Projects'!$B$41:$B$68,$C8,'Mastersheet-Projects'!K$41:K$68)/45</f>
        <v>0</v>
      </c>
      <c r="P8" s="433">
        <f>SUMIF('Mastersheet-Projects'!$B$41:$B$68,$C8,'Mastersheet-Projects'!L$41:L$68)/45</f>
        <v>0</v>
      </c>
      <c r="Q8" s="449">
        <f>SUMIF('Mastersheet-Projects'!$B$41:$B$68,$C8,'Mastersheet-Projects'!M$41:M$68)/45</f>
        <v>0</v>
      </c>
      <c r="R8" s="433">
        <f>SUMIF('Mastersheet-Projects'!$B$41:$B$68,$C8,'Mastersheet-Projects'!N$41:N$68)/45</f>
        <v>0</v>
      </c>
      <c r="S8" s="433">
        <f>SUMIF('Mastersheet-Projects'!$B$41:$B$68,$C8,'Mastersheet-Projects'!O$41:O$68)/45</f>
        <v>0</v>
      </c>
      <c r="T8" s="433">
        <f>SUMIF('Mastersheet-Projects'!$B$41:$B$68,$C8,'Mastersheet-Projects'!P$41:P$68)/45</f>
        <v>0</v>
      </c>
      <c r="U8" s="433">
        <f>SUMIF('Mastersheet-Projects'!$B$41:$B$68,$C8,'Mastersheet-Projects'!Q$41:Q$68)/45</f>
        <v>0</v>
      </c>
      <c r="V8" s="433">
        <f>SUMIF('Mastersheet-Projects'!$B$41:$B$68,$C8,'Mastersheet-Projects'!R$41:R$68)/45</f>
        <v>0</v>
      </c>
      <c r="W8" s="448">
        <f>SUMIF('Mastersheet-Projects'!$B$41:$B$68,$C8,'Mastersheet-Projects'!S$41:S$68)/45</f>
        <v>0</v>
      </c>
      <c r="X8" s="433">
        <f>SUMIF('Mastersheet-Projects'!$B$41:$B$68,$C8,'Mastersheet-Projects'!T$41:T$68)/45</f>
        <v>0.2</v>
      </c>
      <c r="Y8" s="433">
        <f>SUMIF('Mastersheet-Projects'!$B$41:$B$68,$C8,'Mastersheet-Projects'!U$41:U$68)/45</f>
        <v>0.2</v>
      </c>
      <c r="Z8" s="433">
        <f>SUMIF('Mastersheet-Projects'!$B$41:$B$68,$C8,'Mastersheet-Projects'!V$41:V$68)/45</f>
        <v>0.2</v>
      </c>
      <c r="AA8" s="449">
        <f>SUMIF('Mastersheet-Projects'!$B$41:$B$68,$C8,'Mastersheet-Projects'!W$41:W$68)/45</f>
        <v>0.2</v>
      </c>
      <c r="AB8" s="433">
        <f>SUMIF('Mastersheet-Projects'!$B$41:$B$68,$C8,'Mastersheet-Projects'!X$41:X$68)/45</f>
        <v>0.2</v>
      </c>
      <c r="AC8" s="433">
        <f>SUMIF('Mastersheet-Projects'!$B$41:$B$68,$C8,'Mastersheet-Projects'!Y$41:Y$68)/45</f>
        <v>0.2</v>
      </c>
      <c r="AD8" s="433">
        <f>SUMIF('Mastersheet-Projects'!$B$41:$B$68,$C8,'Mastersheet-Projects'!Z$41:Z$68)/45</f>
        <v>0.2</v>
      </c>
      <c r="AE8" s="433">
        <f>SUMIF('Mastersheet-Projects'!$B$41:$B$68,$C8,'Mastersheet-Projects'!AA$41:AA$68)/45</f>
        <v>0.2</v>
      </c>
      <c r="AF8" s="433">
        <f>SUMIF('Mastersheet-Projects'!$B$41:$B$68,$C8,'Mastersheet-Projects'!AB$41:AB$68)/45</f>
        <v>0.2</v>
      </c>
      <c r="AG8" s="448">
        <f>SUMIF('Mastersheet-Projects'!$B$41:$B$68,$C8,'Mastersheet-Projects'!AC$41:AC$68)/45</f>
        <v>0.2</v>
      </c>
      <c r="AH8" s="433">
        <f>SUMIF('Mastersheet-Projects'!$B$41:$B$68,$C8,'Mastersheet-Projects'!AD$41:AD$68)/45</f>
        <v>0.2</v>
      </c>
      <c r="AI8" s="433">
        <f>SUMIF('Mastersheet-Projects'!$B$41:$B$68,$C8,'Mastersheet-Projects'!AE$41:AE$68)/45</f>
        <v>0</v>
      </c>
      <c r="AJ8" s="433">
        <f>SUMIF('Mastersheet-Projects'!$B$41:$B$68,$C8,'Mastersheet-Projects'!AF$41:AF$68)/45</f>
        <v>0</v>
      </c>
      <c r="AK8" s="433">
        <f>SUMIF('Mastersheet-Projects'!$B$41:$B$68,$C8,'Mastersheet-Projects'!AG$41:AG$68)/45</f>
        <v>0.2</v>
      </c>
      <c r="AL8" s="433">
        <f>SUMIF('Mastersheet-Projects'!$B$41:$B$68,$C8,'Mastersheet-Projects'!AH$41:AH$68)/45</f>
        <v>0.2</v>
      </c>
      <c r="AM8" s="433">
        <f>SUMIF('Mastersheet-Projects'!$B$41:$B$68,$C8,'Mastersheet-Projects'!AI$41:AI$68)/45</f>
        <v>0.2</v>
      </c>
      <c r="AN8" s="433">
        <f>SUMIF('Mastersheet-Projects'!$B$41:$B$68,$C8,'Mastersheet-Projects'!AJ$41:AJ$68)/45</f>
        <v>0.2</v>
      </c>
      <c r="AO8" s="433">
        <f>SUMIF('Mastersheet-Projects'!$B$41:$B$68,$C8,'Mastersheet-Projects'!AK$41:AK$68)/45</f>
        <v>0.2</v>
      </c>
      <c r="AP8" s="433">
        <f>SUMIF('Mastersheet-Projects'!$B$41:$B$68,$C8,'Mastersheet-Projects'!AL$41:AL$68)/45</f>
        <v>0.2</v>
      </c>
      <c r="AQ8" s="433">
        <f>SUMIF('Mastersheet-Projects'!$B$41:$B$68,$C8,'Mastersheet-Projects'!AM$41:AM$68)/45</f>
        <v>0.2</v>
      </c>
      <c r="AR8" s="433">
        <f>SUMIF('Mastersheet-Projects'!$B$41:$B$68,$C8,'Mastersheet-Projects'!AN$41:AN$68)/45</f>
        <v>0.2</v>
      </c>
      <c r="AS8" s="433">
        <f>SUMIF('Mastersheet-Projects'!$B$41:$B$68,$C8,'Mastersheet-Projects'!AO$41:AO$68)/45</f>
        <v>0.2</v>
      </c>
      <c r="AT8" s="433">
        <f>SUMIF('Mastersheet-Projects'!$B$41:$B$68,$C8,'Mastersheet-Projects'!AP$41:AP$68)/45</f>
        <v>0.2</v>
      </c>
      <c r="AU8" s="433">
        <f>SUMIF('Mastersheet-Projects'!$B$41:$B$68,$C8,'Mastersheet-Projects'!AQ$41:AQ$68)/45</f>
        <v>0.2</v>
      </c>
      <c r="AV8" s="433">
        <f>SUMIF('Mastersheet-Projects'!$B$41:$B$68,$C8,'Mastersheet-Projects'!AR$41:AR$68)/45</f>
        <v>0.2</v>
      </c>
      <c r="AW8" s="433">
        <f>SUMIF('Mastersheet-Projects'!$B$41:$B$68,$C8,'Mastersheet-Projects'!AS$41:AS$68)/45</f>
        <v>0</v>
      </c>
      <c r="AX8" s="433">
        <f>SUMIF('Mastersheet-Projects'!$B$41:$B$68,$C8,'Mastersheet-Projects'!AT$41:AT$68)/45</f>
        <v>0</v>
      </c>
      <c r="AY8" s="433">
        <f>SUMIF('Mastersheet-Projects'!$B$41:$B$68,$C8,'Mastersheet-Projects'!AU$41:AU$68)/45</f>
        <v>0</v>
      </c>
      <c r="AZ8" s="433">
        <f>SUMIF('Mastersheet-Projects'!$B$41:$B$68,$C8,'Mastersheet-Projects'!AV$41:AV$68)/45</f>
        <v>0</v>
      </c>
      <c r="BA8" s="433">
        <f>SUMIF('Mastersheet-Projects'!$B$41:$B$68,$C8,'Mastersheet-Projects'!AW$41:AW$68)/45</f>
        <v>0</v>
      </c>
      <c r="BB8" s="433">
        <f>SUMIF('Mastersheet-Projects'!$B$41:$B$68,$C8,'Mastersheet-Projects'!AX$41:AX$68)/45</f>
        <v>0</v>
      </c>
      <c r="BC8" s="433">
        <f>SUMIF('Mastersheet-Projects'!$B$41:$B$68,$C8,'Mastersheet-Projects'!AY$41:AY$68)/45</f>
        <v>0</v>
      </c>
      <c r="BD8" s="433">
        <f>SUMIF('Mastersheet-Projects'!$B$41:$B$68,$C8,'Mastersheet-Projects'!AZ$41:AZ$68)/45</f>
        <v>0</v>
      </c>
      <c r="BE8" s="433">
        <f>SUMIF('Mastersheet-Projects'!$B$41:$B$68,$C8,'Mastersheet-Projects'!BA$41:BA$68)/45</f>
        <v>0</v>
      </c>
      <c r="BF8" s="433">
        <f>SUMIF('Mastersheet-Projects'!$B$41:$B$68,$C8,'Mastersheet-Projects'!BB$41:BB$68)/45</f>
        <v>0</v>
      </c>
      <c r="BG8" s="433">
        <f>SUMIF('Mastersheet-Projects'!$B$41:$B$68,$C8,'Mastersheet-Projects'!BC$41:BC$68)/45</f>
        <v>0</v>
      </c>
    </row>
    <row r="9" spans="1:59" s="420" customFormat="1" ht="18.600000000000001">
      <c r="A9" s="419"/>
      <c r="B9" s="501"/>
      <c r="C9" s="505" t="s">
        <v>297</v>
      </c>
      <c r="D9" s="467" t="s">
        <v>298</v>
      </c>
      <c r="E9" s="535"/>
      <c r="F9" s="513">
        <v>1</v>
      </c>
      <c r="G9" s="543">
        <v>1</v>
      </c>
      <c r="H9" s="524">
        <f t="shared" si="33"/>
        <v>0</v>
      </c>
      <c r="I9" s="433">
        <f>SUMIF('Mastersheet-Projects'!$B$41:$B$68,$C9,'Mastersheet-Projects'!E$41:E$68)/45</f>
        <v>0</v>
      </c>
      <c r="J9" s="433">
        <f>SUMIF('Mastersheet-Projects'!$B$41:$B$68,$C9,'Mastersheet-Projects'!F$41:F$68)/45</f>
        <v>0</v>
      </c>
      <c r="K9" s="433">
        <f>SUMIF('Mastersheet-Projects'!$B$41:$B$68,$C9,'Mastersheet-Projects'!G$41:G$68)/45</f>
        <v>0</v>
      </c>
      <c r="L9" s="433">
        <f>SUMIF('Mastersheet-Projects'!$B$41:$B$68,$C9,'Mastersheet-Projects'!H$41:H$68)/45</f>
        <v>0</v>
      </c>
      <c r="M9" s="448">
        <f>SUMIF('Mastersheet-Projects'!$B$41:$B$68,$C9,'Mastersheet-Projects'!I$41:I$68)/45</f>
        <v>0</v>
      </c>
      <c r="N9" s="433">
        <f>SUMIF('Mastersheet-Projects'!$B$41:$B$68,$C9,'Mastersheet-Projects'!J$41:J$68)/45</f>
        <v>0</v>
      </c>
      <c r="O9" s="433">
        <f>SUMIF('Mastersheet-Projects'!$B$41:$B$68,$C9,'Mastersheet-Projects'!K$41:K$68)/45</f>
        <v>0</v>
      </c>
      <c r="P9" s="433">
        <f>SUMIF('Mastersheet-Projects'!$B$41:$B$68,$C9,'Mastersheet-Projects'!L$41:L$68)/45</f>
        <v>0</v>
      </c>
      <c r="Q9" s="449">
        <f>SUMIF('Mastersheet-Projects'!$B$41:$B$68,$C9,'Mastersheet-Projects'!M$41:M$68)/45</f>
        <v>0</v>
      </c>
      <c r="R9" s="433">
        <f>SUMIF('Mastersheet-Projects'!$B$41:$B$68,$C9,'Mastersheet-Projects'!N$41:N$68)/45</f>
        <v>0</v>
      </c>
      <c r="S9" s="433">
        <f>SUMIF('Mastersheet-Projects'!$B$41:$B$68,$C9,'Mastersheet-Projects'!O$41:O$68)/45</f>
        <v>0</v>
      </c>
      <c r="T9" s="433">
        <f>SUMIF('Mastersheet-Projects'!$B$41:$B$68,$C9,'Mastersheet-Projects'!P$41:P$68)/45</f>
        <v>0</v>
      </c>
      <c r="U9" s="433">
        <f>SUMIF('Mastersheet-Projects'!$B$41:$B$68,$C9,'Mastersheet-Projects'!Q$41:Q$68)/45</f>
        <v>0</v>
      </c>
      <c r="V9" s="433">
        <f>SUMIF('Mastersheet-Projects'!$B$41:$B$68,$C9,'Mastersheet-Projects'!R$41:R$68)/45</f>
        <v>0</v>
      </c>
      <c r="W9" s="448">
        <f>SUMIF('Mastersheet-Projects'!$B$41:$B$68,$C9,'Mastersheet-Projects'!S$41:S$68)/45</f>
        <v>0</v>
      </c>
      <c r="X9" s="433">
        <f>SUMIF('Mastersheet-Projects'!$B$41:$B$68,$C9,'Mastersheet-Projects'!T$41:T$68)/45</f>
        <v>0</v>
      </c>
      <c r="Y9" s="433">
        <f>SUMIF('Mastersheet-Projects'!$B$41:$B$68,$C9,'Mastersheet-Projects'!U$41:U$68)/45</f>
        <v>0</v>
      </c>
      <c r="Z9" s="433">
        <f>SUMIF('Mastersheet-Projects'!$B$41:$B$68,$C9,'Mastersheet-Projects'!V$41:V$68)/45</f>
        <v>0</v>
      </c>
      <c r="AA9" s="449">
        <f>SUMIF('Mastersheet-Projects'!$B$41:$B$68,$C9,'Mastersheet-Projects'!W$41:W$68)/45</f>
        <v>0</v>
      </c>
      <c r="AB9" s="433">
        <f>SUMIF('Mastersheet-Projects'!$B$41:$B$68,$C9,'Mastersheet-Projects'!X$41:X$68)/45</f>
        <v>0</v>
      </c>
      <c r="AC9" s="433">
        <f>SUMIF('Mastersheet-Projects'!$B$41:$B$68,$C9,'Mastersheet-Projects'!Y$41:Y$68)/45</f>
        <v>0</v>
      </c>
      <c r="AD9" s="433">
        <f>SUMIF('Mastersheet-Projects'!$B$41:$B$68,$C9,'Mastersheet-Projects'!Z$41:Z$68)/45</f>
        <v>0</v>
      </c>
      <c r="AE9" s="433">
        <f>SUMIF('Mastersheet-Projects'!$B$41:$B$68,$C9,'Mastersheet-Projects'!AA$41:AA$68)/45</f>
        <v>0</v>
      </c>
      <c r="AF9" s="433">
        <f>SUMIF('Mastersheet-Projects'!$B$41:$B$68,$C9,'Mastersheet-Projects'!AB$41:AB$68)/45</f>
        <v>0</v>
      </c>
      <c r="AG9" s="448">
        <f>SUMIF('Mastersheet-Projects'!$B$41:$B$68,$C9,'Mastersheet-Projects'!AC$41:AC$68)/45</f>
        <v>0</v>
      </c>
      <c r="AH9" s="433">
        <f>SUMIF('Mastersheet-Projects'!$B$41:$B$68,$C9,'Mastersheet-Projects'!AD$41:AD$68)/45</f>
        <v>0</v>
      </c>
      <c r="AI9" s="433">
        <f>SUMIF('Mastersheet-Projects'!$B$41:$B$68,$C9,'Mastersheet-Projects'!AE$41:AE$68)/45</f>
        <v>0</v>
      </c>
      <c r="AJ9" s="433">
        <f>SUMIF('Mastersheet-Projects'!$B$41:$B$68,$C9,'Mastersheet-Projects'!AF$41:AF$68)/45</f>
        <v>0</v>
      </c>
      <c r="AK9" s="433">
        <f>SUMIF('Mastersheet-Projects'!$B$41:$B$68,$C9,'Mastersheet-Projects'!AG$41:AG$68)/45</f>
        <v>0</v>
      </c>
      <c r="AL9" s="433">
        <f>SUMIF('Mastersheet-Projects'!$B$41:$B$68,$C9,'Mastersheet-Projects'!AH$41:AH$68)/45</f>
        <v>0</v>
      </c>
      <c r="AM9" s="433">
        <f>SUMIF('Mastersheet-Projects'!$B$41:$B$68,$C9,'Mastersheet-Projects'!AI$41:AI$68)/45</f>
        <v>0</v>
      </c>
      <c r="AN9" s="433">
        <f>SUMIF('Mastersheet-Projects'!$B$41:$B$68,$C9,'Mastersheet-Projects'!AJ$41:AJ$68)/45</f>
        <v>0</v>
      </c>
      <c r="AO9" s="433">
        <f>SUMIF('Mastersheet-Projects'!$B$41:$B$68,$C9,'Mastersheet-Projects'!AK$41:AK$68)/45</f>
        <v>0</v>
      </c>
      <c r="AP9" s="433">
        <f>SUMIF('Mastersheet-Projects'!$B$41:$B$68,$C9,'Mastersheet-Projects'!AL$41:AL$68)/45</f>
        <v>0</v>
      </c>
      <c r="AQ9" s="433">
        <f>SUMIF('Mastersheet-Projects'!$B$41:$B$68,$C9,'Mastersheet-Projects'!AM$41:AM$68)/45</f>
        <v>0</v>
      </c>
      <c r="AR9" s="433">
        <f>SUMIF('Mastersheet-Projects'!$B$41:$B$68,$C9,'Mastersheet-Projects'!AN$41:AN$68)/45</f>
        <v>0</v>
      </c>
      <c r="AS9" s="433">
        <f>SUMIF('Mastersheet-Projects'!$B$41:$B$68,$C9,'Mastersheet-Projects'!AO$41:AO$68)/45</f>
        <v>0</v>
      </c>
      <c r="AT9" s="433">
        <f>SUMIF('Mastersheet-Projects'!$B$41:$B$68,$C9,'Mastersheet-Projects'!AP$41:AP$68)/45</f>
        <v>0</v>
      </c>
      <c r="AU9" s="433">
        <f>SUMIF('Mastersheet-Projects'!$B$41:$B$68,$C9,'Mastersheet-Projects'!AQ$41:AQ$68)/45</f>
        <v>0</v>
      </c>
      <c r="AV9" s="433">
        <f>SUMIF('Mastersheet-Projects'!$B$41:$B$68,$C9,'Mastersheet-Projects'!AR$41:AR$68)/45</f>
        <v>0</v>
      </c>
      <c r="AW9" s="433">
        <f>SUMIF('Mastersheet-Projects'!$B$41:$B$68,$C9,'Mastersheet-Projects'!AS$41:AS$68)/45</f>
        <v>0</v>
      </c>
      <c r="AX9" s="433">
        <f>SUMIF('Mastersheet-Projects'!$B$41:$B$68,$C9,'Mastersheet-Projects'!AT$41:AT$68)/45</f>
        <v>0</v>
      </c>
      <c r="AY9" s="433">
        <f>SUMIF('Mastersheet-Projects'!$B$41:$B$68,$C9,'Mastersheet-Projects'!AU$41:AU$68)/45</f>
        <v>0</v>
      </c>
      <c r="AZ9" s="433">
        <f>SUMIF('Mastersheet-Projects'!$B$41:$B$68,$C9,'Mastersheet-Projects'!AV$41:AV$68)/45</f>
        <v>0</v>
      </c>
      <c r="BA9" s="433">
        <f>SUMIF('Mastersheet-Projects'!$B$41:$B$68,$C9,'Mastersheet-Projects'!AW$41:AW$68)/45</f>
        <v>0</v>
      </c>
      <c r="BB9" s="433">
        <f>SUMIF('Mastersheet-Projects'!$B$41:$B$68,$C9,'Mastersheet-Projects'!AX$41:AX$68)/45</f>
        <v>0</v>
      </c>
      <c r="BC9" s="433">
        <f>SUMIF('Mastersheet-Projects'!$B$41:$B$68,$C9,'Mastersheet-Projects'!AY$41:AY$68)/45</f>
        <v>0</v>
      </c>
      <c r="BD9" s="433">
        <f>SUMIF('Mastersheet-Projects'!$B$41:$B$68,$C9,'Mastersheet-Projects'!AZ$41:AZ$68)/45</f>
        <v>0</v>
      </c>
      <c r="BE9" s="433">
        <f>SUMIF('Mastersheet-Projects'!$B$41:$B$68,$C9,'Mastersheet-Projects'!BA$41:BA$68)/45</f>
        <v>0</v>
      </c>
      <c r="BF9" s="433">
        <f>SUMIF('Mastersheet-Projects'!$B$41:$B$68,$C9,'Mastersheet-Projects'!BB$41:BB$68)/45</f>
        <v>0</v>
      </c>
      <c r="BG9" s="433">
        <f>SUMIF('Mastersheet-Projects'!$B$41:$B$68,$C9,'Mastersheet-Projects'!BC$41:BC$68)/45</f>
        <v>0</v>
      </c>
    </row>
    <row r="10" spans="1:59" s="420" customFormat="1" ht="18.600000000000001">
      <c r="A10" s="419"/>
      <c r="B10" s="501"/>
      <c r="C10" s="505" t="s">
        <v>299</v>
      </c>
      <c r="D10" s="467" t="s">
        <v>300</v>
      </c>
      <c r="E10" s="535">
        <v>1</v>
      </c>
      <c r="F10" s="513">
        <v>1</v>
      </c>
      <c r="G10" s="543">
        <v>1</v>
      </c>
      <c r="H10" s="524">
        <f t="shared" si="33"/>
        <v>0</v>
      </c>
      <c r="I10" s="433">
        <f>SUMIF('Mastersheet-Projects'!$B$41:$B$68,$C10,'Mastersheet-Projects'!E$41:E$68)/45</f>
        <v>0</v>
      </c>
      <c r="J10" s="433">
        <f>SUMIF('Mastersheet-Projects'!$B$41:$B$68,$C10,'Mastersheet-Projects'!F$41:F$68)/45</f>
        <v>0</v>
      </c>
      <c r="K10" s="433">
        <f>SUMIF('Mastersheet-Projects'!$B$41:$B$68,$C10,'Mastersheet-Projects'!G$41:G$68)/45</f>
        <v>0</v>
      </c>
      <c r="L10" s="433">
        <f>SUMIF('Mastersheet-Projects'!$B$41:$B$68,$C10,'Mastersheet-Projects'!H$41:H$68)/45</f>
        <v>0</v>
      </c>
      <c r="M10" s="448">
        <f>SUMIF('Mastersheet-Projects'!$B$41:$B$68,$C10,'Mastersheet-Projects'!I$41:I$68)/45</f>
        <v>0</v>
      </c>
      <c r="N10" s="433">
        <f>SUMIF('Mastersheet-Projects'!$B$41:$B$68,$C10,'Mastersheet-Projects'!J$41:J$68)/45</f>
        <v>0</v>
      </c>
      <c r="O10" s="433">
        <f>SUMIF('Mastersheet-Projects'!$B$41:$B$68,$C10,'Mastersheet-Projects'!K$41:K$68)/45</f>
        <v>0</v>
      </c>
      <c r="P10" s="433">
        <f>SUMIF('Mastersheet-Projects'!$B$41:$B$68,$C10,'Mastersheet-Projects'!L$41:L$68)/45</f>
        <v>0</v>
      </c>
      <c r="Q10" s="449">
        <f>SUMIF('Mastersheet-Projects'!$B$41:$B$68,$C10,'Mastersheet-Projects'!M$41:M$68)/45</f>
        <v>0</v>
      </c>
      <c r="R10" s="433">
        <f>SUMIF('Mastersheet-Projects'!$B$41:$B$68,$C10,'Mastersheet-Projects'!N$41:N$68)/45</f>
        <v>0</v>
      </c>
      <c r="S10" s="433">
        <f>SUMIF('Mastersheet-Projects'!$B$41:$B$68,$C10,'Mastersheet-Projects'!O$41:O$68)/45</f>
        <v>0</v>
      </c>
      <c r="T10" s="433">
        <f>SUMIF('Mastersheet-Projects'!$B$41:$B$68,$C10,'Mastersheet-Projects'!P$41:P$68)/45</f>
        <v>0</v>
      </c>
      <c r="U10" s="433">
        <f>SUMIF('Mastersheet-Projects'!$B$41:$B$68,$C10,'Mastersheet-Projects'!Q$41:Q$68)/45</f>
        <v>0</v>
      </c>
      <c r="V10" s="433">
        <f>SUMIF('Mastersheet-Projects'!$B$41:$B$68,$C10,'Mastersheet-Projects'!R$41:R$68)/45</f>
        <v>0</v>
      </c>
      <c r="W10" s="448">
        <f>SUMIF('Mastersheet-Projects'!$B$41:$B$68,$C10,'Mastersheet-Projects'!S$41:S$68)/45</f>
        <v>0</v>
      </c>
      <c r="X10" s="433">
        <f>SUMIF('Mastersheet-Projects'!$B$41:$B$68,$C10,'Mastersheet-Projects'!T$41:T$68)/45</f>
        <v>0</v>
      </c>
      <c r="Y10" s="433">
        <f>SUMIF('Mastersheet-Projects'!$B$41:$B$68,$C10,'Mastersheet-Projects'!U$41:U$68)/45</f>
        <v>0</v>
      </c>
      <c r="Z10" s="433">
        <f>SUMIF('Mastersheet-Projects'!$B$41:$B$68,$C10,'Mastersheet-Projects'!V$41:V$68)/45</f>
        <v>0</v>
      </c>
      <c r="AA10" s="449">
        <f>SUMIF('Mastersheet-Projects'!$B$41:$B$68,$C10,'Mastersheet-Projects'!W$41:W$68)/45</f>
        <v>0</v>
      </c>
      <c r="AB10" s="433">
        <f>SUMIF('Mastersheet-Projects'!$B$41:$B$68,$C10,'Mastersheet-Projects'!X$41:X$68)/45</f>
        <v>0</v>
      </c>
      <c r="AC10" s="433">
        <f>SUMIF('Mastersheet-Projects'!$B$41:$B$68,$C10,'Mastersheet-Projects'!Y$41:Y$68)/45</f>
        <v>0</v>
      </c>
      <c r="AD10" s="433">
        <f>SUMIF('Mastersheet-Projects'!$B$41:$B$68,$C10,'Mastersheet-Projects'!Z$41:Z$68)/45</f>
        <v>0</v>
      </c>
      <c r="AE10" s="433">
        <f>SUMIF('Mastersheet-Projects'!$B$41:$B$68,$C10,'Mastersheet-Projects'!AA$41:AA$68)/45</f>
        <v>0</v>
      </c>
      <c r="AF10" s="433">
        <f>SUMIF('Mastersheet-Projects'!$B$41:$B$68,$C10,'Mastersheet-Projects'!AB$41:AB$68)/45</f>
        <v>0</v>
      </c>
      <c r="AG10" s="448">
        <f>SUMIF('Mastersheet-Projects'!$B$41:$B$68,$C10,'Mastersheet-Projects'!AC$41:AC$68)/45</f>
        <v>0</v>
      </c>
      <c r="AH10" s="433">
        <f>SUMIF('Mastersheet-Projects'!$B$41:$B$68,$C10,'Mastersheet-Projects'!AD$41:AD$68)/45</f>
        <v>0</v>
      </c>
      <c r="AI10" s="433">
        <f>SUMIF('Mastersheet-Projects'!$B$41:$B$68,$C10,'Mastersheet-Projects'!AE$41:AE$68)/45</f>
        <v>0</v>
      </c>
      <c r="AJ10" s="433">
        <f>SUMIF('Mastersheet-Projects'!$B$41:$B$68,$C10,'Mastersheet-Projects'!AF$41:AF$68)/45</f>
        <v>0</v>
      </c>
      <c r="AK10" s="433">
        <f>SUMIF('Mastersheet-Projects'!$B$41:$B$68,$C10,'Mastersheet-Projects'!AG$41:AG$68)/45</f>
        <v>0</v>
      </c>
      <c r="AL10" s="433">
        <f>SUMIF('Mastersheet-Projects'!$B$41:$B$68,$C10,'Mastersheet-Projects'!AH$41:AH$68)/45</f>
        <v>0</v>
      </c>
      <c r="AM10" s="433">
        <f>SUMIF('Mastersheet-Projects'!$B$41:$B$68,$C10,'Mastersheet-Projects'!AI$41:AI$68)/45</f>
        <v>0</v>
      </c>
      <c r="AN10" s="433">
        <f>SUMIF('Mastersheet-Projects'!$B$41:$B$68,$C10,'Mastersheet-Projects'!AJ$41:AJ$68)/45</f>
        <v>0</v>
      </c>
      <c r="AO10" s="433">
        <f>SUMIF('Mastersheet-Projects'!$B$41:$B$68,$C10,'Mastersheet-Projects'!AK$41:AK$68)/45</f>
        <v>0</v>
      </c>
      <c r="AP10" s="433">
        <f>SUMIF('Mastersheet-Projects'!$B$41:$B$68,$C10,'Mastersheet-Projects'!AL$41:AL$68)/45</f>
        <v>0</v>
      </c>
      <c r="AQ10" s="433">
        <f>SUMIF('Mastersheet-Projects'!$B$41:$B$68,$C10,'Mastersheet-Projects'!AM$41:AM$68)/45</f>
        <v>0</v>
      </c>
      <c r="AR10" s="433">
        <f>SUMIF('Mastersheet-Projects'!$B$41:$B$68,$C10,'Mastersheet-Projects'!AN$41:AN$68)/45</f>
        <v>0</v>
      </c>
      <c r="AS10" s="433">
        <f>SUMIF('Mastersheet-Projects'!$B$41:$B$68,$C10,'Mastersheet-Projects'!AO$41:AO$68)/45</f>
        <v>0</v>
      </c>
      <c r="AT10" s="433">
        <f>SUMIF('Mastersheet-Projects'!$B$41:$B$68,$C10,'Mastersheet-Projects'!AP$41:AP$68)/45</f>
        <v>0</v>
      </c>
      <c r="AU10" s="433">
        <f>SUMIF('Mastersheet-Projects'!$B$41:$B$68,$C10,'Mastersheet-Projects'!AQ$41:AQ$68)/45</f>
        <v>0</v>
      </c>
      <c r="AV10" s="433">
        <f>SUMIF('Mastersheet-Projects'!$B$41:$B$68,$C10,'Mastersheet-Projects'!AR$41:AR$68)/45</f>
        <v>0</v>
      </c>
      <c r="AW10" s="433">
        <f>SUMIF('Mastersheet-Projects'!$B$41:$B$68,$C10,'Mastersheet-Projects'!AS$41:AS$68)/45</f>
        <v>0</v>
      </c>
      <c r="AX10" s="433">
        <f>SUMIF('Mastersheet-Projects'!$B$41:$B$68,$C10,'Mastersheet-Projects'!AT$41:AT$68)/45</f>
        <v>0</v>
      </c>
      <c r="AY10" s="433">
        <f>SUMIF('Mastersheet-Projects'!$B$41:$B$68,$C10,'Mastersheet-Projects'!AU$41:AU$68)/45</f>
        <v>0</v>
      </c>
      <c r="AZ10" s="433">
        <f>SUMIF('Mastersheet-Projects'!$B$41:$B$68,$C10,'Mastersheet-Projects'!AV$41:AV$68)/45</f>
        <v>0</v>
      </c>
      <c r="BA10" s="433">
        <f>SUMIF('Mastersheet-Projects'!$B$41:$B$68,$C10,'Mastersheet-Projects'!AW$41:AW$68)/45</f>
        <v>0</v>
      </c>
      <c r="BB10" s="433">
        <f>SUMIF('Mastersheet-Projects'!$B$41:$B$68,$C10,'Mastersheet-Projects'!AX$41:AX$68)/45</f>
        <v>0</v>
      </c>
      <c r="BC10" s="433">
        <f>SUMIF('Mastersheet-Projects'!$B$41:$B$68,$C10,'Mastersheet-Projects'!AY$41:AY$68)/45</f>
        <v>0</v>
      </c>
      <c r="BD10" s="433">
        <f>SUMIF('Mastersheet-Projects'!$B$41:$B$68,$C10,'Mastersheet-Projects'!AZ$41:AZ$68)/45</f>
        <v>0</v>
      </c>
      <c r="BE10" s="433">
        <f>SUMIF('Mastersheet-Projects'!$B$41:$B$68,$C10,'Mastersheet-Projects'!BA$41:BA$68)/45</f>
        <v>0</v>
      </c>
      <c r="BF10" s="433">
        <f>SUMIF('Mastersheet-Projects'!$B$41:$B$68,$C10,'Mastersheet-Projects'!BB$41:BB$68)/45</f>
        <v>0</v>
      </c>
      <c r="BG10" s="433">
        <f>SUMIF('Mastersheet-Projects'!$B$41:$B$68,$C10,'Mastersheet-Projects'!BC$41:BC$68)/45</f>
        <v>0</v>
      </c>
    </row>
    <row r="11" spans="1:59" s="420" customFormat="1" ht="18.600000000000001">
      <c r="A11" s="419">
        <v>3</v>
      </c>
      <c r="B11" s="501"/>
      <c r="C11" s="506" t="s">
        <v>301</v>
      </c>
      <c r="D11" s="466" t="s">
        <v>302</v>
      </c>
      <c r="E11" s="536"/>
      <c r="F11" s="514">
        <v>1</v>
      </c>
      <c r="G11" s="544">
        <v>1</v>
      </c>
      <c r="H11" s="525">
        <f t="shared" si="33"/>
        <v>0</v>
      </c>
      <c r="I11" s="433">
        <f>SUMIF('Mastersheet-Projects'!$B$41:$B$68,$C11,'Mastersheet-Projects'!E$41:E$68)/45</f>
        <v>0</v>
      </c>
      <c r="J11" s="433">
        <f>SUMIF('Mastersheet-Projects'!$B$41:$B$68,$C11,'Mastersheet-Projects'!F$41:F$68)/45</f>
        <v>0</v>
      </c>
      <c r="K11" s="433">
        <f>SUMIF('Mastersheet-Projects'!$B$41:$B$68,$C11,'Mastersheet-Projects'!G$41:G$68)/45</f>
        <v>0</v>
      </c>
      <c r="L11" s="433">
        <f>SUMIF('Mastersheet-Projects'!$B$41:$B$68,$C11,'Mastersheet-Projects'!H$41:H$68)/45</f>
        <v>0</v>
      </c>
      <c r="M11" s="448">
        <f>SUMIF('Mastersheet-Projects'!$B$41:$B$68,$C11,'Mastersheet-Projects'!I$41:I$68)/45</f>
        <v>0</v>
      </c>
      <c r="N11" s="433">
        <f>SUMIF('Mastersheet-Projects'!$B$41:$B$68,$C11,'Mastersheet-Projects'!J$41:J$68)/45</f>
        <v>0</v>
      </c>
      <c r="O11" s="433">
        <f>SUMIF('Mastersheet-Projects'!$B$41:$B$68,$C11,'Mastersheet-Projects'!K$41:K$68)/45</f>
        <v>0</v>
      </c>
      <c r="P11" s="433">
        <f>SUMIF('Mastersheet-Projects'!$B$41:$B$68,$C11,'Mastersheet-Projects'!L$41:L$68)/45</f>
        <v>0</v>
      </c>
      <c r="Q11" s="449">
        <f>SUMIF('Mastersheet-Projects'!$B$41:$B$68,$C11,'Mastersheet-Projects'!M$41:M$68)/45</f>
        <v>0</v>
      </c>
      <c r="R11" s="433">
        <f>SUMIF('Mastersheet-Projects'!$B$41:$B$68,$C11,'Mastersheet-Projects'!N$41:N$68)/45</f>
        <v>0</v>
      </c>
      <c r="S11" s="433">
        <f>SUMIF('Mastersheet-Projects'!$B$41:$B$68,$C11,'Mastersheet-Projects'!O$41:O$68)/45</f>
        <v>0</v>
      </c>
      <c r="T11" s="433">
        <f>SUMIF('Mastersheet-Projects'!$B$41:$B$68,$C11,'Mastersheet-Projects'!P$41:P$68)/45</f>
        <v>0</v>
      </c>
      <c r="U11" s="433">
        <f>SUMIF('Mastersheet-Projects'!$B$41:$B$68,$C11,'Mastersheet-Projects'!Q$41:Q$68)/45</f>
        <v>0</v>
      </c>
      <c r="V11" s="433">
        <f>SUMIF('Mastersheet-Projects'!$B$41:$B$68,$C11,'Mastersheet-Projects'!R$41:R$68)/45</f>
        <v>0</v>
      </c>
      <c r="W11" s="448">
        <f>SUMIF('Mastersheet-Projects'!$B$41:$B$68,$C11,'Mastersheet-Projects'!S$41:S$68)/45</f>
        <v>0</v>
      </c>
      <c r="X11" s="433">
        <f>SUMIF('Mastersheet-Projects'!$B$41:$B$68,$C11,'Mastersheet-Projects'!T$41:T$68)/45</f>
        <v>0</v>
      </c>
      <c r="Y11" s="433">
        <f>SUMIF('Mastersheet-Projects'!$B$41:$B$68,$C11,'Mastersheet-Projects'!U$41:U$68)/45</f>
        <v>0</v>
      </c>
      <c r="Z11" s="433">
        <f>SUMIF('Mastersheet-Projects'!$B$41:$B$68,$C11,'Mastersheet-Projects'!V$41:V$68)/45</f>
        <v>0</v>
      </c>
      <c r="AA11" s="449">
        <f>SUMIF('Mastersheet-Projects'!$B$41:$B$68,$C11,'Mastersheet-Projects'!W$41:W$68)/45</f>
        <v>0</v>
      </c>
      <c r="AB11" s="433">
        <f>SUMIF('Mastersheet-Projects'!$B$41:$B$68,$C11,'Mastersheet-Projects'!X$41:X$68)/45</f>
        <v>0</v>
      </c>
      <c r="AC11" s="433">
        <f>SUMIF('Mastersheet-Projects'!$B$41:$B$68,$C11,'Mastersheet-Projects'!Y$41:Y$68)/45</f>
        <v>0</v>
      </c>
      <c r="AD11" s="433">
        <f>SUMIF('Mastersheet-Projects'!$B$41:$B$68,$C11,'Mastersheet-Projects'!Z$41:Z$68)/45</f>
        <v>0</v>
      </c>
      <c r="AE11" s="433">
        <f>SUMIF('Mastersheet-Projects'!$B$41:$B$68,$C11,'Mastersheet-Projects'!AA$41:AA$68)/45</f>
        <v>0</v>
      </c>
      <c r="AF11" s="433">
        <f>SUMIF('Mastersheet-Projects'!$B$41:$B$68,$C11,'Mastersheet-Projects'!AB$41:AB$68)/45</f>
        <v>0</v>
      </c>
      <c r="AG11" s="448">
        <f>SUMIF('Mastersheet-Projects'!$B$41:$B$68,$C11,'Mastersheet-Projects'!AC$41:AC$68)/45</f>
        <v>0</v>
      </c>
      <c r="AH11" s="433">
        <f>SUMIF('Mastersheet-Projects'!$B$41:$B$68,$C11,'Mastersheet-Projects'!AD$41:AD$68)/45</f>
        <v>0</v>
      </c>
      <c r="AI11" s="433">
        <f>SUMIF('Mastersheet-Projects'!$B$41:$B$68,$C11,'Mastersheet-Projects'!AE$41:AE$68)/45</f>
        <v>0</v>
      </c>
      <c r="AJ11" s="433">
        <f>SUMIF('Mastersheet-Projects'!$B$41:$B$68,$C11,'Mastersheet-Projects'!AF$41:AF$68)/45</f>
        <v>0</v>
      </c>
      <c r="AK11" s="433">
        <f>SUMIF('Mastersheet-Projects'!$B$41:$B$68,$C11,'Mastersheet-Projects'!AG$41:AG$68)/45</f>
        <v>0</v>
      </c>
      <c r="AL11" s="433">
        <f>SUMIF('Mastersheet-Projects'!$B$41:$B$68,$C11,'Mastersheet-Projects'!AH$41:AH$68)/45</f>
        <v>0</v>
      </c>
      <c r="AM11" s="433">
        <f>SUMIF('Mastersheet-Projects'!$B$41:$B$68,$C11,'Mastersheet-Projects'!AI$41:AI$68)/45</f>
        <v>0</v>
      </c>
      <c r="AN11" s="433">
        <f>SUMIF('Mastersheet-Projects'!$B$41:$B$68,$C11,'Mastersheet-Projects'!AJ$41:AJ$68)/45</f>
        <v>0</v>
      </c>
      <c r="AO11" s="433">
        <f>SUMIF('Mastersheet-Projects'!$B$41:$B$68,$C11,'Mastersheet-Projects'!AK$41:AK$68)/45</f>
        <v>0</v>
      </c>
      <c r="AP11" s="433">
        <f>SUMIF('Mastersheet-Projects'!$B$41:$B$68,$C11,'Mastersheet-Projects'!AL$41:AL$68)/45</f>
        <v>0</v>
      </c>
      <c r="AQ11" s="433">
        <f>SUMIF('Mastersheet-Projects'!$B$41:$B$68,$C11,'Mastersheet-Projects'!AM$41:AM$68)/45</f>
        <v>0</v>
      </c>
      <c r="AR11" s="433">
        <f>SUMIF('Mastersheet-Projects'!$B$41:$B$68,$C11,'Mastersheet-Projects'!AN$41:AN$68)/45</f>
        <v>0</v>
      </c>
      <c r="AS11" s="433">
        <f>SUMIF('Mastersheet-Projects'!$B$41:$B$68,$C11,'Mastersheet-Projects'!AO$41:AO$68)/45</f>
        <v>0</v>
      </c>
      <c r="AT11" s="433">
        <f>SUMIF('Mastersheet-Projects'!$B$41:$B$68,$C11,'Mastersheet-Projects'!AP$41:AP$68)/45</f>
        <v>0</v>
      </c>
      <c r="AU11" s="433">
        <f>SUMIF('Mastersheet-Projects'!$B$41:$B$68,$C11,'Mastersheet-Projects'!AQ$41:AQ$68)/45</f>
        <v>0</v>
      </c>
      <c r="AV11" s="433">
        <f>SUMIF('Mastersheet-Projects'!$B$41:$B$68,$C11,'Mastersheet-Projects'!AR$41:AR$68)/45</f>
        <v>0</v>
      </c>
      <c r="AW11" s="433">
        <f>SUMIF('Mastersheet-Projects'!$B$41:$B$68,$C11,'Mastersheet-Projects'!AS$41:AS$68)/45</f>
        <v>0</v>
      </c>
      <c r="AX11" s="433">
        <f>SUMIF('Mastersheet-Projects'!$B$41:$B$68,$C11,'Mastersheet-Projects'!AT$41:AT$68)/45</f>
        <v>0</v>
      </c>
      <c r="AY11" s="433">
        <f>SUMIF('Mastersheet-Projects'!$B$41:$B$68,$C11,'Mastersheet-Projects'!AU$41:AU$68)/45</f>
        <v>0</v>
      </c>
      <c r="AZ11" s="433">
        <f>SUMIF('Mastersheet-Projects'!$B$41:$B$68,$C11,'Mastersheet-Projects'!AV$41:AV$68)/45</f>
        <v>0</v>
      </c>
      <c r="BA11" s="433">
        <f>SUMIF('Mastersheet-Projects'!$B$41:$B$68,$C11,'Mastersheet-Projects'!AW$41:AW$68)/45</f>
        <v>0</v>
      </c>
      <c r="BB11" s="433">
        <f>SUMIF('Mastersheet-Projects'!$B$41:$B$68,$C11,'Mastersheet-Projects'!AX$41:AX$68)/45</f>
        <v>0</v>
      </c>
      <c r="BC11" s="433">
        <f>SUMIF('Mastersheet-Projects'!$B$41:$B$68,$C11,'Mastersheet-Projects'!AY$41:AY$68)/45</f>
        <v>0</v>
      </c>
      <c r="BD11" s="433">
        <f>SUMIF('Mastersheet-Projects'!$B$41:$B$68,$C11,'Mastersheet-Projects'!AZ$41:AZ$68)/45</f>
        <v>0</v>
      </c>
      <c r="BE11" s="433">
        <f>SUMIF('Mastersheet-Projects'!$B$41:$B$68,$C11,'Mastersheet-Projects'!BA$41:BA$68)/45</f>
        <v>0</v>
      </c>
      <c r="BF11" s="433">
        <f>SUMIF('Mastersheet-Projects'!$B$41:$B$68,$C11,'Mastersheet-Projects'!BB$41:BB$68)/45</f>
        <v>0</v>
      </c>
      <c r="BG11" s="433">
        <f>SUMIF('Mastersheet-Projects'!$B$41:$B$68,$C11,'Mastersheet-Projects'!BC$41:BC$68)/45</f>
        <v>0</v>
      </c>
    </row>
    <row r="12" spans="1:59" s="420" customFormat="1" ht="18.600000000000001">
      <c r="A12" s="419"/>
      <c r="B12" s="501"/>
      <c r="C12" s="505" t="s">
        <v>303</v>
      </c>
      <c r="D12" s="467" t="s">
        <v>304</v>
      </c>
      <c r="E12" s="535">
        <v>1</v>
      </c>
      <c r="F12" s="513">
        <v>1</v>
      </c>
      <c r="G12" s="543">
        <v>1</v>
      </c>
      <c r="H12" s="524">
        <f t="shared" si="33"/>
        <v>0</v>
      </c>
      <c r="I12" s="433">
        <f>SUMIF('Mastersheet-Projects'!$B$41:$B$68,$C12,'Mastersheet-Projects'!E$41:E$68)/45</f>
        <v>0</v>
      </c>
      <c r="J12" s="433">
        <f>SUMIF('Mastersheet-Projects'!$B$41:$B$68,$C12,'Mastersheet-Projects'!F$41:F$68)/45</f>
        <v>0</v>
      </c>
      <c r="K12" s="433">
        <f>SUMIF('Mastersheet-Projects'!$B$41:$B$68,$C12,'Mastersheet-Projects'!G$41:G$68)/45</f>
        <v>0</v>
      </c>
      <c r="L12" s="433">
        <f>SUMIF('Mastersheet-Projects'!$B$41:$B$68,$C12,'Mastersheet-Projects'!H$41:H$68)/45</f>
        <v>0</v>
      </c>
      <c r="M12" s="448">
        <f>SUMIF('Mastersheet-Projects'!$B$41:$B$68,$C12,'Mastersheet-Projects'!I$41:I$68)/45</f>
        <v>0</v>
      </c>
      <c r="N12" s="433">
        <f>SUMIF('Mastersheet-Projects'!$B$41:$B$68,$C12,'Mastersheet-Projects'!J$41:J$68)/45</f>
        <v>0</v>
      </c>
      <c r="O12" s="433">
        <f>SUMIF('Mastersheet-Projects'!$B$41:$B$68,$C12,'Mastersheet-Projects'!K$41:K$68)/45</f>
        <v>0</v>
      </c>
      <c r="P12" s="433">
        <f>SUMIF('Mastersheet-Projects'!$B$41:$B$68,$C12,'Mastersheet-Projects'!L$41:L$68)/45</f>
        <v>0</v>
      </c>
      <c r="Q12" s="449">
        <f>SUMIF('Mastersheet-Projects'!$B$41:$B$68,$C12,'Mastersheet-Projects'!M$41:M$68)/45</f>
        <v>0</v>
      </c>
      <c r="R12" s="433">
        <f>SUMIF('Mastersheet-Projects'!$B$41:$B$68,$C12,'Mastersheet-Projects'!N$41:N$68)/45</f>
        <v>0</v>
      </c>
      <c r="S12" s="433">
        <f>SUMIF('Mastersheet-Projects'!$B$41:$B$68,$C12,'Mastersheet-Projects'!O$41:O$68)/45</f>
        <v>0</v>
      </c>
      <c r="T12" s="433">
        <f>SUMIF('Mastersheet-Projects'!$B$41:$B$68,$C12,'Mastersheet-Projects'!P$41:P$68)/45</f>
        <v>0</v>
      </c>
      <c r="U12" s="433">
        <f>SUMIF('Mastersheet-Projects'!$B$41:$B$68,$C12,'Mastersheet-Projects'!Q$41:Q$68)/45</f>
        <v>0</v>
      </c>
      <c r="V12" s="433">
        <f>SUMIF('Mastersheet-Projects'!$B$41:$B$68,$C12,'Mastersheet-Projects'!R$41:R$68)/45</f>
        <v>0</v>
      </c>
      <c r="W12" s="448">
        <f>SUMIF('Mastersheet-Projects'!$B$41:$B$68,$C12,'Mastersheet-Projects'!S$41:S$68)/45</f>
        <v>0</v>
      </c>
      <c r="X12" s="433">
        <f>SUMIF('Mastersheet-Projects'!$B$41:$B$68,$C12,'Mastersheet-Projects'!T$41:T$68)/45</f>
        <v>0</v>
      </c>
      <c r="Y12" s="433">
        <f>SUMIF('Mastersheet-Projects'!$B$41:$B$68,$C12,'Mastersheet-Projects'!U$41:U$68)/45</f>
        <v>0</v>
      </c>
      <c r="Z12" s="433">
        <f>SUMIF('Mastersheet-Projects'!$B$41:$B$68,$C12,'Mastersheet-Projects'!V$41:V$68)/45</f>
        <v>0</v>
      </c>
      <c r="AA12" s="449">
        <f>SUMIF('Mastersheet-Projects'!$B$41:$B$68,$C12,'Mastersheet-Projects'!W$41:W$68)/45</f>
        <v>0</v>
      </c>
      <c r="AB12" s="433">
        <f>SUMIF('Mastersheet-Projects'!$B$41:$B$68,$C12,'Mastersheet-Projects'!X$41:X$68)/45</f>
        <v>0</v>
      </c>
      <c r="AC12" s="433">
        <f>SUMIF('Mastersheet-Projects'!$B$41:$B$68,$C12,'Mastersheet-Projects'!Y$41:Y$68)/45</f>
        <v>0</v>
      </c>
      <c r="AD12" s="433">
        <f>SUMIF('Mastersheet-Projects'!$B$41:$B$68,$C12,'Mastersheet-Projects'!Z$41:Z$68)/45</f>
        <v>0</v>
      </c>
      <c r="AE12" s="433">
        <f>SUMIF('Mastersheet-Projects'!$B$41:$B$68,$C12,'Mastersheet-Projects'!AA$41:AA$68)/45</f>
        <v>0</v>
      </c>
      <c r="AF12" s="433">
        <f>SUMIF('Mastersheet-Projects'!$B$41:$B$68,$C12,'Mastersheet-Projects'!AB$41:AB$68)/45</f>
        <v>0</v>
      </c>
      <c r="AG12" s="448">
        <f>SUMIF('Mastersheet-Projects'!$B$41:$B$68,$C12,'Mastersheet-Projects'!AC$41:AC$68)/45</f>
        <v>0</v>
      </c>
      <c r="AH12" s="433">
        <f>SUMIF('Mastersheet-Projects'!$B$41:$B$68,$C12,'Mastersheet-Projects'!AD$41:AD$68)/45</f>
        <v>0</v>
      </c>
      <c r="AI12" s="433">
        <f>SUMIF('Mastersheet-Projects'!$B$41:$B$68,$C12,'Mastersheet-Projects'!AE$41:AE$68)/45</f>
        <v>0</v>
      </c>
      <c r="AJ12" s="433">
        <f>SUMIF('Mastersheet-Projects'!$B$41:$B$68,$C12,'Mastersheet-Projects'!AF$41:AF$68)/45</f>
        <v>0</v>
      </c>
      <c r="AK12" s="433">
        <f>SUMIF('Mastersheet-Projects'!$B$41:$B$68,$C12,'Mastersheet-Projects'!AG$41:AG$68)/45</f>
        <v>0</v>
      </c>
      <c r="AL12" s="433">
        <f>SUMIF('Mastersheet-Projects'!$B$41:$B$68,$C12,'Mastersheet-Projects'!AH$41:AH$68)/45</f>
        <v>0</v>
      </c>
      <c r="AM12" s="433">
        <f>SUMIF('Mastersheet-Projects'!$B$41:$B$68,$C12,'Mastersheet-Projects'!AI$41:AI$68)/45</f>
        <v>0</v>
      </c>
      <c r="AN12" s="433">
        <f>SUMIF('Mastersheet-Projects'!$B$41:$B$68,$C12,'Mastersheet-Projects'!AJ$41:AJ$68)/45</f>
        <v>0</v>
      </c>
      <c r="AO12" s="433">
        <f>SUMIF('Mastersheet-Projects'!$B$41:$B$68,$C12,'Mastersheet-Projects'!AK$41:AK$68)/45</f>
        <v>0</v>
      </c>
      <c r="AP12" s="433">
        <f>SUMIF('Mastersheet-Projects'!$B$41:$B$68,$C12,'Mastersheet-Projects'!AL$41:AL$68)/45</f>
        <v>0</v>
      </c>
      <c r="AQ12" s="433">
        <f>SUMIF('Mastersheet-Projects'!$B$41:$B$68,$C12,'Mastersheet-Projects'!AM$41:AM$68)/45</f>
        <v>0</v>
      </c>
      <c r="AR12" s="433">
        <f>SUMIF('Mastersheet-Projects'!$B$41:$B$68,$C12,'Mastersheet-Projects'!AN$41:AN$68)/45</f>
        <v>0</v>
      </c>
      <c r="AS12" s="433">
        <f>SUMIF('Mastersheet-Projects'!$B$41:$B$68,$C12,'Mastersheet-Projects'!AO$41:AO$68)/45</f>
        <v>0</v>
      </c>
      <c r="AT12" s="433">
        <f>SUMIF('Mastersheet-Projects'!$B$41:$B$68,$C12,'Mastersheet-Projects'!AP$41:AP$68)/45</f>
        <v>0</v>
      </c>
      <c r="AU12" s="433">
        <f>SUMIF('Mastersheet-Projects'!$B$41:$B$68,$C12,'Mastersheet-Projects'!AQ$41:AQ$68)/45</f>
        <v>0</v>
      </c>
      <c r="AV12" s="433">
        <f>SUMIF('Mastersheet-Projects'!$B$41:$B$68,$C12,'Mastersheet-Projects'!AR$41:AR$68)/45</f>
        <v>0</v>
      </c>
      <c r="AW12" s="433">
        <f>SUMIF('Mastersheet-Projects'!$B$41:$B$68,$C12,'Mastersheet-Projects'!AS$41:AS$68)/45</f>
        <v>0</v>
      </c>
      <c r="AX12" s="433">
        <f>SUMIF('Mastersheet-Projects'!$B$41:$B$68,$C12,'Mastersheet-Projects'!AT$41:AT$68)/45</f>
        <v>0</v>
      </c>
      <c r="AY12" s="433">
        <f>SUMIF('Mastersheet-Projects'!$B$41:$B$68,$C12,'Mastersheet-Projects'!AU$41:AU$68)/45</f>
        <v>0</v>
      </c>
      <c r="AZ12" s="433">
        <f>SUMIF('Mastersheet-Projects'!$B$41:$B$68,$C12,'Mastersheet-Projects'!AV$41:AV$68)/45</f>
        <v>0</v>
      </c>
      <c r="BA12" s="433">
        <f>SUMIF('Mastersheet-Projects'!$B$41:$B$68,$C12,'Mastersheet-Projects'!AW$41:AW$68)/45</f>
        <v>0</v>
      </c>
      <c r="BB12" s="433">
        <f>SUMIF('Mastersheet-Projects'!$B$41:$B$68,$C12,'Mastersheet-Projects'!AX$41:AX$68)/45</f>
        <v>0</v>
      </c>
      <c r="BC12" s="433">
        <f>SUMIF('Mastersheet-Projects'!$B$41:$B$68,$C12,'Mastersheet-Projects'!AY$41:AY$68)/45</f>
        <v>0</v>
      </c>
      <c r="BD12" s="433">
        <f>SUMIF('Mastersheet-Projects'!$B$41:$B$68,$C12,'Mastersheet-Projects'!AZ$41:AZ$68)/45</f>
        <v>0</v>
      </c>
      <c r="BE12" s="433">
        <f>SUMIF('Mastersheet-Projects'!$B$41:$B$68,$C12,'Mastersheet-Projects'!BA$41:BA$68)/45</f>
        <v>0</v>
      </c>
      <c r="BF12" s="433">
        <f>SUMIF('Mastersheet-Projects'!$B$41:$B$68,$C12,'Mastersheet-Projects'!BB$41:BB$68)/45</f>
        <v>0</v>
      </c>
      <c r="BG12" s="433">
        <f>SUMIF('Mastersheet-Projects'!$B$41:$B$68,$C12,'Mastersheet-Projects'!BC$41:BC$68)/45</f>
        <v>0</v>
      </c>
    </row>
    <row r="13" spans="1:59" s="420" customFormat="1" ht="18.600000000000001">
      <c r="A13" s="419">
        <v>3</v>
      </c>
      <c r="B13" s="501"/>
      <c r="C13" s="506" t="s">
        <v>305</v>
      </c>
      <c r="D13" s="466" t="s">
        <v>306</v>
      </c>
      <c r="E13" s="536">
        <v>1</v>
      </c>
      <c r="F13" s="514">
        <v>1</v>
      </c>
      <c r="G13" s="544">
        <v>1</v>
      </c>
      <c r="H13" s="525">
        <f t="shared" si="33"/>
        <v>0.55555555555555547</v>
      </c>
      <c r="I13" s="433">
        <f>SUMIF('Mastersheet-Projects'!$B$41:$B$68,$C13,'Mastersheet-Projects'!E$41:E$68)/45</f>
        <v>0</v>
      </c>
      <c r="J13" s="433">
        <f>SUMIF('Mastersheet-Projects'!$B$41:$B$68,$C13,'Mastersheet-Projects'!F$41:F$68)/45</f>
        <v>0</v>
      </c>
      <c r="K13" s="433">
        <f>SUMIF('Mastersheet-Projects'!$B$41:$B$68,$C13,'Mastersheet-Projects'!G$41:G$68)/45</f>
        <v>0</v>
      </c>
      <c r="L13" s="433">
        <f>SUMIF('Mastersheet-Projects'!$B$41:$B$68,$C13,'Mastersheet-Projects'!H$41:H$68)/45</f>
        <v>0</v>
      </c>
      <c r="M13" s="448">
        <f>SUMIF('Mastersheet-Projects'!$B$41:$B$68,$C13,'Mastersheet-Projects'!I$41:I$68)/45</f>
        <v>0</v>
      </c>
      <c r="N13" s="433">
        <f>SUMIF('Mastersheet-Projects'!$B$41:$B$68,$C13,'Mastersheet-Projects'!J$41:J$68)/45</f>
        <v>0</v>
      </c>
      <c r="O13" s="433">
        <f>SUMIF('Mastersheet-Projects'!$B$41:$B$68,$C13,'Mastersheet-Projects'!K$41:K$68)/45</f>
        <v>0</v>
      </c>
      <c r="P13" s="433">
        <f>SUMIF('Mastersheet-Projects'!$B$41:$B$68,$C13,'Mastersheet-Projects'!L$41:L$68)/45</f>
        <v>0</v>
      </c>
      <c r="Q13" s="449">
        <f>SUMIF('Mastersheet-Projects'!$B$41:$B$68,$C13,'Mastersheet-Projects'!M$41:M$68)/45</f>
        <v>0</v>
      </c>
      <c r="R13" s="433">
        <f>SUMIF('Mastersheet-Projects'!$B$41:$B$68,$C13,'Mastersheet-Projects'!N$41:N$68)/45</f>
        <v>0</v>
      </c>
      <c r="S13" s="433">
        <f>SUMIF('Mastersheet-Projects'!$B$41:$B$68,$C13,'Mastersheet-Projects'!O$41:O$68)/45</f>
        <v>0.5</v>
      </c>
      <c r="T13" s="433">
        <f>SUMIF('Mastersheet-Projects'!$B$41:$B$68,$C13,'Mastersheet-Projects'!P$41:P$68)/45</f>
        <v>0.5</v>
      </c>
      <c r="U13" s="433">
        <f>SUMIF('Mastersheet-Projects'!$B$41:$B$68,$C13,'Mastersheet-Projects'!Q$41:Q$68)/45</f>
        <v>0.4</v>
      </c>
      <c r="V13" s="433">
        <f>SUMIF('Mastersheet-Projects'!$B$41:$B$68,$C13,'Mastersheet-Projects'!R$41:R$68)/45</f>
        <v>0.4</v>
      </c>
      <c r="W13" s="448">
        <f>SUMIF('Mastersheet-Projects'!$B$41:$B$68,$C13,'Mastersheet-Projects'!S$41:S$68)/45</f>
        <v>0.4</v>
      </c>
      <c r="X13" s="433">
        <f>SUMIF('Mastersheet-Projects'!$B$41:$B$68,$C13,'Mastersheet-Projects'!T$41:T$68)/45</f>
        <v>0.6</v>
      </c>
      <c r="Y13" s="433">
        <f>SUMIF('Mastersheet-Projects'!$B$41:$B$68,$C13,'Mastersheet-Projects'!U$41:U$68)/45</f>
        <v>0.6</v>
      </c>
      <c r="Z13" s="433">
        <f>SUMIF('Mastersheet-Projects'!$B$41:$B$68,$C13,'Mastersheet-Projects'!V$41:V$68)/45</f>
        <v>0.6</v>
      </c>
      <c r="AA13" s="449">
        <f>SUMIF('Mastersheet-Projects'!$B$41:$B$68,$C13,'Mastersheet-Projects'!W$41:W$68)/45</f>
        <v>0.6</v>
      </c>
      <c r="AB13" s="433">
        <f>SUMIF('Mastersheet-Projects'!$B$41:$B$68,$C13,'Mastersheet-Projects'!X$41:X$68)/45</f>
        <v>0.6</v>
      </c>
      <c r="AC13" s="433">
        <f>SUMIF('Mastersheet-Projects'!$B$41:$B$68,$C13,'Mastersheet-Projects'!Y$41:Y$68)/45</f>
        <v>0.6</v>
      </c>
      <c r="AD13" s="433">
        <f>SUMIF('Mastersheet-Projects'!$B$41:$B$68,$C13,'Mastersheet-Projects'!Z$41:Z$68)/45</f>
        <v>0.6</v>
      </c>
      <c r="AE13" s="433">
        <f>SUMIF('Mastersheet-Projects'!$B$41:$B$68,$C13,'Mastersheet-Projects'!AA$41:AA$68)/45</f>
        <v>0.6</v>
      </c>
      <c r="AF13" s="433">
        <f>SUMIF('Mastersheet-Projects'!$B$41:$B$68,$C13,'Mastersheet-Projects'!AB$41:AB$68)/45</f>
        <v>0.6</v>
      </c>
      <c r="AG13" s="448">
        <f>SUMIF('Mastersheet-Projects'!$B$41:$B$68,$C13,'Mastersheet-Projects'!AC$41:AC$68)/45</f>
        <v>0.6</v>
      </c>
      <c r="AH13" s="433">
        <f>SUMIF('Mastersheet-Projects'!$B$41:$B$68,$C13,'Mastersheet-Projects'!AD$41:AD$68)/45</f>
        <v>0.6</v>
      </c>
      <c r="AI13" s="433">
        <f>SUMIF('Mastersheet-Projects'!$B$41:$B$68,$C13,'Mastersheet-Projects'!AE$41:AE$68)/45</f>
        <v>0.2</v>
      </c>
      <c r="AJ13" s="433">
        <f>SUMIF('Mastersheet-Projects'!$B$41:$B$68,$C13,'Mastersheet-Projects'!AF$41:AF$68)/45</f>
        <v>0.2</v>
      </c>
      <c r="AK13" s="433">
        <f>SUMIF('Mastersheet-Projects'!$B$41:$B$68,$C13,'Mastersheet-Projects'!AG$41:AG$68)/45</f>
        <v>0.6</v>
      </c>
      <c r="AL13" s="433">
        <f>SUMIF('Mastersheet-Projects'!$B$41:$B$68,$C13,'Mastersheet-Projects'!AH$41:AH$68)/45</f>
        <v>0.6</v>
      </c>
      <c r="AM13" s="433">
        <f>SUMIF('Mastersheet-Projects'!$B$41:$B$68,$C13,'Mastersheet-Projects'!AI$41:AI$68)/45</f>
        <v>0.6</v>
      </c>
      <c r="AN13" s="433">
        <f>SUMIF('Mastersheet-Projects'!$B$41:$B$68,$C13,'Mastersheet-Projects'!AJ$41:AJ$68)/45</f>
        <v>0.6</v>
      </c>
      <c r="AO13" s="433">
        <f>SUMIF('Mastersheet-Projects'!$B$41:$B$68,$C13,'Mastersheet-Projects'!AK$41:AK$68)/45</f>
        <v>0.6</v>
      </c>
      <c r="AP13" s="433">
        <f>SUMIF('Mastersheet-Projects'!$B$41:$B$68,$C13,'Mastersheet-Projects'!AL$41:AL$68)/45</f>
        <v>0.6</v>
      </c>
      <c r="AQ13" s="433">
        <f>SUMIF('Mastersheet-Projects'!$B$41:$B$68,$C13,'Mastersheet-Projects'!AM$41:AM$68)/45</f>
        <v>1</v>
      </c>
      <c r="AR13" s="433">
        <f>SUMIF('Mastersheet-Projects'!$B$41:$B$68,$C13,'Mastersheet-Projects'!AN$41:AN$68)/45</f>
        <v>0.6</v>
      </c>
      <c r="AS13" s="433">
        <f>SUMIF('Mastersheet-Projects'!$B$41:$B$68,$C13,'Mastersheet-Projects'!AO$41:AO$68)/45</f>
        <v>0.6</v>
      </c>
      <c r="AT13" s="433">
        <f>SUMIF('Mastersheet-Projects'!$B$41:$B$68,$C13,'Mastersheet-Projects'!AP$41:AP$68)/45</f>
        <v>0.6</v>
      </c>
      <c r="AU13" s="433">
        <f>SUMIF('Mastersheet-Projects'!$B$41:$B$68,$C13,'Mastersheet-Projects'!AQ$41:AQ$68)/45</f>
        <v>0.6</v>
      </c>
      <c r="AV13" s="433">
        <f>SUMIF('Mastersheet-Projects'!$B$41:$B$68,$C13,'Mastersheet-Projects'!AR$41:AR$68)/45</f>
        <v>1</v>
      </c>
      <c r="AW13" s="433">
        <f>SUMIF('Mastersheet-Projects'!$B$41:$B$68,$C13,'Mastersheet-Projects'!AS$41:AS$68)/45</f>
        <v>0</v>
      </c>
      <c r="AX13" s="433">
        <f>SUMIF('Mastersheet-Projects'!$B$41:$B$68,$C13,'Mastersheet-Projects'!AT$41:AT$68)/45</f>
        <v>0</v>
      </c>
      <c r="AY13" s="433">
        <f>SUMIF('Mastersheet-Projects'!$B$41:$B$68,$C13,'Mastersheet-Projects'!AU$41:AU$68)/45</f>
        <v>0</v>
      </c>
      <c r="AZ13" s="433">
        <f>SUMIF('Mastersheet-Projects'!$B$41:$B$68,$C13,'Mastersheet-Projects'!AV$41:AV$68)/45</f>
        <v>0</v>
      </c>
      <c r="BA13" s="433">
        <f>SUMIF('Mastersheet-Projects'!$B$41:$B$68,$C13,'Mastersheet-Projects'!AW$41:AW$68)/45</f>
        <v>0</v>
      </c>
      <c r="BB13" s="433">
        <f>SUMIF('Mastersheet-Projects'!$B$41:$B$68,$C13,'Mastersheet-Projects'!AX$41:AX$68)/45</f>
        <v>0</v>
      </c>
      <c r="BC13" s="433">
        <f>SUMIF('Mastersheet-Projects'!$B$41:$B$68,$C13,'Mastersheet-Projects'!AY$41:AY$68)/45</f>
        <v>0</v>
      </c>
      <c r="BD13" s="433">
        <f>SUMIF('Mastersheet-Projects'!$B$41:$B$68,$C13,'Mastersheet-Projects'!AZ$41:AZ$68)/45</f>
        <v>0</v>
      </c>
      <c r="BE13" s="433">
        <f>SUMIF('Mastersheet-Projects'!$B$41:$B$68,$C13,'Mastersheet-Projects'!BA$41:BA$68)/45</f>
        <v>0</v>
      </c>
      <c r="BF13" s="433">
        <f>SUMIF('Mastersheet-Projects'!$B$41:$B$68,$C13,'Mastersheet-Projects'!BB$41:BB$68)/45</f>
        <v>0</v>
      </c>
      <c r="BG13" s="433">
        <f>SUMIF('Mastersheet-Projects'!$B$41:$B$68,$C13,'Mastersheet-Projects'!BC$41:BC$68)/45</f>
        <v>0</v>
      </c>
    </row>
    <row r="14" spans="1:59" s="420" customFormat="1" ht="18.600000000000001">
      <c r="A14" s="419">
        <v>4</v>
      </c>
      <c r="B14" s="501"/>
      <c r="C14" s="508" t="s">
        <v>307</v>
      </c>
      <c r="D14" s="468" t="s">
        <v>308</v>
      </c>
      <c r="E14" s="537">
        <v>2</v>
      </c>
      <c r="F14" s="515">
        <v>5</v>
      </c>
      <c r="G14" s="545">
        <v>5</v>
      </c>
      <c r="H14" s="526">
        <f t="shared" si="33"/>
        <v>0.98148148148148151</v>
      </c>
      <c r="I14" s="443">
        <f>SUMIF('Mastersheet-Projects'!$B$41:$B$68,$C14,'Mastersheet-Projects'!E$41:E$68)/45</f>
        <v>0</v>
      </c>
      <c r="J14" s="443">
        <f>SUMIF('Mastersheet-Projects'!$B$41:$B$68,$C14,'Mastersheet-Projects'!F$41:F$68)/45</f>
        <v>0</v>
      </c>
      <c r="K14" s="443">
        <f>SUMIF('Mastersheet-Projects'!$B$41:$B$68,$C14,'Mastersheet-Projects'!G$41:G$68)/45</f>
        <v>0</v>
      </c>
      <c r="L14" s="443">
        <f>SUMIF('Mastersheet-Projects'!$B$41:$B$68,$C14,'Mastersheet-Projects'!H$41:H$68)/45</f>
        <v>0</v>
      </c>
      <c r="M14" s="450">
        <f>SUMIF('Mastersheet-Projects'!$B$41:$B$68,$C14,'Mastersheet-Projects'!I$41:I$68)/45</f>
        <v>0</v>
      </c>
      <c r="N14" s="443">
        <f>SUMIF('Mastersheet-Projects'!$B$41:$B$68,$C14,'Mastersheet-Projects'!J$41:J$68)/45</f>
        <v>0</v>
      </c>
      <c r="O14" s="443">
        <f>SUMIF('Mastersheet-Projects'!$B$41:$B$68,$C14,'Mastersheet-Projects'!K$41:K$68)/45</f>
        <v>0</v>
      </c>
      <c r="P14" s="443">
        <f>SUMIF('Mastersheet-Projects'!$B$41:$B$68,$C14,'Mastersheet-Projects'!L$41:L$68)/45</f>
        <v>0</v>
      </c>
      <c r="Q14" s="451">
        <f>SUMIF('Mastersheet-Projects'!$B$41:$B$68,$C14,'Mastersheet-Projects'!M$41:M$68)/45</f>
        <v>0</v>
      </c>
      <c r="R14" s="443">
        <f>SUMIF('Mastersheet-Projects'!$B$41:$B$68,$C14,'Mastersheet-Projects'!N$41:N$68)/45</f>
        <v>0</v>
      </c>
      <c r="S14" s="443">
        <f>SUMIF('Mastersheet-Projects'!$B$41:$B$68,$C14,'Mastersheet-Projects'!O$41:O$68)/45</f>
        <v>0.5</v>
      </c>
      <c r="T14" s="443">
        <f>SUMIF('Mastersheet-Projects'!$B$41:$B$68,$C14,'Mastersheet-Projects'!P$41:P$68)/45</f>
        <v>0.5</v>
      </c>
      <c r="U14" s="443">
        <f>SUMIF('Mastersheet-Projects'!$B$41:$B$68,$C14,'Mastersheet-Projects'!Q$41:Q$68)/45</f>
        <v>0.4</v>
      </c>
      <c r="V14" s="443">
        <f>SUMIF('Mastersheet-Projects'!$B$41:$B$68,$C14,'Mastersheet-Projects'!R$41:R$68)/45</f>
        <v>0.4</v>
      </c>
      <c r="W14" s="450">
        <f>SUMIF('Mastersheet-Projects'!$B$41:$B$68,$C14,'Mastersheet-Projects'!S$41:S$68)/45</f>
        <v>0.4</v>
      </c>
      <c r="X14" s="443">
        <f>SUMIF('Mastersheet-Projects'!$B$41:$B$68,$C14,'Mastersheet-Projects'!T$41:T$68)/45</f>
        <v>1</v>
      </c>
      <c r="Y14" s="443">
        <f>SUMIF('Mastersheet-Projects'!$B$41:$B$68,$C14,'Mastersheet-Projects'!U$41:U$68)/45</f>
        <v>1</v>
      </c>
      <c r="Z14" s="443">
        <f>SUMIF('Mastersheet-Projects'!$B$41:$B$68,$C14,'Mastersheet-Projects'!V$41:V$68)/45</f>
        <v>1</v>
      </c>
      <c r="AA14" s="451">
        <f>SUMIF('Mastersheet-Projects'!$B$41:$B$68,$C14,'Mastersheet-Projects'!W$41:W$68)/45</f>
        <v>1</v>
      </c>
      <c r="AB14" s="443">
        <f>SUMIF('Mastersheet-Projects'!$B$41:$B$68,$C14,'Mastersheet-Projects'!X$41:X$68)/45</f>
        <v>1</v>
      </c>
      <c r="AC14" s="443">
        <f>SUMIF('Mastersheet-Projects'!$B$41:$B$68,$C14,'Mastersheet-Projects'!Y$41:Y$68)/45</f>
        <v>1</v>
      </c>
      <c r="AD14" s="443">
        <f>SUMIF('Mastersheet-Projects'!$B$41:$B$68,$C14,'Mastersheet-Projects'!Z$41:Z$68)/45</f>
        <v>1</v>
      </c>
      <c r="AE14" s="443">
        <f>SUMIF('Mastersheet-Projects'!$B$41:$B$68,$C14,'Mastersheet-Projects'!AA$41:AA$68)/45</f>
        <v>1</v>
      </c>
      <c r="AF14" s="443">
        <f>SUMIF('Mastersheet-Projects'!$B$41:$B$68,$C14,'Mastersheet-Projects'!AB$41:AB$68)/45</f>
        <v>1</v>
      </c>
      <c r="AG14" s="450">
        <f>SUMIF('Mastersheet-Projects'!$B$41:$B$68,$C14,'Mastersheet-Projects'!AC$41:AC$68)/45</f>
        <v>1</v>
      </c>
      <c r="AH14" s="443">
        <f>SUMIF('Mastersheet-Projects'!$B$41:$B$68,$C14,'Mastersheet-Projects'!AD$41:AD$68)/45</f>
        <v>1</v>
      </c>
      <c r="AI14" s="443">
        <f>SUMIF('Mastersheet-Projects'!$B$41:$B$68,$C14,'Mastersheet-Projects'!AE$41:AE$68)/45</f>
        <v>0</v>
      </c>
      <c r="AJ14" s="443">
        <f>SUMIF('Mastersheet-Projects'!$B$41:$B$68,$C14,'Mastersheet-Projects'!AF$41:AF$68)/45</f>
        <v>0</v>
      </c>
      <c r="AK14" s="443">
        <f>SUMIF('Mastersheet-Projects'!$B$41:$B$68,$C14,'Mastersheet-Projects'!AG$41:AG$68)/45</f>
        <v>1.3333333333333333</v>
      </c>
      <c r="AL14" s="443">
        <f>SUMIF('Mastersheet-Projects'!$B$41:$B$68,$C14,'Mastersheet-Projects'!AH$41:AH$68)/45</f>
        <v>1.3333333333333333</v>
      </c>
      <c r="AM14" s="443">
        <f>SUMIF('Mastersheet-Projects'!$B$41:$B$68,$C14,'Mastersheet-Projects'!AI$41:AI$68)/45</f>
        <v>1.3333333333333333</v>
      </c>
      <c r="AN14" s="443">
        <f>SUMIF('Mastersheet-Projects'!$B$41:$B$68,$C14,'Mastersheet-Projects'!AJ$41:AJ$68)/45</f>
        <v>1.3333333333333333</v>
      </c>
      <c r="AO14" s="443">
        <f>SUMIF('Mastersheet-Projects'!$B$41:$B$68,$C14,'Mastersheet-Projects'!AK$41:AK$68)/45</f>
        <v>1.3333333333333333</v>
      </c>
      <c r="AP14" s="443">
        <f>SUMIF('Mastersheet-Projects'!$B$41:$B$68,$C14,'Mastersheet-Projects'!AL$41:AL$68)/45</f>
        <v>1.3333333333333333</v>
      </c>
      <c r="AQ14" s="443">
        <f>SUMIF('Mastersheet-Projects'!$B$41:$B$68,$C14,'Mastersheet-Projects'!AM$41:AM$68)/45</f>
        <v>1.3333333333333333</v>
      </c>
      <c r="AR14" s="443">
        <f>SUMIF('Mastersheet-Projects'!$B$41:$B$68,$C14,'Mastersheet-Projects'!AN$41:AN$68)/45</f>
        <v>1.3333333333333333</v>
      </c>
      <c r="AS14" s="443">
        <f>SUMIF('Mastersheet-Projects'!$B$41:$B$68,$C14,'Mastersheet-Projects'!AO$41:AO$68)/45</f>
        <v>1.3333333333333333</v>
      </c>
      <c r="AT14" s="443">
        <f>SUMIF('Mastersheet-Projects'!$B$41:$B$68,$C14,'Mastersheet-Projects'!AP$41:AP$68)/45</f>
        <v>1.3333333333333333</v>
      </c>
      <c r="AU14" s="443">
        <f>SUMIF('Mastersheet-Projects'!$B$41:$B$68,$C14,'Mastersheet-Projects'!AQ$41:AQ$68)/45</f>
        <v>1.3333333333333333</v>
      </c>
      <c r="AV14" s="443">
        <f>SUMIF('Mastersheet-Projects'!$B$41:$B$68,$C14,'Mastersheet-Projects'!AR$41:AR$68)/45</f>
        <v>1.3333333333333333</v>
      </c>
      <c r="AW14" s="443">
        <f>SUMIF('Mastersheet-Projects'!$B$41:$B$68,$C14,'Mastersheet-Projects'!AS$41:AS$68)/45</f>
        <v>0</v>
      </c>
      <c r="AX14" s="443">
        <f>SUMIF('Mastersheet-Projects'!$B$41:$B$68,$C14,'Mastersheet-Projects'!AT$41:AT$68)/45</f>
        <v>0</v>
      </c>
      <c r="AY14" s="443">
        <f>SUMIF('Mastersheet-Projects'!$B$41:$B$68,$C14,'Mastersheet-Projects'!AU$41:AU$68)/45</f>
        <v>0</v>
      </c>
      <c r="AZ14" s="443">
        <f>SUMIF('Mastersheet-Projects'!$B$41:$B$68,$C14,'Mastersheet-Projects'!AV$41:AV$68)/45</f>
        <v>0</v>
      </c>
      <c r="BA14" s="443">
        <f>SUMIF('Mastersheet-Projects'!$B$41:$B$68,$C14,'Mastersheet-Projects'!AW$41:AW$68)/45</f>
        <v>0</v>
      </c>
      <c r="BB14" s="443">
        <f>SUMIF('Mastersheet-Projects'!$B$41:$B$68,$C14,'Mastersheet-Projects'!AX$41:AX$68)/45</f>
        <v>0</v>
      </c>
      <c r="BC14" s="443">
        <f>SUMIF('Mastersheet-Projects'!$B$41:$B$68,$C14,'Mastersheet-Projects'!AY$41:AY$68)/45</f>
        <v>0</v>
      </c>
      <c r="BD14" s="443">
        <f>SUMIF('Mastersheet-Projects'!$B$41:$B$68,$C14,'Mastersheet-Projects'!AZ$41:AZ$68)/45</f>
        <v>0</v>
      </c>
      <c r="BE14" s="443">
        <f>SUMIF('Mastersheet-Projects'!$B$41:$B$68,$C14,'Mastersheet-Projects'!BA$41:BA$68)/45</f>
        <v>0</v>
      </c>
      <c r="BF14" s="443">
        <f>SUMIF('Mastersheet-Projects'!$B$41:$B$68,$C14,'Mastersheet-Projects'!BB$41:BB$68)/45</f>
        <v>0</v>
      </c>
      <c r="BG14" s="443">
        <f>SUMIF('Mastersheet-Projects'!$B$41:$B$68,$C14,'Mastersheet-Projects'!BC$41:BC$68)/45</f>
        <v>0</v>
      </c>
    </row>
    <row r="15" spans="1:59" s="420" customFormat="1" ht="18.600000000000001">
      <c r="A15" s="419">
        <v>5</v>
      </c>
      <c r="B15" s="501"/>
      <c r="C15" s="510" t="s">
        <v>309</v>
      </c>
      <c r="D15" s="465" t="s">
        <v>310</v>
      </c>
      <c r="E15" s="534"/>
      <c r="F15" s="516">
        <v>1</v>
      </c>
      <c r="G15" s="546">
        <v>1</v>
      </c>
      <c r="H15" s="527">
        <f t="shared" si="33"/>
        <v>0.55555555555555547</v>
      </c>
      <c r="I15" s="444">
        <f>SUMIF('Mastersheet-Projects'!$B$41:$B$68,$C15,'Mastersheet-Projects'!E$41:E$68)/45</f>
        <v>0</v>
      </c>
      <c r="J15" s="444">
        <f>SUMIF('Mastersheet-Projects'!$B$41:$B$68,$C15,'Mastersheet-Projects'!F$41:F$68)/45</f>
        <v>0</v>
      </c>
      <c r="K15" s="444">
        <f>SUMIF('Mastersheet-Projects'!$B$41:$B$68,$C15,'Mastersheet-Projects'!G$41:G$68)/45</f>
        <v>0</v>
      </c>
      <c r="L15" s="444">
        <f>SUMIF('Mastersheet-Projects'!$B$41:$B$68,$C15,'Mastersheet-Projects'!H$41:H$68)/45</f>
        <v>0</v>
      </c>
      <c r="M15" s="452">
        <f>SUMIF('Mastersheet-Projects'!$B$41:$B$68,$C15,'Mastersheet-Projects'!I$41:I$68)/45</f>
        <v>0</v>
      </c>
      <c r="N15" s="444">
        <f>SUMIF('Mastersheet-Projects'!$B$41:$B$68,$C15,'Mastersheet-Projects'!J$41:J$68)/45</f>
        <v>0</v>
      </c>
      <c r="O15" s="444">
        <f>SUMIF('Mastersheet-Projects'!$B$41:$B$68,$C15,'Mastersheet-Projects'!K$41:K$68)/45</f>
        <v>0</v>
      </c>
      <c r="P15" s="444">
        <f>SUMIF('Mastersheet-Projects'!$B$41:$B$68,$C15,'Mastersheet-Projects'!L$41:L$68)/45</f>
        <v>0</v>
      </c>
      <c r="Q15" s="453">
        <f>SUMIF('Mastersheet-Projects'!$B$41:$B$68,$C15,'Mastersheet-Projects'!M$41:M$68)/45</f>
        <v>0</v>
      </c>
      <c r="R15" s="444">
        <f>SUMIF('Mastersheet-Projects'!$B$41:$B$68,$C15,'Mastersheet-Projects'!N$41:N$68)/45</f>
        <v>0</v>
      </c>
      <c r="S15" s="444">
        <f>SUMIF('Mastersheet-Projects'!$B$41:$B$68,$C15,'Mastersheet-Projects'!O$41:O$68)/45</f>
        <v>0.5</v>
      </c>
      <c r="T15" s="444">
        <f>SUMIF('Mastersheet-Projects'!$B$41:$B$68,$C15,'Mastersheet-Projects'!P$41:P$68)/45</f>
        <v>0.5</v>
      </c>
      <c r="U15" s="444">
        <f>SUMIF('Mastersheet-Projects'!$B$41:$B$68,$C15,'Mastersheet-Projects'!Q$41:Q$68)/45</f>
        <v>0.4</v>
      </c>
      <c r="V15" s="444">
        <f>SUMIF('Mastersheet-Projects'!$B$41:$B$68,$C15,'Mastersheet-Projects'!R$41:R$68)/45</f>
        <v>0.4</v>
      </c>
      <c r="W15" s="452">
        <f>SUMIF('Mastersheet-Projects'!$B$41:$B$68,$C15,'Mastersheet-Projects'!S$41:S$68)/45</f>
        <v>0.4</v>
      </c>
      <c r="X15" s="444">
        <f>SUMIF('Mastersheet-Projects'!$B$41:$B$68,$C15,'Mastersheet-Projects'!T$41:T$68)/45</f>
        <v>0.6</v>
      </c>
      <c r="Y15" s="444">
        <f>SUMIF('Mastersheet-Projects'!$B$41:$B$68,$C15,'Mastersheet-Projects'!U$41:U$68)/45</f>
        <v>0.6</v>
      </c>
      <c r="Z15" s="444">
        <f>SUMIF('Mastersheet-Projects'!$B$41:$B$68,$C15,'Mastersheet-Projects'!V$41:V$68)/45</f>
        <v>0.6</v>
      </c>
      <c r="AA15" s="453">
        <f>SUMIF('Mastersheet-Projects'!$B$41:$B$68,$C15,'Mastersheet-Projects'!W$41:W$68)/45</f>
        <v>0.6</v>
      </c>
      <c r="AB15" s="444">
        <f>SUMIF('Mastersheet-Projects'!$B$41:$B$68,$C15,'Mastersheet-Projects'!X$41:X$68)/45</f>
        <v>0.6</v>
      </c>
      <c r="AC15" s="444">
        <f>SUMIF('Mastersheet-Projects'!$B$41:$B$68,$C15,'Mastersheet-Projects'!Y$41:Y$68)/45</f>
        <v>0.6</v>
      </c>
      <c r="AD15" s="444">
        <f>SUMIF('Mastersheet-Projects'!$B$41:$B$68,$C15,'Mastersheet-Projects'!Z$41:Z$68)/45</f>
        <v>0.6</v>
      </c>
      <c r="AE15" s="444">
        <f>SUMIF('Mastersheet-Projects'!$B$41:$B$68,$C15,'Mastersheet-Projects'!AA$41:AA$68)/45</f>
        <v>0.6</v>
      </c>
      <c r="AF15" s="444">
        <f>SUMIF('Mastersheet-Projects'!$B$41:$B$68,$C15,'Mastersheet-Projects'!AB$41:AB$68)/45</f>
        <v>0.6</v>
      </c>
      <c r="AG15" s="452">
        <f>SUMIF('Mastersheet-Projects'!$B$41:$B$68,$C15,'Mastersheet-Projects'!AC$41:AC$68)/45</f>
        <v>0.6</v>
      </c>
      <c r="AH15" s="444">
        <f>SUMIF('Mastersheet-Projects'!$B$41:$B$68,$C15,'Mastersheet-Projects'!AD$41:AD$68)/45</f>
        <v>0.6</v>
      </c>
      <c r="AI15" s="444">
        <f>SUMIF('Mastersheet-Projects'!$B$41:$B$68,$C15,'Mastersheet-Projects'!AE$41:AE$68)/45</f>
        <v>0.2</v>
      </c>
      <c r="AJ15" s="444">
        <f>SUMIF('Mastersheet-Projects'!$B$41:$B$68,$C15,'Mastersheet-Projects'!AF$41:AF$68)/45</f>
        <v>0.2</v>
      </c>
      <c r="AK15" s="444">
        <f>SUMIF('Mastersheet-Projects'!$B$41:$B$68,$C15,'Mastersheet-Projects'!AG$41:AG$68)/45</f>
        <v>0.6</v>
      </c>
      <c r="AL15" s="444">
        <f>SUMIF('Mastersheet-Projects'!$B$41:$B$68,$C15,'Mastersheet-Projects'!AH$41:AH$68)/45</f>
        <v>0.6</v>
      </c>
      <c r="AM15" s="444">
        <f>SUMIF('Mastersheet-Projects'!$B$41:$B$68,$C15,'Mastersheet-Projects'!AI$41:AI$68)/45</f>
        <v>0.6</v>
      </c>
      <c r="AN15" s="444">
        <f>SUMIF('Mastersheet-Projects'!$B$41:$B$68,$C15,'Mastersheet-Projects'!AJ$41:AJ$68)/45</f>
        <v>0.6</v>
      </c>
      <c r="AO15" s="444">
        <f>SUMIF('Mastersheet-Projects'!$B$41:$B$68,$C15,'Mastersheet-Projects'!AK$41:AK$68)/45</f>
        <v>0.6</v>
      </c>
      <c r="AP15" s="444">
        <f>SUMIF('Mastersheet-Projects'!$B$41:$B$68,$C15,'Mastersheet-Projects'!AL$41:AL$68)/45</f>
        <v>0.6</v>
      </c>
      <c r="AQ15" s="444">
        <f>SUMIF('Mastersheet-Projects'!$B$41:$B$68,$C15,'Mastersheet-Projects'!AM$41:AM$68)/45</f>
        <v>1</v>
      </c>
      <c r="AR15" s="444">
        <f>SUMIF('Mastersheet-Projects'!$B$41:$B$68,$C15,'Mastersheet-Projects'!AN$41:AN$68)/45</f>
        <v>0.6</v>
      </c>
      <c r="AS15" s="444">
        <f>SUMIF('Mastersheet-Projects'!$B$41:$B$68,$C15,'Mastersheet-Projects'!AO$41:AO$68)/45</f>
        <v>0.6</v>
      </c>
      <c r="AT15" s="444">
        <f>SUMIF('Mastersheet-Projects'!$B$41:$B$68,$C15,'Mastersheet-Projects'!AP$41:AP$68)/45</f>
        <v>0.6</v>
      </c>
      <c r="AU15" s="444">
        <f>SUMIF('Mastersheet-Projects'!$B$41:$B$68,$C15,'Mastersheet-Projects'!AQ$41:AQ$68)/45</f>
        <v>0.6</v>
      </c>
      <c r="AV15" s="444">
        <f>SUMIF('Mastersheet-Projects'!$B$41:$B$68,$C15,'Mastersheet-Projects'!AR$41:AR$68)/45</f>
        <v>1</v>
      </c>
      <c r="AW15" s="444">
        <f>SUMIF('Mastersheet-Projects'!$B$41:$B$68,$C15,'Mastersheet-Projects'!AS$41:AS$68)/45</f>
        <v>0</v>
      </c>
      <c r="AX15" s="444">
        <f>SUMIF('Mastersheet-Projects'!$B$41:$B$68,$C15,'Mastersheet-Projects'!AT$41:AT$68)/45</f>
        <v>0</v>
      </c>
      <c r="AY15" s="444">
        <f>SUMIF('Mastersheet-Projects'!$B$41:$B$68,$C15,'Mastersheet-Projects'!AU$41:AU$68)/45</f>
        <v>0</v>
      </c>
      <c r="AZ15" s="444">
        <f>SUMIF('Mastersheet-Projects'!$B$41:$B$68,$C15,'Mastersheet-Projects'!AV$41:AV$68)/45</f>
        <v>0</v>
      </c>
      <c r="BA15" s="444">
        <f>SUMIF('Mastersheet-Projects'!$B$41:$B$68,$C15,'Mastersheet-Projects'!AW$41:AW$68)/45</f>
        <v>0</v>
      </c>
      <c r="BB15" s="444">
        <f>SUMIF('Mastersheet-Projects'!$B$41:$B$68,$C15,'Mastersheet-Projects'!AX$41:AX$68)/45</f>
        <v>0</v>
      </c>
      <c r="BC15" s="444">
        <f>SUMIF('Mastersheet-Projects'!$B$41:$B$68,$C15,'Mastersheet-Projects'!AY$41:AY$68)/45</f>
        <v>0</v>
      </c>
      <c r="BD15" s="444">
        <f>SUMIF('Mastersheet-Projects'!$B$41:$B$68,$C15,'Mastersheet-Projects'!AZ$41:AZ$68)/45</f>
        <v>0</v>
      </c>
      <c r="BE15" s="444">
        <f>SUMIF('Mastersheet-Projects'!$B$41:$B$68,$C15,'Mastersheet-Projects'!BA$41:BA$68)/45</f>
        <v>0</v>
      </c>
      <c r="BF15" s="444">
        <f>SUMIF('Mastersheet-Projects'!$B$41:$B$68,$C15,'Mastersheet-Projects'!BB$41:BB$68)/45</f>
        <v>0</v>
      </c>
      <c r="BG15" s="444">
        <f>SUMIF('Mastersheet-Projects'!$B$41:$B$68,$C15,'Mastersheet-Projects'!BC$41:BC$68)/45</f>
        <v>0</v>
      </c>
    </row>
    <row r="16" spans="1:59" s="420" customFormat="1" ht="18.600000000000001">
      <c r="A16" s="419">
        <v>6</v>
      </c>
      <c r="B16" s="501"/>
      <c r="C16" s="506" t="s">
        <v>311</v>
      </c>
      <c r="D16" s="466" t="s">
        <v>312</v>
      </c>
      <c r="E16" s="536">
        <v>2</v>
      </c>
      <c r="F16" s="514">
        <v>5</v>
      </c>
      <c r="G16" s="544">
        <v>5</v>
      </c>
      <c r="H16" s="525">
        <f t="shared" si="33"/>
        <v>0.98148148148148151</v>
      </c>
      <c r="I16" s="433">
        <f>SUMIF('Mastersheet-Projects'!$B$41:$B$68,$C16,'Mastersheet-Projects'!E$41:E$68)/45</f>
        <v>0</v>
      </c>
      <c r="J16" s="433">
        <f>SUMIF('Mastersheet-Projects'!$B$41:$B$68,$C16,'Mastersheet-Projects'!F$41:F$68)/45</f>
        <v>0</v>
      </c>
      <c r="K16" s="433">
        <f>SUMIF('Mastersheet-Projects'!$B$41:$B$68,$C16,'Mastersheet-Projects'!G$41:G$68)/45</f>
        <v>0</v>
      </c>
      <c r="L16" s="433">
        <f>SUMIF('Mastersheet-Projects'!$B$41:$B$68,$C16,'Mastersheet-Projects'!H$41:H$68)/45</f>
        <v>0</v>
      </c>
      <c r="M16" s="448">
        <f>SUMIF('Mastersheet-Projects'!$B$41:$B$68,$C16,'Mastersheet-Projects'!I$41:I$68)/45</f>
        <v>0</v>
      </c>
      <c r="N16" s="433">
        <f>SUMIF('Mastersheet-Projects'!$B$41:$B$68,$C16,'Mastersheet-Projects'!J$41:J$68)/45</f>
        <v>0</v>
      </c>
      <c r="O16" s="433">
        <f>SUMIF('Mastersheet-Projects'!$B$41:$B$68,$C16,'Mastersheet-Projects'!K$41:K$68)/45</f>
        <v>0</v>
      </c>
      <c r="P16" s="433">
        <f>SUMIF('Mastersheet-Projects'!$B$41:$B$68,$C16,'Mastersheet-Projects'!L$41:L$68)/45</f>
        <v>0</v>
      </c>
      <c r="Q16" s="449">
        <f>SUMIF('Mastersheet-Projects'!$B$41:$B$68,$C16,'Mastersheet-Projects'!M$41:M$68)/45</f>
        <v>0</v>
      </c>
      <c r="R16" s="433">
        <f>SUMIF('Mastersheet-Projects'!$B$41:$B$68,$C16,'Mastersheet-Projects'!N$41:N$68)/45</f>
        <v>0</v>
      </c>
      <c r="S16" s="433">
        <f>SUMIF('Mastersheet-Projects'!$B$41:$B$68,$C16,'Mastersheet-Projects'!O$41:O$68)/45</f>
        <v>0.5</v>
      </c>
      <c r="T16" s="433">
        <f>SUMIF('Mastersheet-Projects'!$B$41:$B$68,$C16,'Mastersheet-Projects'!P$41:P$68)/45</f>
        <v>0.5</v>
      </c>
      <c r="U16" s="433">
        <f>SUMIF('Mastersheet-Projects'!$B$41:$B$68,$C16,'Mastersheet-Projects'!Q$41:Q$68)/45</f>
        <v>0.4</v>
      </c>
      <c r="V16" s="433">
        <f>SUMIF('Mastersheet-Projects'!$B$41:$B$68,$C16,'Mastersheet-Projects'!R$41:R$68)/45</f>
        <v>0.4</v>
      </c>
      <c r="W16" s="448">
        <f>SUMIF('Mastersheet-Projects'!$B$41:$B$68,$C16,'Mastersheet-Projects'!S$41:S$68)/45</f>
        <v>0.4</v>
      </c>
      <c r="X16" s="433">
        <f>SUMIF('Mastersheet-Projects'!$B$41:$B$68,$C16,'Mastersheet-Projects'!T$41:T$68)/45</f>
        <v>1</v>
      </c>
      <c r="Y16" s="433">
        <f>SUMIF('Mastersheet-Projects'!$B$41:$B$68,$C16,'Mastersheet-Projects'!U$41:U$68)/45</f>
        <v>1</v>
      </c>
      <c r="Z16" s="433">
        <f>SUMIF('Mastersheet-Projects'!$B$41:$B$68,$C16,'Mastersheet-Projects'!V$41:V$68)/45</f>
        <v>1</v>
      </c>
      <c r="AA16" s="449">
        <f>SUMIF('Mastersheet-Projects'!$B$41:$B$68,$C16,'Mastersheet-Projects'!W$41:W$68)/45</f>
        <v>1</v>
      </c>
      <c r="AB16" s="433">
        <f>SUMIF('Mastersheet-Projects'!$B$41:$B$68,$C16,'Mastersheet-Projects'!X$41:X$68)/45</f>
        <v>1</v>
      </c>
      <c r="AC16" s="433">
        <f>SUMIF('Mastersheet-Projects'!$B$41:$B$68,$C16,'Mastersheet-Projects'!Y$41:Y$68)/45</f>
        <v>1</v>
      </c>
      <c r="AD16" s="433">
        <f>SUMIF('Mastersheet-Projects'!$B$41:$B$68,$C16,'Mastersheet-Projects'!Z$41:Z$68)/45</f>
        <v>1</v>
      </c>
      <c r="AE16" s="433">
        <f>SUMIF('Mastersheet-Projects'!$B$41:$B$68,$C16,'Mastersheet-Projects'!AA$41:AA$68)/45</f>
        <v>1</v>
      </c>
      <c r="AF16" s="433">
        <f>SUMIF('Mastersheet-Projects'!$B$41:$B$68,$C16,'Mastersheet-Projects'!AB$41:AB$68)/45</f>
        <v>1</v>
      </c>
      <c r="AG16" s="448">
        <f>SUMIF('Mastersheet-Projects'!$B$41:$B$68,$C16,'Mastersheet-Projects'!AC$41:AC$68)/45</f>
        <v>1</v>
      </c>
      <c r="AH16" s="433">
        <f>SUMIF('Mastersheet-Projects'!$B$41:$B$68,$C16,'Mastersheet-Projects'!AD$41:AD$68)/45</f>
        <v>1</v>
      </c>
      <c r="AI16" s="433">
        <f>SUMIF('Mastersheet-Projects'!$B$41:$B$68,$C16,'Mastersheet-Projects'!AE$41:AE$68)/45</f>
        <v>0</v>
      </c>
      <c r="AJ16" s="433">
        <f>SUMIF('Mastersheet-Projects'!$B$41:$B$68,$C16,'Mastersheet-Projects'!AF$41:AF$68)/45</f>
        <v>0</v>
      </c>
      <c r="AK16" s="433">
        <f>SUMIF('Mastersheet-Projects'!$B$41:$B$68,$C16,'Mastersheet-Projects'!AG$41:AG$68)/45</f>
        <v>1.3333333333333333</v>
      </c>
      <c r="AL16" s="433">
        <f>SUMIF('Mastersheet-Projects'!$B$41:$B$68,$C16,'Mastersheet-Projects'!AH$41:AH$68)/45</f>
        <v>1.3333333333333333</v>
      </c>
      <c r="AM16" s="433">
        <f>SUMIF('Mastersheet-Projects'!$B$41:$B$68,$C16,'Mastersheet-Projects'!AI$41:AI$68)/45</f>
        <v>1.3333333333333333</v>
      </c>
      <c r="AN16" s="433">
        <f>SUMIF('Mastersheet-Projects'!$B$41:$B$68,$C16,'Mastersheet-Projects'!AJ$41:AJ$68)/45</f>
        <v>1.3333333333333333</v>
      </c>
      <c r="AO16" s="433">
        <f>SUMIF('Mastersheet-Projects'!$B$41:$B$68,$C16,'Mastersheet-Projects'!AK$41:AK$68)/45</f>
        <v>1.3333333333333333</v>
      </c>
      <c r="AP16" s="433">
        <f>SUMIF('Mastersheet-Projects'!$B$41:$B$68,$C16,'Mastersheet-Projects'!AL$41:AL$68)/45</f>
        <v>1.3333333333333333</v>
      </c>
      <c r="AQ16" s="433">
        <f>SUMIF('Mastersheet-Projects'!$B$41:$B$68,$C16,'Mastersheet-Projects'!AM$41:AM$68)/45</f>
        <v>1.3333333333333333</v>
      </c>
      <c r="AR16" s="433">
        <f>SUMIF('Mastersheet-Projects'!$B$41:$B$68,$C16,'Mastersheet-Projects'!AN$41:AN$68)/45</f>
        <v>1.3333333333333333</v>
      </c>
      <c r="AS16" s="433">
        <f>SUMIF('Mastersheet-Projects'!$B$41:$B$68,$C16,'Mastersheet-Projects'!AO$41:AO$68)/45</f>
        <v>1.3333333333333333</v>
      </c>
      <c r="AT16" s="433">
        <f>SUMIF('Mastersheet-Projects'!$B$41:$B$68,$C16,'Mastersheet-Projects'!AP$41:AP$68)/45</f>
        <v>1.3333333333333333</v>
      </c>
      <c r="AU16" s="433">
        <f>SUMIF('Mastersheet-Projects'!$B$41:$B$68,$C16,'Mastersheet-Projects'!AQ$41:AQ$68)/45</f>
        <v>1.3333333333333333</v>
      </c>
      <c r="AV16" s="433">
        <f>SUMIF('Mastersheet-Projects'!$B$41:$B$68,$C16,'Mastersheet-Projects'!AR$41:AR$68)/45</f>
        <v>1.3333333333333333</v>
      </c>
      <c r="AW16" s="433">
        <f>SUMIF('Mastersheet-Projects'!$B$41:$B$68,$C16,'Mastersheet-Projects'!AS$41:AS$68)/45</f>
        <v>0</v>
      </c>
      <c r="AX16" s="433">
        <f>SUMIF('Mastersheet-Projects'!$B$41:$B$68,$C16,'Mastersheet-Projects'!AT$41:AT$68)/45</f>
        <v>0</v>
      </c>
      <c r="AY16" s="433">
        <f>SUMIF('Mastersheet-Projects'!$B$41:$B$68,$C16,'Mastersheet-Projects'!AU$41:AU$68)/45</f>
        <v>0</v>
      </c>
      <c r="AZ16" s="433">
        <f>SUMIF('Mastersheet-Projects'!$B$41:$B$68,$C16,'Mastersheet-Projects'!AV$41:AV$68)/45</f>
        <v>0</v>
      </c>
      <c r="BA16" s="433">
        <f>SUMIF('Mastersheet-Projects'!$B$41:$B$68,$C16,'Mastersheet-Projects'!AW$41:AW$68)/45</f>
        <v>0</v>
      </c>
      <c r="BB16" s="433">
        <f>SUMIF('Mastersheet-Projects'!$B$41:$B$68,$C16,'Mastersheet-Projects'!AX$41:AX$68)/45</f>
        <v>0</v>
      </c>
      <c r="BC16" s="433">
        <f>SUMIF('Mastersheet-Projects'!$B$41:$B$68,$C16,'Mastersheet-Projects'!AY$41:AY$68)/45</f>
        <v>0</v>
      </c>
      <c r="BD16" s="433">
        <f>SUMIF('Mastersheet-Projects'!$B$41:$B$68,$C16,'Mastersheet-Projects'!AZ$41:AZ$68)/45</f>
        <v>0</v>
      </c>
      <c r="BE16" s="433">
        <f>SUMIF('Mastersheet-Projects'!$B$41:$B$68,$C16,'Mastersheet-Projects'!BA$41:BA$68)/45</f>
        <v>0</v>
      </c>
      <c r="BF16" s="433">
        <f>SUMIF('Mastersheet-Projects'!$B$41:$B$68,$C16,'Mastersheet-Projects'!BB$41:BB$68)/45</f>
        <v>0</v>
      </c>
      <c r="BG16" s="433">
        <f>SUMIF('Mastersheet-Projects'!$B$41:$B$68,$C16,'Mastersheet-Projects'!BC$41:BC$68)/45</f>
        <v>0</v>
      </c>
    </row>
    <row r="17" spans="1:59" s="420" customFormat="1" ht="18.600000000000001">
      <c r="A17" s="419">
        <v>7</v>
      </c>
      <c r="B17" s="501"/>
      <c r="C17" s="508" t="s">
        <v>313</v>
      </c>
      <c r="D17" s="468" t="s">
        <v>314</v>
      </c>
      <c r="E17" s="537">
        <v>2</v>
      </c>
      <c r="F17" s="515">
        <v>1</v>
      </c>
      <c r="G17" s="545">
        <v>1</v>
      </c>
      <c r="H17" s="526">
        <f t="shared" si="33"/>
        <v>0.55555555555555547</v>
      </c>
      <c r="I17" s="443">
        <f>SUMIF('Mastersheet-Projects'!$B$41:$B$68,$C17,'Mastersheet-Projects'!E$41:E$68)/45</f>
        <v>0</v>
      </c>
      <c r="J17" s="443">
        <f>SUMIF('Mastersheet-Projects'!$B$41:$B$68,$C17,'Mastersheet-Projects'!F$41:F$68)/45</f>
        <v>0</v>
      </c>
      <c r="K17" s="443">
        <f>SUMIF('Mastersheet-Projects'!$B$41:$B$68,$C17,'Mastersheet-Projects'!G$41:G$68)/45</f>
        <v>0</v>
      </c>
      <c r="L17" s="443">
        <f>SUMIF('Mastersheet-Projects'!$B$41:$B$68,$C17,'Mastersheet-Projects'!H$41:H$68)/45</f>
        <v>0</v>
      </c>
      <c r="M17" s="450">
        <f>SUMIF('Mastersheet-Projects'!$B$41:$B$68,$C17,'Mastersheet-Projects'!I$41:I$68)/45</f>
        <v>0</v>
      </c>
      <c r="N17" s="443">
        <f>SUMIF('Mastersheet-Projects'!$B$41:$B$68,$C17,'Mastersheet-Projects'!J$41:J$68)/45</f>
        <v>0</v>
      </c>
      <c r="O17" s="443">
        <f>SUMIF('Mastersheet-Projects'!$B$41:$B$68,$C17,'Mastersheet-Projects'!K$41:K$68)/45</f>
        <v>0</v>
      </c>
      <c r="P17" s="443">
        <f>SUMIF('Mastersheet-Projects'!$B$41:$B$68,$C17,'Mastersheet-Projects'!L$41:L$68)/45</f>
        <v>0</v>
      </c>
      <c r="Q17" s="451">
        <f>SUMIF('Mastersheet-Projects'!$B$41:$B$68,$C17,'Mastersheet-Projects'!M$41:M$68)/45</f>
        <v>0</v>
      </c>
      <c r="R17" s="443">
        <f>SUMIF('Mastersheet-Projects'!$B$41:$B$68,$C17,'Mastersheet-Projects'!N$41:N$68)/45</f>
        <v>0</v>
      </c>
      <c r="S17" s="443">
        <f>SUMIF('Mastersheet-Projects'!$B$41:$B$68,$C17,'Mastersheet-Projects'!O$41:O$68)/45</f>
        <v>0.5</v>
      </c>
      <c r="T17" s="443">
        <f>SUMIF('Mastersheet-Projects'!$B$41:$B$68,$C17,'Mastersheet-Projects'!P$41:P$68)/45</f>
        <v>0.5</v>
      </c>
      <c r="U17" s="443">
        <f>SUMIF('Mastersheet-Projects'!$B$41:$B$68,$C17,'Mastersheet-Projects'!Q$41:Q$68)/45</f>
        <v>0.4</v>
      </c>
      <c r="V17" s="443">
        <f>SUMIF('Mastersheet-Projects'!$B$41:$B$68,$C17,'Mastersheet-Projects'!R$41:R$68)/45</f>
        <v>0.4</v>
      </c>
      <c r="W17" s="450">
        <f>SUMIF('Mastersheet-Projects'!$B$41:$B$68,$C17,'Mastersheet-Projects'!S$41:S$68)/45</f>
        <v>0.4</v>
      </c>
      <c r="X17" s="443">
        <f>SUMIF('Mastersheet-Projects'!$B$41:$B$68,$C17,'Mastersheet-Projects'!T$41:T$68)/45</f>
        <v>0.6</v>
      </c>
      <c r="Y17" s="443">
        <f>SUMIF('Mastersheet-Projects'!$B$41:$B$68,$C17,'Mastersheet-Projects'!U$41:U$68)/45</f>
        <v>0.6</v>
      </c>
      <c r="Z17" s="443">
        <f>SUMIF('Mastersheet-Projects'!$B$41:$B$68,$C17,'Mastersheet-Projects'!V$41:V$68)/45</f>
        <v>0.6</v>
      </c>
      <c r="AA17" s="451">
        <f>SUMIF('Mastersheet-Projects'!$B$41:$B$68,$C17,'Mastersheet-Projects'!W$41:W$68)/45</f>
        <v>0.6</v>
      </c>
      <c r="AB17" s="443">
        <f>SUMIF('Mastersheet-Projects'!$B$41:$B$68,$C17,'Mastersheet-Projects'!X$41:X$68)/45</f>
        <v>0.6</v>
      </c>
      <c r="AC17" s="443">
        <f>SUMIF('Mastersheet-Projects'!$B$41:$B$68,$C17,'Mastersheet-Projects'!Y$41:Y$68)/45</f>
        <v>0.6</v>
      </c>
      <c r="AD17" s="443">
        <f>SUMIF('Mastersheet-Projects'!$B$41:$B$68,$C17,'Mastersheet-Projects'!Z$41:Z$68)/45</f>
        <v>0.6</v>
      </c>
      <c r="AE17" s="443">
        <f>SUMIF('Mastersheet-Projects'!$B$41:$B$68,$C17,'Mastersheet-Projects'!AA$41:AA$68)/45</f>
        <v>0.6</v>
      </c>
      <c r="AF17" s="443">
        <f>SUMIF('Mastersheet-Projects'!$B$41:$B$68,$C17,'Mastersheet-Projects'!AB$41:AB$68)/45</f>
        <v>0.6</v>
      </c>
      <c r="AG17" s="450">
        <f>SUMIF('Mastersheet-Projects'!$B$41:$B$68,$C17,'Mastersheet-Projects'!AC$41:AC$68)/45</f>
        <v>0.6</v>
      </c>
      <c r="AH17" s="443">
        <f>SUMIF('Mastersheet-Projects'!$B$41:$B$68,$C17,'Mastersheet-Projects'!AD$41:AD$68)/45</f>
        <v>0.6</v>
      </c>
      <c r="AI17" s="443">
        <f>SUMIF('Mastersheet-Projects'!$B$41:$B$68,$C17,'Mastersheet-Projects'!AE$41:AE$68)/45</f>
        <v>0.2</v>
      </c>
      <c r="AJ17" s="443">
        <f>SUMIF('Mastersheet-Projects'!$B$41:$B$68,$C17,'Mastersheet-Projects'!AF$41:AF$68)/45</f>
        <v>0.2</v>
      </c>
      <c r="AK17" s="443">
        <f>SUMIF('Mastersheet-Projects'!$B$41:$B$68,$C17,'Mastersheet-Projects'!AG$41:AG$68)/45</f>
        <v>0.6</v>
      </c>
      <c r="AL17" s="443">
        <f>SUMIF('Mastersheet-Projects'!$B$41:$B$68,$C17,'Mastersheet-Projects'!AH$41:AH$68)/45</f>
        <v>0.6</v>
      </c>
      <c r="AM17" s="443">
        <f>SUMIF('Mastersheet-Projects'!$B$41:$B$68,$C17,'Mastersheet-Projects'!AI$41:AI$68)/45</f>
        <v>0.6</v>
      </c>
      <c r="AN17" s="443">
        <f>SUMIF('Mastersheet-Projects'!$B$41:$B$68,$C17,'Mastersheet-Projects'!AJ$41:AJ$68)/45</f>
        <v>0.6</v>
      </c>
      <c r="AO17" s="443">
        <f>SUMIF('Mastersheet-Projects'!$B$41:$B$68,$C17,'Mastersheet-Projects'!AK$41:AK$68)/45</f>
        <v>0.6</v>
      </c>
      <c r="AP17" s="443">
        <f>SUMIF('Mastersheet-Projects'!$B$41:$B$68,$C17,'Mastersheet-Projects'!AL$41:AL$68)/45</f>
        <v>0.6</v>
      </c>
      <c r="AQ17" s="443">
        <f>SUMIF('Mastersheet-Projects'!$B$41:$B$68,$C17,'Mastersheet-Projects'!AM$41:AM$68)/45</f>
        <v>1</v>
      </c>
      <c r="AR17" s="443">
        <f>SUMIF('Mastersheet-Projects'!$B$41:$B$68,$C17,'Mastersheet-Projects'!AN$41:AN$68)/45</f>
        <v>0.6</v>
      </c>
      <c r="AS17" s="443">
        <f>SUMIF('Mastersheet-Projects'!$B$41:$B$68,$C17,'Mastersheet-Projects'!AO$41:AO$68)/45</f>
        <v>0.6</v>
      </c>
      <c r="AT17" s="443">
        <f>SUMIF('Mastersheet-Projects'!$B$41:$B$68,$C17,'Mastersheet-Projects'!AP$41:AP$68)/45</f>
        <v>0.6</v>
      </c>
      <c r="AU17" s="443">
        <f>SUMIF('Mastersheet-Projects'!$B$41:$B$68,$C17,'Mastersheet-Projects'!AQ$41:AQ$68)/45</f>
        <v>0.6</v>
      </c>
      <c r="AV17" s="443">
        <f>SUMIF('Mastersheet-Projects'!$B$41:$B$68,$C17,'Mastersheet-Projects'!AR$41:AR$68)/45</f>
        <v>1</v>
      </c>
      <c r="AW17" s="443">
        <f>SUMIF('Mastersheet-Projects'!$B$41:$B$68,$C17,'Mastersheet-Projects'!AS$41:AS$68)/45</f>
        <v>0</v>
      </c>
      <c r="AX17" s="443">
        <f>SUMIF('Mastersheet-Projects'!$B$41:$B$68,$C17,'Mastersheet-Projects'!AT$41:AT$68)/45</f>
        <v>0</v>
      </c>
      <c r="AY17" s="443">
        <f>SUMIF('Mastersheet-Projects'!$B$41:$B$68,$C17,'Mastersheet-Projects'!AU$41:AU$68)/45</f>
        <v>0</v>
      </c>
      <c r="AZ17" s="443">
        <f>SUMIF('Mastersheet-Projects'!$B$41:$B$68,$C17,'Mastersheet-Projects'!AV$41:AV$68)/45</f>
        <v>0</v>
      </c>
      <c r="BA17" s="443">
        <f>SUMIF('Mastersheet-Projects'!$B$41:$B$68,$C17,'Mastersheet-Projects'!AW$41:AW$68)/45</f>
        <v>0</v>
      </c>
      <c r="BB17" s="443">
        <f>SUMIF('Mastersheet-Projects'!$B$41:$B$68,$C17,'Mastersheet-Projects'!AX$41:AX$68)/45</f>
        <v>0</v>
      </c>
      <c r="BC17" s="443">
        <f>SUMIF('Mastersheet-Projects'!$B$41:$B$68,$C17,'Mastersheet-Projects'!AY$41:AY$68)/45</f>
        <v>0</v>
      </c>
      <c r="BD17" s="443">
        <f>SUMIF('Mastersheet-Projects'!$B$41:$B$68,$C17,'Mastersheet-Projects'!AZ$41:AZ$68)/45</f>
        <v>0</v>
      </c>
      <c r="BE17" s="443">
        <f>SUMIF('Mastersheet-Projects'!$B$41:$B$68,$C17,'Mastersheet-Projects'!BA$41:BA$68)/45</f>
        <v>0</v>
      </c>
      <c r="BF17" s="443">
        <f>SUMIF('Mastersheet-Projects'!$B$41:$B$68,$C17,'Mastersheet-Projects'!BB$41:BB$68)/45</f>
        <v>0</v>
      </c>
      <c r="BG17" s="443">
        <f>SUMIF('Mastersheet-Projects'!$B$41:$B$68,$C17,'Mastersheet-Projects'!BC$41:BC$68)/45</f>
        <v>0</v>
      </c>
    </row>
    <row r="18" spans="1:59" s="420" customFormat="1" ht="18.600000000000001">
      <c r="A18" s="419">
        <v>8</v>
      </c>
      <c r="B18" s="501"/>
      <c r="C18" s="505" t="s">
        <v>315</v>
      </c>
      <c r="D18" s="467" t="s">
        <v>316</v>
      </c>
      <c r="E18" s="535">
        <v>4</v>
      </c>
      <c r="F18" s="513">
        <v>5</v>
      </c>
      <c r="G18" s="543">
        <v>5</v>
      </c>
      <c r="H18" s="524">
        <f t="shared" si="33"/>
        <v>0.98148148148148151</v>
      </c>
      <c r="I18" s="442">
        <f>SUMIF('Mastersheet-Projects'!$B$41:$B$68,$C18,'Mastersheet-Projects'!E$41:E$68)/45</f>
        <v>0</v>
      </c>
      <c r="J18" s="442">
        <f>SUMIF('Mastersheet-Projects'!$B$41:$B$68,$C18,'Mastersheet-Projects'!F$41:F$68)/45</f>
        <v>0</v>
      </c>
      <c r="K18" s="442">
        <f>SUMIF('Mastersheet-Projects'!$B$41:$B$68,$C18,'Mastersheet-Projects'!G$41:G$68)/45</f>
        <v>0</v>
      </c>
      <c r="L18" s="442">
        <f>SUMIF('Mastersheet-Projects'!$B$41:$B$68,$C18,'Mastersheet-Projects'!H$41:H$68)/45</f>
        <v>0</v>
      </c>
      <c r="M18" s="454">
        <f>SUMIF('Mastersheet-Projects'!$B$41:$B$68,$C18,'Mastersheet-Projects'!I$41:I$68)/45</f>
        <v>0</v>
      </c>
      <c r="N18" s="442">
        <f>SUMIF('Mastersheet-Projects'!$B$41:$B$68,$C18,'Mastersheet-Projects'!J$41:J$68)/45</f>
        <v>0</v>
      </c>
      <c r="O18" s="442">
        <f>SUMIF('Mastersheet-Projects'!$B$41:$B$68,$C18,'Mastersheet-Projects'!K$41:K$68)/45</f>
        <v>0</v>
      </c>
      <c r="P18" s="442">
        <f>SUMIF('Mastersheet-Projects'!$B$41:$B$68,$C18,'Mastersheet-Projects'!L$41:L$68)/45</f>
        <v>0</v>
      </c>
      <c r="Q18" s="455">
        <f>SUMIF('Mastersheet-Projects'!$B$41:$B$68,$C18,'Mastersheet-Projects'!M$41:M$68)/45</f>
        <v>0</v>
      </c>
      <c r="R18" s="442">
        <f>SUMIF('Mastersheet-Projects'!$B$41:$B$68,$C18,'Mastersheet-Projects'!N$41:N$68)/45</f>
        <v>0</v>
      </c>
      <c r="S18" s="442">
        <f>SUMIF('Mastersheet-Projects'!$B$41:$B$68,$C18,'Mastersheet-Projects'!O$41:O$68)/45</f>
        <v>0.5</v>
      </c>
      <c r="T18" s="442">
        <f>SUMIF('Mastersheet-Projects'!$B$41:$B$68,$C18,'Mastersheet-Projects'!P$41:P$68)/45</f>
        <v>0.5</v>
      </c>
      <c r="U18" s="442">
        <f>SUMIF('Mastersheet-Projects'!$B$41:$B$68,$C18,'Mastersheet-Projects'!Q$41:Q$68)/45</f>
        <v>0.4</v>
      </c>
      <c r="V18" s="442">
        <f>SUMIF('Mastersheet-Projects'!$B$41:$B$68,$C18,'Mastersheet-Projects'!R$41:R$68)/45</f>
        <v>0.4</v>
      </c>
      <c r="W18" s="454">
        <f>SUMIF('Mastersheet-Projects'!$B$41:$B$68,$C18,'Mastersheet-Projects'!S$41:S$68)/45</f>
        <v>0.4</v>
      </c>
      <c r="X18" s="442">
        <f>SUMIF('Mastersheet-Projects'!$B$41:$B$68,$C18,'Mastersheet-Projects'!T$41:T$68)/45</f>
        <v>1</v>
      </c>
      <c r="Y18" s="442">
        <f>SUMIF('Mastersheet-Projects'!$B$41:$B$68,$C18,'Mastersheet-Projects'!U$41:U$68)/45</f>
        <v>1</v>
      </c>
      <c r="Z18" s="442">
        <f>SUMIF('Mastersheet-Projects'!$B$41:$B$68,$C18,'Mastersheet-Projects'!V$41:V$68)/45</f>
        <v>1</v>
      </c>
      <c r="AA18" s="455">
        <f>SUMIF('Mastersheet-Projects'!$B$41:$B$68,$C18,'Mastersheet-Projects'!W$41:W$68)/45</f>
        <v>1</v>
      </c>
      <c r="AB18" s="442">
        <f>SUMIF('Mastersheet-Projects'!$B$41:$B$68,$C18,'Mastersheet-Projects'!X$41:X$68)/45</f>
        <v>1</v>
      </c>
      <c r="AC18" s="442">
        <f>SUMIF('Mastersheet-Projects'!$B$41:$B$68,$C18,'Mastersheet-Projects'!Y$41:Y$68)/45</f>
        <v>1</v>
      </c>
      <c r="AD18" s="442">
        <f>SUMIF('Mastersheet-Projects'!$B$41:$B$68,$C18,'Mastersheet-Projects'!Z$41:Z$68)/45</f>
        <v>1</v>
      </c>
      <c r="AE18" s="442">
        <f>SUMIF('Mastersheet-Projects'!$B$41:$B$68,$C18,'Mastersheet-Projects'!AA$41:AA$68)/45</f>
        <v>1</v>
      </c>
      <c r="AF18" s="442">
        <f>SUMIF('Mastersheet-Projects'!$B$41:$B$68,$C18,'Mastersheet-Projects'!AB$41:AB$68)/45</f>
        <v>1</v>
      </c>
      <c r="AG18" s="454">
        <f>SUMIF('Mastersheet-Projects'!$B$41:$B$68,$C18,'Mastersheet-Projects'!AC$41:AC$68)/45</f>
        <v>1</v>
      </c>
      <c r="AH18" s="442">
        <f>SUMIF('Mastersheet-Projects'!$B$41:$B$68,$C18,'Mastersheet-Projects'!AD$41:AD$68)/45</f>
        <v>1</v>
      </c>
      <c r="AI18" s="442">
        <f>SUMIF('Mastersheet-Projects'!$B$41:$B$68,$C18,'Mastersheet-Projects'!AE$41:AE$68)/45</f>
        <v>0</v>
      </c>
      <c r="AJ18" s="442">
        <f>SUMIF('Mastersheet-Projects'!$B$41:$B$68,$C18,'Mastersheet-Projects'!AF$41:AF$68)/45</f>
        <v>0</v>
      </c>
      <c r="AK18" s="442">
        <f>SUMIF('Mastersheet-Projects'!$B$41:$B$68,$C18,'Mastersheet-Projects'!AG$41:AG$68)/45</f>
        <v>1.3333333333333333</v>
      </c>
      <c r="AL18" s="442">
        <f>SUMIF('Mastersheet-Projects'!$B$41:$B$68,$C18,'Mastersheet-Projects'!AH$41:AH$68)/45</f>
        <v>1.3333333333333333</v>
      </c>
      <c r="AM18" s="442">
        <f>SUMIF('Mastersheet-Projects'!$B$41:$B$68,$C18,'Mastersheet-Projects'!AI$41:AI$68)/45</f>
        <v>1.3333333333333333</v>
      </c>
      <c r="AN18" s="442">
        <f>SUMIF('Mastersheet-Projects'!$B$41:$B$68,$C18,'Mastersheet-Projects'!AJ$41:AJ$68)/45</f>
        <v>1.3333333333333333</v>
      </c>
      <c r="AO18" s="442">
        <f>SUMIF('Mastersheet-Projects'!$B$41:$B$68,$C18,'Mastersheet-Projects'!AK$41:AK$68)/45</f>
        <v>1.3333333333333333</v>
      </c>
      <c r="AP18" s="442">
        <f>SUMIF('Mastersheet-Projects'!$B$41:$B$68,$C18,'Mastersheet-Projects'!AL$41:AL$68)/45</f>
        <v>1.3333333333333333</v>
      </c>
      <c r="AQ18" s="442">
        <f>SUMIF('Mastersheet-Projects'!$B$41:$B$68,$C18,'Mastersheet-Projects'!AM$41:AM$68)/45</f>
        <v>1.3333333333333333</v>
      </c>
      <c r="AR18" s="442">
        <f>SUMIF('Mastersheet-Projects'!$B$41:$B$68,$C18,'Mastersheet-Projects'!AN$41:AN$68)/45</f>
        <v>1.3333333333333333</v>
      </c>
      <c r="AS18" s="442">
        <f>SUMIF('Mastersheet-Projects'!$B$41:$B$68,$C18,'Mastersheet-Projects'!AO$41:AO$68)/45</f>
        <v>1.3333333333333333</v>
      </c>
      <c r="AT18" s="442">
        <f>SUMIF('Mastersheet-Projects'!$B$41:$B$68,$C18,'Mastersheet-Projects'!AP$41:AP$68)/45</f>
        <v>1.3333333333333333</v>
      </c>
      <c r="AU18" s="442">
        <f>SUMIF('Mastersheet-Projects'!$B$41:$B$68,$C18,'Mastersheet-Projects'!AQ$41:AQ$68)/45</f>
        <v>1.3333333333333333</v>
      </c>
      <c r="AV18" s="442">
        <f>SUMIF('Mastersheet-Projects'!$B$41:$B$68,$C18,'Mastersheet-Projects'!AR$41:AR$68)/45</f>
        <v>1.3333333333333333</v>
      </c>
      <c r="AW18" s="442">
        <f>SUMIF('Mastersheet-Projects'!$B$41:$B$68,$C18,'Mastersheet-Projects'!AS$41:AS$68)/45</f>
        <v>0</v>
      </c>
      <c r="AX18" s="442">
        <f>SUMIF('Mastersheet-Projects'!$B$41:$B$68,$C18,'Mastersheet-Projects'!AT$41:AT$68)/45</f>
        <v>0</v>
      </c>
      <c r="AY18" s="442">
        <f>SUMIF('Mastersheet-Projects'!$B$41:$B$68,$C18,'Mastersheet-Projects'!AU$41:AU$68)/45</f>
        <v>0</v>
      </c>
      <c r="AZ18" s="442">
        <f>SUMIF('Mastersheet-Projects'!$B$41:$B$68,$C18,'Mastersheet-Projects'!AV$41:AV$68)/45</f>
        <v>0</v>
      </c>
      <c r="BA18" s="442">
        <f>SUMIF('Mastersheet-Projects'!$B$41:$B$68,$C18,'Mastersheet-Projects'!AW$41:AW$68)/45</f>
        <v>0</v>
      </c>
      <c r="BB18" s="442">
        <f>SUMIF('Mastersheet-Projects'!$B$41:$B$68,$C18,'Mastersheet-Projects'!AX$41:AX$68)/45</f>
        <v>0</v>
      </c>
      <c r="BC18" s="442">
        <f>SUMIF('Mastersheet-Projects'!$B$41:$B$68,$C18,'Mastersheet-Projects'!AY$41:AY$68)/45</f>
        <v>0</v>
      </c>
      <c r="BD18" s="442">
        <f>SUMIF('Mastersheet-Projects'!$B$41:$B$68,$C18,'Mastersheet-Projects'!AZ$41:AZ$68)/45</f>
        <v>0</v>
      </c>
      <c r="BE18" s="442">
        <f>SUMIF('Mastersheet-Projects'!$B$41:$B$68,$C18,'Mastersheet-Projects'!BA$41:BA$68)/45</f>
        <v>0</v>
      </c>
      <c r="BF18" s="442">
        <f>SUMIF('Mastersheet-Projects'!$B$41:$B$68,$C18,'Mastersheet-Projects'!BB$41:BB$68)/45</f>
        <v>0</v>
      </c>
      <c r="BG18" s="442">
        <f>SUMIF('Mastersheet-Projects'!$B$41:$B$68,$C18,'Mastersheet-Projects'!BC$41:BC$68)/45</f>
        <v>0</v>
      </c>
    </row>
    <row r="19" spans="1:59" s="420" customFormat="1" ht="18.600000000000001">
      <c r="A19" s="419">
        <v>9</v>
      </c>
      <c r="B19" s="501"/>
      <c r="C19" s="506" t="s">
        <v>317</v>
      </c>
      <c r="D19" s="466" t="s">
        <v>318</v>
      </c>
      <c r="E19" s="536">
        <v>2</v>
      </c>
      <c r="F19" s="514">
        <v>2</v>
      </c>
      <c r="G19" s="544">
        <v>2</v>
      </c>
      <c r="H19" s="525">
        <f t="shared" si="33"/>
        <v>0.35555555555555562</v>
      </c>
      <c r="I19" s="433">
        <f>SUMIF('Mastersheet-Projects'!$B$41:$B$68,$C19,'Mastersheet-Projects'!E$41:E$68)/45</f>
        <v>0</v>
      </c>
      <c r="J19" s="433">
        <f>SUMIF('Mastersheet-Projects'!$B$41:$B$68,$C19,'Mastersheet-Projects'!F$41:F$68)/45</f>
        <v>0</v>
      </c>
      <c r="K19" s="433">
        <f>SUMIF('Mastersheet-Projects'!$B$41:$B$68,$C19,'Mastersheet-Projects'!G$41:G$68)/45</f>
        <v>0</v>
      </c>
      <c r="L19" s="433">
        <f>SUMIF('Mastersheet-Projects'!$B$41:$B$68,$C19,'Mastersheet-Projects'!H$41:H$68)/45</f>
        <v>0</v>
      </c>
      <c r="M19" s="448">
        <f>SUMIF('Mastersheet-Projects'!$B$41:$B$68,$C19,'Mastersheet-Projects'!I$41:I$68)/45</f>
        <v>0</v>
      </c>
      <c r="N19" s="433">
        <f>SUMIF('Mastersheet-Projects'!$B$41:$B$68,$C19,'Mastersheet-Projects'!J$41:J$68)/45</f>
        <v>0</v>
      </c>
      <c r="O19" s="433">
        <f>SUMIF('Mastersheet-Projects'!$B$41:$B$68,$C19,'Mastersheet-Projects'!K$41:K$68)/45</f>
        <v>0</v>
      </c>
      <c r="P19" s="433">
        <f>SUMIF('Mastersheet-Projects'!$B$41:$B$68,$C19,'Mastersheet-Projects'!L$41:L$68)/45</f>
        <v>0</v>
      </c>
      <c r="Q19" s="449">
        <f>SUMIF('Mastersheet-Projects'!$B$41:$B$68,$C19,'Mastersheet-Projects'!M$41:M$68)/45</f>
        <v>0</v>
      </c>
      <c r="R19" s="433">
        <f>SUMIF('Mastersheet-Projects'!$B$41:$B$68,$C19,'Mastersheet-Projects'!N$41:N$68)/45</f>
        <v>0</v>
      </c>
      <c r="S19" s="433">
        <f>SUMIF('Mastersheet-Projects'!$B$41:$B$68,$C19,'Mastersheet-Projects'!O$41:O$68)/45</f>
        <v>0.2</v>
      </c>
      <c r="T19" s="433">
        <f>SUMIF('Mastersheet-Projects'!$B$41:$B$68,$C19,'Mastersheet-Projects'!P$41:P$68)/45</f>
        <v>0.2</v>
      </c>
      <c r="U19" s="433">
        <f>SUMIF('Mastersheet-Projects'!$B$41:$B$68,$C19,'Mastersheet-Projects'!Q$41:Q$68)/45</f>
        <v>0.2</v>
      </c>
      <c r="V19" s="433">
        <f>SUMIF('Mastersheet-Projects'!$B$41:$B$68,$C19,'Mastersheet-Projects'!R$41:R$68)/45</f>
        <v>0.2</v>
      </c>
      <c r="W19" s="448">
        <f>SUMIF('Mastersheet-Projects'!$B$41:$B$68,$C19,'Mastersheet-Projects'!S$41:S$68)/45</f>
        <v>0.2</v>
      </c>
      <c r="X19" s="433">
        <f>SUMIF('Mastersheet-Projects'!$B$41:$B$68,$C19,'Mastersheet-Projects'!T$41:T$68)/45</f>
        <v>0.4</v>
      </c>
      <c r="Y19" s="433">
        <f>SUMIF('Mastersheet-Projects'!$B$41:$B$68,$C19,'Mastersheet-Projects'!U$41:U$68)/45</f>
        <v>0.4</v>
      </c>
      <c r="Z19" s="433">
        <f>SUMIF('Mastersheet-Projects'!$B$41:$B$68,$C19,'Mastersheet-Projects'!V$41:V$68)/45</f>
        <v>0.4</v>
      </c>
      <c r="AA19" s="449">
        <f>SUMIF('Mastersheet-Projects'!$B$41:$B$68,$C19,'Mastersheet-Projects'!W$41:W$68)/45</f>
        <v>0.4</v>
      </c>
      <c r="AB19" s="433">
        <f>SUMIF('Mastersheet-Projects'!$B$41:$B$68,$C19,'Mastersheet-Projects'!X$41:X$68)/45</f>
        <v>0.4</v>
      </c>
      <c r="AC19" s="433">
        <f>SUMIF('Mastersheet-Projects'!$B$41:$B$68,$C19,'Mastersheet-Projects'!Y$41:Y$68)/45</f>
        <v>0.4</v>
      </c>
      <c r="AD19" s="433">
        <f>SUMIF('Mastersheet-Projects'!$B$41:$B$68,$C19,'Mastersheet-Projects'!Z$41:Z$68)/45</f>
        <v>0.4</v>
      </c>
      <c r="AE19" s="433">
        <f>SUMIF('Mastersheet-Projects'!$B$41:$B$68,$C19,'Mastersheet-Projects'!AA$41:AA$68)/45</f>
        <v>0.4</v>
      </c>
      <c r="AF19" s="433">
        <f>SUMIF('Mastersheet-Projects'!$B$41:$B$68,$C19,'Mastersheet-Projects'!AB$41:AB$68)/45</f>
        <v>0.4</v>
      </c>
      <c r="AG19" s="448">
        <f>SUMIF('Mastersheet-Projects'!$B$41:$B$68,$C19,'Mastersheet-Projects'!AC$41:AC$68)/45</f>
        <v>0.4</v>
      </c>
      <c r="AH19" s="433">
        <f>SUMIF('Mastersheet-Projects'!$B$41:$B$68,$C19,'Mastersheet-Projects'!AD$41:AD$68)/45</f>
        <v>0.4</v>
      </c>
      <c r="AI19" s="433">
        <f>SUMIF('Mastersheet-Projects'!$B$41:$B$68,$C19,'Mastersheet-Projects'!AE$41:AE$68)/45</f>
        <v>0</v>
      </c>
      <c r="AJ19" s="433">
        <f>SUMIF('Mastersheet-Projects'!$B$41:$B$68,$C19,'Mastersheet-Projects'!AF$41:AF$68)/45</f>
        <v>0</v>
      </c>
      <c r="AK19" s="433">
        <f>SUMIF('Mastersheet-Projects'!$B$41:$B$68,$C19,'Mastersheet-Projects'!AG$41:AG$68)/45</f>
        <v>0.4</v>
      </c>
      <c r="AL19" s="433">
        <f>SUMIF('Mastersheet-Projects'!$B$41:$B$68,$C19,'Mastersheet-Projects'!AH$41:AH$68)/45</f>
        <v>0.4</v>
      </c>
      <c r="AM19" s="433">
        <f>SUMIF('Mastersheet-Projects'!$B$41:$B$68,$C19,'Mastersheet-Projects'!AI$41:AI$68)/45</f>
        <v>0.4</v>
      </c>
      <c r="AN19" s="433">
        <f>SUMIF('Mastersheet-Projects'!$B$41:$B$68,$C19,'Mastersheet-Projects'!AJ$41:AJ$68)/45</f>
        <v>0.4</v>
      </c>
      <c r="AO19" s="433">
        <f>SUMIF('Mastersheet-Projects'!$B$41:$B$68,$C19,'Mastersheet-Projects'!AK$41:AK$68)/45</f>
        <v>0.4</v>
      </c>
      <c r="AP19" s="433">
        <f>SUMIF('Mastersheet-Projects'!$B$41:$B$68,$C19,'Mastersheet-Projects'!AL$41:AL$68)/45</f>
        <v>0.4</v>
      </c>
      <c r="AQ19" s="433">
        <f>SUMIF('Mastersheet-Projects'!$B$41:$B$68,$C19,'Mastersheet-Projects'!AM$41:AM$68)/45</f>
        <v>0.4</v>
      </c>
      <c r="AR19" s="433">
        <f>SUMIF('Mastersheet-Projects'!$B$41:$B$68,$C19,'Mastersheet-Projects'!AN$41:AN$68)/45</f>
        <v>0.4</v>
      </c>
      <c r="AS19" s="433">
        <f>SUMIF('Mastersheet-Projects'!$B$41:$B$68,$C19,'Mastersheet-Projects'!AO$41:AO$68)/45</f>
        <v>0.4</v>
      </c>
      <c r="AT19" s="433">
        <f>SUMIF('Mastersheet-Projects'!$B$41:$B$68,$C19,'Mastersheet-Projects'!AP$41:AP$68)/45</f>
        <v>0.4</v>
      </c>
      <c r="AU19" s="433">
        <f>SUMIF('Mastersheet-Projects'!$B$41:$B$68,$C19,'Mastersheet-Projects'!AQ$41:AQ$68)/45</f>
        <v>0.4</v>
      </c>
      <c r="AV19" s="433">
        <f>SUMIF('Mastersheet-Projects'!$B$41:$B$68,$C19,'Mastersheet-Projects'!AR$41:AR$68)/45</f>
        <v>0.4</v>
      </c>
      <c r="AW19" s="433">
        <f>SUMIF('Mastersheet-Projects'!$B$41:$B$68,$C19,'Mastersheet-Projects'!AS$41:AS$68)/45</f>
        <v>0</v>
      </c>
      <c r="AX19" s="433">
        <f>SUMIF('Mastersheet-Projects'!$B$41:$B$68,$C19,'Mastersheet-Projects'!AT$41:AT$68)/45</f>
        <v>0</v>
      </c>
      <c r="AY19" s="433">
        <f>SUMIF('Mastersheet-Projects'!$B$41:$B$68,$C19,'Mastersheet-Projects'!AU$41:AU$68)/45</f>
        <v>0</v>
      </c>
      <c r="AZ19" s="433">
        <f>SUMIF('Mastersheet-Projects'!$B$41:$B$68,$C19,'Mastersheet-Projects'!AV$41:AV$68)/45</f>
        <v>0</v>
      </c>
      <c r="BA19" s="433">
        <f>SUMIF('Mastersheet-Projects'!$B$41:$B$68,$C19,'Mastersheet-Projects'!AW$41:AW$68)/45</f>
        <v>0</v>
      </c>
      <c r="BB19" s="433">
        <f>SUMIF('Mastersheet-Projects'!$B$41:$B$68,$C19,'Mastersheet-Projects'!AX$41:AX$68)/45</f>
        <v>0</v>
      </c>
      <c r="BC19" s="433">
        <f>SUMIF('Mastersheet-Projects'!$B$41:$B$68,$C19,'Mastersheet-Projects'!AY$41:AY$68)/45</f>
        <v>0</v>
      </c>
      <c r="BD19" s="433">
        <f>SUMIF('Mastersheet-Projects'!$B$41:$B$68,$C19,'Mastersheet-Projects'!AZ$41:AZ$68)/45</f>
        <v>0</v>
      </c>
      <c r="BE19" s="433">
        <f>SUMIF('Mastersheet-Projects'!$B$41:$B$68,$C19,'Mastersheet-Projects'!BA$41:BA$68)/45</f>
        <v>0</v>
      </c>
      <c r="BF19" s="433">
        <f>SUMIF('Mastersheet-Projects'!$B$41:$B$68,$C19,'Mastersheet-Projects'!BB$41:BB$68)/45</f>
        <v>0</v>
      </c>
      <c r="BG19" s="433">
        <f>SUMIF('Mastersheet-Projects'!$B$41:$B$68,$C19,'Mastersheet-Projects'!BC$41:BC$68)/45</f>
        <v>0</v>
      </c>
    </row>
    <row r="20" spans="1:59" s="420" customFormat="1" ht="18.600000000000001">
      <c r="A20" s="419">
        <v>13</v>
      </c>
      <c r="B20" s="501"/>
      <c r="C20" s="506" t="s">
        <v>319</v>
      </c>
      <c r="D20" s="466" t="s">
        <v>320</v>
      </c>
      <c r="E20" s="536">
        <v>1</v>
      </c>
      <c r="F20" s="514">
        <v>2</v>
      </c>
      <c r="G20" s="544">
        <v>1</v>
      </c>
      <c r="H20" s="525">
        <f t="shared" si="33"/>
        <v>0.53333333333333321</v>
      </c>
      <c r="I20" s="433">
        <f>SUMIF('Mastersheet-Projects'!$B$41:$B$68,$C20,'Mastersheet-Projects'!E$41:E$68)/45</f>
        <v>0</v>
      </c>
      <c r="J20" s="433">
        <f>SUMIF('Mastersheet-Projects'!$B$41:$B$68,$C20,'Mastersheet-Projects'!F$41:F$68)/45</f>
        <v>0</v>
      </c>
      <c r="K20" s="433">
        <f>SUMIF('Mastersheet-Projects'!$B$41:$B$68,$C20,'Mastersheet-Projects'!G$41:G$68)/45</f>
        <v>0</v>
      </c>
      <c r="L20" s="433">
        <f>SUMIF('Mastersheet-Projects'!$B$41:$B$68,$C20,'Mastersheet-Projects'!H$41:H$68)/45</f>
        <v>0</v>
      </c>
      <c r="M20" s="448">
        <f>SUMIF('Mastersheet-Projects'!$B$41:$B$68,$C20,'Mastersheet-Projects'!I$41:I$68)/45</f>
        <v>0</v>
      </c>
      <c r="N20" s="433">
        <f>SUMIF('Mastersheet-Projects'!$B$41:$B$68,$C20,'Mastersheet-Projects'!J$41:J$68)/45</f>
        <v>0</v>
      </c>
      <c r="O20" s="433">
        <f>SUMIF('Mastersheet-Projects'!$B$41:$B$68,$C20,'Mastersheet-Projects'!K$41:K$68)/45</f>
        <v>0</v>
      </c>
      <c r="P20" s="433">
        <f>SUMIF('Mastersheet-Projects'!$B$41:$B$68,$C20,'Mastersheet-Projects'!L$41:L$68)/45</f>
        <v>0</v>
      </c>
      <c r="Q20" s="449">
        <f>SUMIF('Mastersheet-Projects'!$B$41:$B$68,$C20,'Mastersheet-Projects'!M$41:M$68)/45</f>
        <v>0</v>
      </c>
      <c r="R20" s="433">
        <f>SUMIF('Mastersheet-Projects'!$B$41:$B$68,$C20,'Mastersheet-Projects'!N$41:N$68)/45</f>
        <v>0</v>
      </c>
      <c r="S20" s="433">
        <f>SUMIF('Mastersheet-Projects'!$B$41:$B$68,$C20,'Mastersheet-Projects'!O$41:O$68)/45</f>
        <v>0.4</v>
      </c>
      <c r="T20" s="433">
        <f>SUMIF('Mastersheet-Projects'!$B$41:$B$68,$C20,'Mastersheet-Projects'!P$41:P$68)/45</f>
        <v>0.2</v>
      </c>
      <c r="U20" s="433">
        <f>SUMIF('Mastersheet-Projects'!$B$41:$B$68,$C20,'Mastersheet-Projects'!Q$41:Q$68)/45</f>
        <v>0.2</v>
      </c>
      <c r="V20" s="433">
        <f>SUMIF('Mastersheet-Projects'!$B$41:$B$68,$C20,'Mastersheet-Projects'!R$41:R$68)/45</f>
        <v>0.2</v>
      </c>
      <c r="W20" s="448">
        <f>SUMIF('Mastersheet-Projects'!$B$41:$B$68,$C20,'Mastersheet-Projects'!S$41:S$68)/45</f>
        <v>0.2</v>
      </c>
      <c r="X20" s="433">
        <f>SUMIF('Mastersheet-Projects'!$B$41:$B$68,$C20,'Mastersheet-Projects'!T$41:T$68)/45</f>
        <v>0.6</v>
      </c>
      <c r="Y20" s="433">
        <f>SUMIF('Mastersheet-Projects'!$B$41:$B$68,$C20,'Mastersheet-Projects'!U$41:U$68)/45</f>
        <v>0.6</v>
      </c>
      <c r="Z20" s="433">
        <f>SUMIF('Mastersheet-Projects'!$B$41:$B$68,$C20,'Mastersheet-Projects'!V$41:V$68)/45</f>
        <v>0.6</v>
      </c>
      <c r="AA20" s="449">
        <f>SUMIF('Mastersheet-Projects'!$B$41:$B$68,$C20,'Mastersheet-Projects'!W$41:W$68)/45</f>
        <v>0.6</v>
      </c>
      <c r="AB20" s="433">
        <f>SUMIF('Mastersheet-Projects'!$B$41:$B$68,$C20,'Mastersheet-Projects'!X$41:X$68)/45</f>
        <v>0.6</v>
      </c>
      <c r="AC20" s="433">
        <f>SUMIF('Mastersheet-Projects'!$B$41:$B$68,$C20,'Mastersheet-Projects'!Y$41:Y$68)/45</f>
        <v>0.6</v>
      </c>
      <c r="AD20" s="433">
        <f>SUMIF('Mastersheet-Projects'!$B$41:$B$68,$C20,'Mastersheet-Projects'!Z$41:Z$68)/45</f>
        <v>0.6</v>
      </c>
      <c r="AE20" s="433">
        <f>SUMIF('Mastersheet-Projects'!$B$41:$B$68,$C20,'Mastersheet-Projects'!AA$41:AA$68)/45</f>
        <v>0.6</v>
      </c>
      <c r="AF20" s="433">
        <f>SUMIF('Mastersheet-Projects'!$B$41:$B$68,$C20,'Mastersheet-Projects'!AB$41:AB$68)/45</f>
        <v>0.6</v>
      </c>
      <c r="AG20" s="448">
        <f>SUMIF('Mastersheet-Projects'!$B$41:$B$68,$C20,'Mastersheet-Projects'!AC$41:AC$68)/45</f>
        <v>0.6</v>
      </c>
      <c r="AH20" s="433">
        <f>SUMIF('Mastersheet-Projects'!$B$41:$B$68,$C20,'Mastersheet-Projects'!AD$41:AD$68)/45</f>
        <v>0.6</v>
      </c>
      <c r="AI20" s="433">
        <f>SUMIF('Mastersheet-Projects'!$B$41:$B$68,$C20,'Mastersheet-Projects'!AE$41:AE$68)/45</f>
        <v>0</v>
      </c>
      <c r="AJ20" s="433">
        <f>SUMIF('Mastersheet-Projects'!$B$41:$B$68,$C20,'Mastersheet-Projects'!AF$41:AF$68)/45</f>
        <v>0</v>
      </c>
      <c r="AK20" s="433">
        <f>SUMIF('Mastersheet-Projects'!$B$41:$B$68,$C20,'Mastersheet-Projects'!AG$41:AG$68)/45</f>
        <v>0.6</v>
      </c>
      <c r="AL20" s="433">
        <f>SUMIF('Mastersheet-Projects'!$B$41:$B$68,$C20,'Mastersheet-Projects'!AH$41:AH$68)/45</f>
        <v>0.6</v>
      </c>
      <c r="AM20" s="433">
        <f>SUMIF('Mastersheet-Projects'!$B$41:$B$68,$C20,'Mastersheet-Projects'!AI$41:AI$68)/45</f>
        <v>0.6</v>
      </c>
      <c r="AN20" s="433">
        <f>SUMIF('Mastersheet-Projects'!$B$41:$B$68,$C20,'Mastersheet-Projects'!AJ$41:AJ$68)/45</f>
        <v>0.6</v>
      </c>
      <c r="AO20" s="433">
        <f>SUMIF('Mastersheet-Projects'!$B$41:$B$68,$C20,'Mastersheet-Projects'!AK$41:AK$68)/45</f>
        <v>0.6</v>
      </c>
      <c r="AP20" s="433">
        <f>SUMIF('Mastersheet-Projects'!$B$41:$B$68,$C20,'Mastersheet-Projects'!AL$41:AL$68)/45</f>
        <v>0.6</v>
      </c>
      <c r="AQ20" s="433">
        <f>SUMIF('Mastersheet-Projects'!$B$41:$B$68,$C20,'Mastersheet-Projects'!AM$41:AM$68)/45</f>
        <v>0.6</v>
      </c>
      <c r="AR20" s="433">
        <f>SUMIF('Mastersheet-Projects'!$B$41:$B$68,$C20,'Mastersheet-Projects'!AN$41:AN$68)/45</f>
        <v>0.6</v>
      </c>
      <c r="AS20" s="433">
        <f>SUMIF('Mastersheet-Projects'!$B$41:$B$68,$C20,'Mastersheet-Projects'!AO$41:AO$68)/45</f>
        <v>0.6</v>
      </c>
      <c r="AT20" s="433">
        <f>SUMIF('Mastersheet-Projects'!$B$41:$B$68,$C20,'Mastersheet-Projects'!AP$41:AP$68)/45</f>
        <v>0.6</v>
      </c>
      <c r="AU20" s="433">
        <f>SUMIF('Mastersheet-Projects'!$B$41:$B$68,$C20,'Mastersheet-Projects'!AQ$41:AQ$68)/45</f>
        <v>0.6</v>
      </c>
      <c r="AV20" s="433">
        <f>SUMIF('Mastersheet-Projects'!$B$41:$B$68,$C20,'Mastersheet-Projects'!AR$41:AR$68)/45</f>
        <v>0.6</v>
      </c>
      <c r="AW20" s="433">
        <f>SUMIF('Mastersheet-Projects'!$B$41:$B$68,$C20,'Mastersheet-Projects'!AS$41:AS$68)/45</f>
        <v>0</v>
      </c>
      <c r="AX20" s="433">
        <f>SUMIF('Mastersheet-Projects'!$B$41:$B$68,$C20,'Mastersheet-Projects'!AT$41:AT$68)/45</f>
        <v>0</v>
      </c>
      <c r="AY20" s="433">
        <f>SUMIF('Mastersheet-Projects'!$B$41:$B$68,$C20,'Mastersheet-Projects'!AU$41:AU$68)/45</f>
        <v>0</v>
      </c>
      <c r="AZ20" s="433">
        <f>SUMIF('Mastersheet-Projects'!$B$41:$B$68,$C20,'Mastersheet-Projects'!AV$41:AV$68)/45</f>
        <v>0</v>
      </c>
      <c r="BA20" s="433">
        <f>SUMIF('Mastersheet-Projects'!$B$41:$B$68,$C20,'Mastersheet-Projects'!AW$41:AW$68)/45</f>
        <v>0</v>
      </c>
      <c r="BB20" s="433">
        <f>SUMIF('Mastersheet-Projects'!$B$41:$B$68,$C20,'Mastersheet-Projects'!AX$41:AX$68)/45</f>
        <v>0</v>
      </c>
      <c r="BC20" s="433">
        <f>SUMIF('Mastersheet-Projects'!$B$41:$B$68,$C20,'Mastersheet-Projects'!AY$41:AY$68)/45</f>
        <v>0</v>
      </c>
      <c r="BD20" s="433">
        <f>SUMIF('Mastersheet-Projects'!$B$41:$B$68,$C20,'Mastersheet-Projects'!AZ$41:AZ$68)/45</f>
        <v>0</v>
      </c>
      <c r="BE20" s="433">
        <f>SUMIF('Mastersheet-Projects'!$B$41:$B$68,$C20,'Mastersheet-Projects'!BA$41:BA$68)/45</f>
        <v>0</v>
      </c>
      <c r="BF20" s="433">
        <f>SUMIF('Mastersheet-Projects'!$B$41:$B$68,$C20,'Mastersheet-Projects'!BB$41:BB$68)/45</f>
        <v>0</v>
      </c>
      <c r="BG20" s="433">
        <f>SUMIF('Mastersheet-Projects'!$B$41:$B$68,$C20,'Mastersheet-Projects'!BC$41:BC$68)/45</f>
        <v>0</v>
      </c>
    </row>
    <row r="21" spans="1:59" s="420" customFormat="1" ht="18.600000000000001">
      <c r="A21" s="419">
        <v>10</v>
      </c>
      <c r="B21" s="501"/>
      <c r="C21" s="512" t="s">
        <v>321</v>
      </c>
      <c r="D21" s="470" t="s">
        <v>322</v>
      </c>
      <c r="E21" s="538">
        <v>14</v>
      </c>
      <c r="F21" s="517">
        <v>20</v>
      </c>
      <c r="G21" s="547">
        <v>12</v>
      </c>
      <c r="H21" s="528">
        <f t="shared" si="33"/>
        <v>2.3333333333333335</v>
      </c>
      <c r="I21" s="445">
        <f>SUMIF('Mastersheet-Projects'!$B$41:$B$68,$C21,'Mastersheet-Projects'!E$41:E$68)/45</f>
        <v>0</v>
      </c>
      <c r="J21" s="445">
        <f>SUMIF('Mastersheet-Projects'!$B$41:$B$68,$C21,'Mastersheet-Projects'!F$41:F$68)/45</f>
        <v>0</v>
      </c>
      <c r="K21" s="445">
        <f>SUMIF('Mastersheet-Projects'!$B$41:$B$68,$C21,'Mastersheet-Projects'!G$41:G$68)/45</f>
        <v>0</v>
      </c>
      <c r="L21" s="445">
        <f>SUMIF('Mastersheet-Projects'!$B$41:$B$68,$C21,'Mastersheet-Projects'!H$41:H$68)/45</f>
        <v>0</v>
      </c>
      <c r="M21" s="456">
        <f>SUMIF('Mastersheet-Projects'!$B$41:$B$68,$C21,'Mastersheet-Projects'!I$41:I$68)/45</f>
        <v>0</v>
      </c>
      <c r="N21" s="445">
        <f>SUMIF('Mastersheet-Projects'!$B$41:$B$68,$C21,'Mastersheet-Projects'!J$41:J$68)/45</f>
        <v>0</v>
      </c>
      <c r="O21" s="445">
        <f>SUMIF('Mastersheet-Projects'!$B$41:$B$68,$C21,'Mastersheet-Projects'!K$41:K$68)/45</f>
        <v>0</v>
      </c>
      <c r="P21" s="445">
        <f>SUMIF('Mastersheet-Projects'!$B$41:$B$68,$C21,'Mastersheet-Projects'!L$41:L$68)/45</f>
        <v>0</v>
      </c>
      <c r="Q21" s="457">
        <f>SUMIF('Mastersheet-Projects'!$B$41:$B$68,$C21,'Mastersheet-Projects'!M$41:M$68)/45</f>
        <v>0</v>
      </c>
      <c r="R21" s="445">
        <f>SUMIF('Mastersheet-Projects'!$B$41:$B$68,$C21,'Mastersheet-Projects'!N$41:N$68)/45</f>
        <v>0</v>
      </c>
      <c r="S21" s="445">
        <f>SUMIF('Mastersheet-Projects'!$B$41:$B$68,$C21,'Mastersheet-Projects'!O$41:O$68)/45</f>
        <v>3</v>
      </c>
      <c r="T21" s="445">
        <f>SUMIF('Mastersheet-Projects'!$B$41:$B$68,$C21,'Mastersheet-Projects'!P$41:P$68)/45</f>
        <v>0.6</v>
      </c>
      <c r="U21" s="445">
        <f>SUMIF('Mastersheet-Projects'!$B$41:$B$68,$C21,'Mastersheet-Projects'!Q$41:Q$68)/45</f>
        <v>0.6</v>
      </c>
      <c r="V21" s="445">
        <f>SUMIF('Mastersheet-Projects'!$B$41:$B$68,$C21,'Mastersheet-Projects'!R$41:R$68)/45</f>
        <v>0.6</v>
      </c>
      <c r="W21" s="456">
        <f>SUMIF('Mastersheet-Projects'!$B$41:$B$68,$C21,'Mastersheet-Projects'!S$41:S$68)/45</f>
        <v>2</v>
      </c>
      <c r="X21" s="445">
        <f>SUMIF('Mastersheet-Projects'!$B$41:$B$68,$C21,'Mastersheet-Projects'!T$41:T$68)/45</f>
        <v>0</v>
      </c>
      <c r="Y21" s="445">
        <f>SUMIF('Mastersheet-Projects'!$B$41:$B$68,$C21,'Mastersheet-Projects'!U$41:U$68)/45</f>
        <v>3</v>
      </c>
      <c r="Z21" s="445">
        <f>SUMIF('Mastersheet-Projects'!$B$41:$B$68,$C21,'Mastersheet-Projects'!V$41:V$68)/45</f>
        <v>3</v>
      </c>
      <c r="AA21" s="457">
        <f>SUMIF('Mastersheet-Projects'!$B$41:$B$68,$C21,'Mastersheet-Projects'!W$41:W$68)/45</f>
        <v>3</v>
      </c>
      <c r="AB21" s="445">
        <f>SUMIF('Mastersheet-Projects'!$B$41:$B$68,$C21,'Mastersheet-Projects'!X$41:X$68)/45</f>
        <v>3</v>
      </c>
      <c r="AC21" s="445">
        <f>SUMIF('Mastersheet-Projects'!$B$41:$B$68,$C21,'Mastersheet-Projects'!Y$41:Y$68)/45</f>
        <v>3</v>
      </c>
      <c r="AD21" s="445">
        <f>SUMIF('Mastersheet-Projects'!$B$41:$B$68,$C21,'Mastersheet-Projects'!Z$41:Z$68)/45</f>
        <v>3</v>
      </c>
      <c r="AE21" s="445">
        <f>SUMIF('Mastersheet-Projects'!$B$41:$B$68,$C21,'Mastersheet-Projects'!AA$41:AA$68)/45</f>
        <v>3</v>
      </c>
      <c r="AF21" s="445">
        <f>SUMIF('Mastersheet-Projects'!$B$41:$B$68,$C21,'Mastersheet-Projects'!AB$41:AB$68)/45</f>
        <v>3</v>
      </c>
      <c r="AG21" s="456">
        <f>SUMIF('Mastersheet-Projects'!$B$41:$B$68,$C21,'Mastersheet-Projects'!AC$41:AC$68)/45</f>
        <v>3</v>
      </c>
      <c r="AH21" s="445">
        <f>SUMIF('Mastersheet-Projects'!$B$41:$B$68,$C21,'Mastersheet-Projects'!AD$41:AD$68)/45</f>
        <v>3</v>
      </c>
      <c r="AI21" s="445">
        <f>SUMIF('Mastersheet-Projects'!$B$41:$B$68,$C21,'Mastersheet-Projects'!AE$41:AE$68)/45</f>
        <v>0</v>
      </c>
      <c r="AJ21" s="445">
        <f>SUMIF('Mastersheet-Projects'!$B$41:$B$68,$C21,'Mastersheet-Projects'!AF$41:AF$68)/45</f>
        <v>0</v>
      </c>
      <c r="AK21" s="445">
        <f>SUMIF('Mastersheet-Projects'!$B$41:$B$68,$C21,'Mastersheet-Projects'!AG$41:AG$68)/45</f>
        <v>0</v>
      </c>
      <c r="AL21" s="445">
        <f>SUMIF('Mastersheet-Projects'!$B$41:$B$68,$C21,'Mastersheet-Projects'!AH$41:AH$68)/45</f>
        <v>3</v>
      </c>
      <c r="AM21" s="445">
        <f>SUMIF('Mastersheet-Projects'!$B$41:$B$68,$C21,'Mastersheet-Projects'!AI$41:AI$68)/45</f>
        <v>3</v>
      </c>
      <c r="AN21" s="445">
        <f>SUMIF('Mastersheet-Projects'!$B$41:$B$68,$C21,'Mastersheet-Projects'!AJ$41:AJ$68)/45</f>
        <v>3</v>
      </c>
      <c r="AO21" s="445">
        <f>SUMIF('Mastersheet-Projects'!$B$41:$B$68,$C21,'Mastersheet-Projects'!AK$41:AK$68)/45</f>
        <v>3</v>
      </c>
      <c r="AP21" s="445">
        <f>SUMIF('Mastersheet-Projects'!$B$41:$B$68,$C21,'Mastersheet-Projects'!AL$41:AL$68)/45</f>
        <v>3</v>
      </c>
      <c r="AQ21" s="445">
        <f>SUMIF('Mastersheet-Projects'!$B$41:$B$68,$C21,'Mastersheet-Projects'!AM$41:AM$68)/45</f>
        <v>3</v>
      </c>
      <c r="AR21" s="445">
        <f>SUMIF('Mastersheet-Projects'!$B$41:$B$68,$C21,'Mastersheet-Projects'!AN$41:AN$68)/45</f>
        <v>3</v>
      </c>
      <c r="AS21" s="445">
        <f>SUMIF('Mastersheet-Projects'!$B$41:$B$68,$C21,'Mastersheet-Projects'!AO$41:AO$68)/45</f>
        <v>3</v>
      </c>
      <c r="AT21" s="445">
        <f>SUMIF('Mastersheet-Projects'!$B$41:$B$68,$C21,'Mastersheet-Projects'!AP$41:AP$68)/45</f>
        <v>3</v>
      </c>
      <c r="AU21" s="445">
        <f>SUMIF('Mastersheet-Projects'!$B$41:$B$68,$C21,'Mastersheet-Projects'!AQ$41:AQ$68)/45</f>
        <v>3</v>
      </c>
      <c r="AV21" s="445">
        <f>SUMIF('Mastersheet-Projects'!$B$41:$B$68,$C21,'Mastersheet-Projects'!AR$41:AR$68)/45</f>
        <v>3</v>
      </c>
      <c r="AW21" s="445">
        <f>SUMIF('Mastersheet-Projects'!$B$41:$B$68,$C21,'Mastersheet-Projects'!AS$41:AS$68)/45</f>
        <v>0</v>
      </c>
      <c r="AX21" s="445">
        <f>SUMIF('Mastersheet-Projects'!$B$41:$B$68,$C21,'Mastersheet-Projects'!AT$41:AT$68)/45</f>
        <v>0</v>
      </c>
      <c r="AY21" s="445">
        <f>SUMIF('Mastersheet-Projects'!$B$41:$B$68,$C21,'Mastersheet-Projects'!AU$41:AU$68)/45</f>
        <v>0</v>
      </c>
      <c r="AZ21" s="445">
        <f>SUMIF('Mastersheet-Projects'!$B$41:$B$68,$C21,'Mastersheet-Projects'!AV$41:AV$68)/45</f>
        <v>0</v>
      </c>
      <c r="BA21" s="445">
        <f>SUMIF('Mastersheet-Projects'!$B$41:$B$68,$C21,'Mastersheet-Projects'!AW$41:AW$68)/45</f>
        <v>0</v>
      </c>
      <c r="BB21" s="445">
        <f>SUMIF('Mastersheet-Projects'!$B$41:$B$68,$C21,'Mastersheet-Projects'!AX$41:AX$68)/45</f>
        <v>0</v>
      </c>
      <c r="BC21" s="445">
        <f>SUMIF('Mastersheet-Projects'!$B$41:$B$68,$C21,'Mastersheet-Projects'!AY$41:AY$68)/45</f>
        <v>0</v>
      </c>
      <c r="BD21" s="445">
        <f>SUMIF('Mastersheet-Projects'!$B$41:$B$68,$C21,'Mastersheet-Projects'!AZ$41:AZ$68)/45</f>
        <v>0</v>
      </c>
      <c r="BE21" s="445">
        <f>SUMIF('Mastersheet-Projects'!$B$41:$B$68,$C21,'Mastersheet-Projects'!BA$41:BA$68)/45</f>
        <v>0</v>
      </c>
      <c r="BF21" s="445">
        <f>SUMIF('Mastersheet-Projects'!$B$41:$B$68,$C21,'Mastersheet-Projects'!BB$41:BB$68)/45</f>
        <v>0</v>
      </c>
      <c r="BG21" s="445">
        <f>SUMIF('Mastersheet-Projects'!$B$41:$B$68,$C21,'Mastersheet-Projects'!BC$41:BC$68)/45</f>
        <v>0</v>
      </c>
    </row>
    <row r="22" spans="1:59" s="420" customFormat="1" ht="18.600000000000001">
      <c r="A22" s="419">
        <v>13</v>
      </c>
      <c r="B22" s="501"/>
      <c r="C22" s="510" t="s">
        <v>323</v>
      </c>
      <c r="D22" s="465" t="s">
        <v>324</v>
      </c>
      <c r="E22" s="534">
        <v>4</v>
      </c>
      <c r="F22" s="516">
        <v>2</v>
      </c>
      <c r="G22" s="546">
        <v>1</v>
      </c>
      <c r="H22" s="527">
        <f t="shared" si="33"/>
        <v>0.77777777777777779</v>
      </c>
      <c r="I22" s="444">
        <f>SUMIF('Mastersheet-Projects'!$B$41:$B$68,$C22,'Mastersheet-Projects'!E$41:E$68)/45</f>
        <v>0</v>
      </c>
      <c r="J22" s="444">
        <f>SUMIF('Mastersheet-Projects'!$B$41:$B$68,$C22,'Mastersheet-Projects'!F$41:F$68)/45</f>
        <v>0</v>
      </c>
      <c r="K22" s="444">
        <f>SUMIF('Mastersheet-Projects'!$B$41:$B$68,$C22,'Mastersheet-Projects'!G$41:G$68)/45</f>
        <v>0</v>
      </c>
      <c r="L22" s="444">
        <f>SUMIF('Mastersheet-Projects'!$B$41:$B$68,$C22,'Mastersheet-Projects'!H$41:H$68)/45</f>
        <v>0</v>
      </c>
      <c r="M22" s="452">
        <f>SUMIF('Mastersheet-Projects'!$B$41:$B$68,$C22,'Mastersheet-Projects'!I$41:I$68)/45</f>
        <v>0</v>
      </c>
      <c r="N22" s="444">
        <f>SUMIF('Mastersheet-Projects'!$B$41:$B$68,$C22,'Mastersheet-Projects'!J$41:J$68)/45</f>
        <v>0</v>
      </c>
      <c r="O22" s="444">
        <f>SUMIF('Mastersheet-Projects'!$B$41:$B$68,$C22,'Mastersheet-Projects'!K$41:K$68)/45</f>
        <v>0</v>
      </c>
      <c r="P22" s="444">
        <f>SUMIF('Mastersheet-Projects'!$B$41:$B$68,$C22,'Mastersheet-Projects'!L$41:L$68)/45</f>
        <v>0</v>
      </c>
      <c r="Q22" s="453">
        <f>SUMIF('Mastersheet-Projects'!$B$41:$B$68,$C22,'Mastersheet-Projects'!M$41:M$68)/45</f>
        <v>0</v>
      </c>
      <c r="R22" s="444">
        <f>SUMIF('Mastersheet-Projects'!$B$41:$B$68,$C22,'Mastersheet-Projects'!N$41:N$68)/45</f>
        <v>0</v>
      </c>
      <c r="S22" s="444">
        <f>SUMIF('Mastersheet-Projects'!$B$41:$B$68,$C22,'Mastersheet-Projects'!O$41:O$68)/45</f>
        <v>0</v>
      </c>
      <c r="T22" s="444">
        <f>SUMIF('Mastersheet-Projects'!$B$41:$B$68,$C22,'Mastersheet-Projects'!P$41:P$68)/45</f>
        <v>0</v>
      </c>
      <c r="U22" s="444">
        <f>SUMIF('Mastersheet-Projects'!$B$41:$B$68,$C22,'Mastersheet-Projects'!Q$41:Q$68)/45</f>
        <v>0</v>
      </c>
      <c r="V22" s="444">
        <f>SUMIF('Mastersheet-Projects'!$B$41:$B$68,$C22,'Mastersheet-Projects'!R$41:R$68)/45</f>
        <v>0</v>
      </c>
      <c r="W22" s="452">
        <f>SUMIF('Mastersheet-Projects'!$B$41:$B$68,$C22,'Mastersheet-Projects'!S$41:S$68)/45</f>
        <v>0</v>
      </c>
      <c r="X22" s="444">
        <f>SUMIF('Mastersheet-Projects'!$B$41:$B$68,$C22,'Mastersheet-Projects'!T$41:T$68)/45</f>
        <v>0</v>
      </c>
      <c r="Y22" s="444">
        <f>SUMIF('Mastersheet-Projects'!$B$41:$B$68,$C22,'Mastersheet-Projects'!U$41:U$68)/45</f>
        <v>1</v>
      </c>
      <c r="Z22" s="444">
        <f>SUMIF('Mastersheet-Projects'!$B$41:$B$68,$C22,'Mastersheet-Projects'!V$41:V$68)/45</f>
        <v>1</v>
      </c>
      <c r="AA22" s="453">
        <f>SUMIF('Mastersheet-Projects'!$B$41:$B$68,$C22,'Mastersheet-Projects'!W$41:W$68)/45</f>
        <v>1</v>
      </c>
      <c r="AB22" s="444">
        <f>SUMIF('Mastersheet-Projects'!$B$41:$B$68,$C22,'Mastersheet-Projects'!X$41:X$68)/45</f>
        <v>1</v>
      </c>
      <c r="AC22" s="444">
        <f>SUMIF('Mastersheet-Projects'!$B$41:$B$68,$C22,'Mastersheet-Projects'!Y$41:Y$68)/45</f>
        <v>1</v>
      </c>
      <c r="AD22" s="444">
        <f>SUMIF('Mastersheet-Projects'!$B$41:$B$68,$C22,'Mastersheet-Projects'!Z$41:Z$68)/45</f>
        <v>1</v>
      </c>
      <c r="AE22" s="444">
        <f>SUMIF('Mastersheet-Projects'!$B$41:$B$68,$C22,'Mastersheet-Projects'!AA$41:AA$68)/45</f>
        <v>1</v>
      </c>
      <c r="AF22" s="444">
        <f>SUMIF('Mastersheet-Projects'!$B$41:$B$68,$C22,'Mastersheet-Projects'!AB$41:AB$68)/45</f>
        <v>1</v>
      </c>
      <c r="AG22" s="452">
        <f>SUMIF('Mastersheet-Projects'!$B$41:$B$68,$C22,'Mastersheet-Projects'!AC$41:AC$68)/45</f>
        <v>1</v>
      </c>
      <c r="AH22" s="444">
        <f>SUMIF('Mastersheet-Projects'!$B$41:$B$68,$C22,'Mastersheet-Projects'!AD$41:AD$68)/45</f>
        <v>1</v>
      </c>
      <c r="AI22" s="444">
        <f>SUMIF('Mastersheet-Projects'!$B$41:$B$68,$C22,'Mastersheet-Projects'!AE$41:AE$68)/45</f>
        <v>0</v>
      </c>
      <c r="AJ22" s="444">
        <f>SUMIF('Mastersheet-Projects'!$B$41:$B$68,$C22,'Mastersheet-Projects'!AF$41:AF$68)/45</f>
        <v>0</v>
      </c>
      <c r="AK22" s="444">
        <f>SUMIF('Mastersheet-Projects'!$B$41:$B$68,$C22,'Mastersheet-Projects'!AG$41:AG$68)/45</f>
        <v>0</v>
      </c>
      <c r="AL22" s="444">
        <f>SUMIF('Mastersheet-Projects'!$B$41:$B$68,$C22,'Mastersheet-Projects'!AH$41:AH$68)/45</f>
        <v>1</v>
      </c>
      <c r="AM22" s="444">
        <f>SUMIF('Mastersheet-Projects'!$B$41:$B$68,$C22,'Mastersheet-Projects'!AI$41:AI$68)/45</f>
        <v>1</v>
      </c>
      <c r="AN22" s="444">
        <f>SUMIF('Mastersheet-Projects'!$B$41:$B$68,$C22,'Mastersheet-Projects'!AJ$41:AJ$68)/45</f>
        <v>1</v>
      </c>
      <c r="AO22" s="444">
        <f>SUMIF('Mastersheet-Projects'!$B$41:$B$68,$C22,'Mastersheet-Projects'!AK$41:AK$68)/45</f>
        <v>1</v>
      </c>
      <c r="AP22" s="444">
        <f>SUMIF('Mastersheet-Projects'!$B$41:$B$68,$C22,'Mastersheet-Projects'!AL$41:AL$68)/45</f>
        <v>1</v>
      </c>
      <c r="AQ22" s="444">
        <f>SUMIF('Mastersheet-Projects'!$B$41:$B$68,$C22,'Mastersheet-Projects'!AM$41:AM$68)/45</f>
        <v>1</v>
      </c>
      <c r="AR22" s="444">
        <f>SUMIF('Mastersheet-Projects'!$B$41:$B$68,$C22,'Mastersheet-Projects'!AN$41:AN$68)/45</f>
        <v>1</v>
      </c>
      <c r="AS22" s="444">
        <f>SUMIF('Mastersheet-Projects'!$B$41:$B$68,$C22,'Mastersheet-Projects'!AO$41:AO$68)/45</f>
        <v>1</v>
      </c>
      <c r="AT22" s="444">
        <f>SUMIF('Mastersheet-Projects'!$B$41:$B$68,$C22,'Mastersheet-Projects'!AP$41:AP$68)/45</f>
        <v>1</v>
      </c>
      <c r="AU22" s="444">
        <f>SUMIF('Mastersheet-Projects'!$B$41:$B$68,$C22,'Mastersheet-Projects'!AQ$41:AQ$68)/45</f>
        <v>1</v>
      </c>
      <c r="AV22" s="444">
        <f>SUMIF('Mastersheet-Projects'!$B$41:$B$68,$C22,'Mastersheet-Projects'!AR$41:AR$68)/45</f>
        <v>1</v>
      </c>
      <c r="AW22" s="444">
        <f>SUMIF('Mastersheet-Projects'!$B$41:$B$68,$C22,'Mastersheet-Projects'!AS$41:AS$68)/45</f>
        <v>0</v>
      </c>
      <c r="AX22" s="444">
        <f>SUMIF('Mastersheet-Projects'!$B$41:$B$68,$C22,'Mastersheet-Projects'!AT$41:AT$68)/45</f>
        <v>0</v>
      </c>
      <c r="AY22" s="444">
        <f>SUMIF('Mastersheet-Projects'!$B$41:$B$68,$C22,'Mastersheet-Projects'!AU$41:AU$68)/45</f>
        <v>0</v>
      </c>
      <c r="AZ22" s="444">
        <f>SUMIF('Mastersheet-Projects'!$B$41:$B$68,$C22,'Mastersheet-Projects'!AV$41:AV$68)/45</f>
        <v>0</v>
      </c>
      <c r="BA22" s="444">
        <f>SUMIF('Mastersheet-Projects'!$B$41:$B$68,$C22,'Mastersheet-Projects'!AW$41:AW$68)/45</f>
        <v>0</v>
      </c>
      <c r="BB22" s="444">
        <f>SUMIF('Mastersheet-Projects'!$B$41:$B$68,$C22,'Mastersheet-Projects'!AX$41:AX$68)/45</f>
        <v>0</v>
      </c>
      <c r="BC22" s="444">
        <f>SUMIF('Mastersheet-Projects'!$B$41:$B$68,$C22,'Mastersheet-Projects'!AY$41:AY$68)/45</f>
        <v>0</v>
      </c>
      <c r="BD22" s="444">
        <f>SUMIF('Mastersheet-Projects'!$B$41:$B$68,$C22,'Mastersheet-Projects'!AZ$41:AZ$68)/45</f>
        <v>0</v>
      </c>
      <c r="BE22" s="444">
        <f>SUMIF('Mastersheet-Projects'!$B$41:$B$68,$C22,'Mastersheet-Projects'!BA$41:BA$68)/45</f>
        <v>0</v>
      </c>
      <c r="BF22" s="444">
        <f>SUMIF('Mastersheet-Projects'!$B$41:$B$68,$C22,'Mastersheet-Projects'!BB$41:BB$68)/45</f>
        <v>0</v>
      </c>
      <c r="BG22" s="444">
        <f>SUMIF('Mastersheet-Projects'!$B$41:$B$68,$C22,'Mastersheet-Projects'!BC$41:BC$68)/45</f>
        <v>0</v>
      </c>
    </row>
    <row r="23" spans="1:59" s="420" customFormat="1" ht="18.600000000000001">
      <c r="A23" s="419">
        <v>10</v>
      </c>
      <c r="B23" s="501"/>
      <c r="C23" s="506" t="s">
        <v>325</v>
      </c>
      <c r="D23" s="466" t="s">
        <v>326</v>
      </c>
      <c r="E23" s="536">
        <v>2</v>
      </c>
      <c r="F23" s="514">
        <v>2</v>
      </c>
      <c r="G23" s="544">
        <v>1</v>
      </c>
      <c r="H23" s="525">
        <f t="shared" si="33"/>
        <v>0.53333333333333321</v>
      </c>
      <c r="I23" s="433">
        <f>SUMIF('Mastersheet-Projects'!$B$41:$B$68,$C23,'Mastersheet-Projects'!E$41:E$68)/45</f>
        <v>0</v>
      </c>
      <c r="J23" s="433">
        <f>SUMIF('Mastersheet-Projects'!$B$41:$B$68,$C23,'Mastersheet-Projects'!F$41:F$68)/45</f>
        <v>0</v>
      </c>
      <c r="K23" s="433">
        <f>SUMIF('Mastersheet-Projects'!$B$41:$B$68,$C23,'Mastersheet-Projects'!G$41:G$68)/45</f>
        <v>0</v>
      </c>
      <c r="L23" s="433">
        <f>SUMIF('Mastersheet-Projects'!$B$41:$B$68,$C23,'Mastersheet-Projects'!H$41:H$68)/45</f>
        <v>0</v>
      </c>
      <c r="M23" s="448">
        <f>SUMIF('Mastersheet-Projects'!$B$41:$B$68,$C23,'Mastersheet-Projects'!I$41:I$68)/45</f>
        <v>0</v>
      </c>
      <c r="N23" s="433">
        <f>SUMIF('Mastersheet-Projects'!$B$41:$B$68,$C23,'Mastersheet-Projects'!J$41:J$68)/45</f>
        <v>0</v>
      </c>
      <c r="O23" s="433">
        <f>SUMIF('Mastersheet-Projects'!$B$41:$B$68,$C23,'Mastersheet-Projects'!K$41:K$68)/45</f>
        <v>0</v>
      </c>
      <c r="P23" s="433">
        <f>SUMIF('Mastersheet-Projects'!$B$41:$B$68,$C23,'Mastersheet-Projects'!L$41:L$68)/45</f>
        <v>0</v>
      </c>
      <c r="Q23" s="449">
        <f>SUMIF('Mastersheet-Projects'!$B$41:$B$68,$C23,'Mastersheet-Projects'!M$41:M$68)/45</f>
        <v>0</v>
      </c>
      <c r="R23" s="433">
        <f>SUMIF('Mastersheet-Projects'!$B$41:$B$68,$C23,'Mastersheet-Projects'!N$41:N$68)/45</f>
        <v>0</v>
      </c>
      <c r="S23" s="433">
        <f>SUMIF('Mastersheet-Projects'!$B$41:$B$68,$C23,'Mastersheet-Projects'!O$41:O$68)/45</f>
        <v>0.4</v>
      </c>
      <c r="T23" s="433">
        <f>SUMIF('Mastersheet-Projects'!$B$41:$B$68,$C23,'Mastersheet-Projects'!P$41:P$68)/45</f>
        <v>0.2</v>
      </c>
      <c r="U23" s="433">
        <f>SUMIF('Mastersheet-Projects'!$B$41:$B$68,$C23,'Mastersheet-Projects'!Q$41:Q$68)/45</f>
        <v>0.2</v>
      </c>
      <c r="V23" s="433">
        <f>SUMIF('Mastersheet-Projects'!$B$41:$B$68,$C23,'Mastersheet-Projects'!R$41:R$68)/45</f>
        <v>0.2</v>
      </c>
      <c r="W23" s="448">
        <f>SUMIF('Mastersheet-Projects'!$B$41:$B$68,$C23,'Mastersheet-Projects'!S$41:S$68)/45</f>
        <v>0.2</v>
      </c>
      <c r="X23" s="433">
        <f>SUMIF('Mastersheet-Projects'!$B$41:$B$68,$C23,'Mastersheet-Projects'!T$41:T$68)/45</f>
        <v>0.6</v>
      </c>
      <c r="Y23" s="433">
        <f>SUMIF('Mastersheet-Projects'!$B$41:$B$68,$C23,'Mastersheet-Projects'!U$41:U$68)/45</f>
        <v>0.6</v>
      </c>
      <c r="Z23" s="433">
        <f>SUMIF('Mastersheet-Projects'!$B$41:$B$68,$C23,'Mastersheet-Projects'!V$41:V$68)/45</f>
        <v>0.6</v>
      </c>
      <c r="AA23" s="449">
        <f>SUMIF('Mastersheet-Projects'!$B$41:$B$68,$C23,'Mastersheet-Projects'!W$41:W$68)/45</f>
        <v>0.6</v>
      </c>
      <c r="AB23" s="433">
        <f>SUMIF('Mastersheet-Projects'!$B$41:$B$68,$C23,'Mastersheet-Projects'!X$41:X$68)/45</f>
        <v>0.6</v>
      </c>
      <c r="AC23" s="433">
        <f>SUMIF('Mastersheet-Projects'!$B$41:$B$68,$C23,'Mastersheet-Projects'!Y$41:Y$68)/45</f>
        <v>0.6</v>
      </c>
      <c r="AD23" s="433">
        <f>SUMIF('Mastersheet-Projects'!$B$41:$B$68,$C23,'Mastersheet-Projects'!Z$41:Z$68)/45</f>
        <v>0.6</v>
      </c>
      <c r="AE23" s="433">
        <f>SUMIF('Mastersheet-Projects'!$B$41:$B$68,$C23,'Mastersheet-Projects'!AA$41:AA$68)/45</f>
        <v>0.6</v>
      </c>
      <c r="AF23" s="433">
        <f>SUMIF('Mastersheet-Projects'!$B$41:$B$68,$C23,'Mastersheet-Projects'!AB$41:AB$68)/45</f>
        <v>0.6</v>
      </c>
      <c r="AG23" s="448">
        <f>SUMIF('Mastersheet-Projects'!$B$41:$B$68,$C23,'Mastersheet-Projects'!AC$41:AC$68)/45</f>
        <v>0.6</v>
      </c>
      <c r="AH23" s="433">
        <f>SUMIF('Mastersheet-Projects'!$B$41:$B$68,$C23,'Mastersheet-Projects'!AD$41:AD$68)/45</f>
        <v>0.6</v>
      </c>
      <c r="AI23" s="433">
        <f>SUMIF('Mastersheet-Projects'!$B$41:$B$68,$C23,'Mastersheet-Projects'!AE$41:AE$68)/45</f>
        <v>0</v>
      </c>
      <c r="AJ23" s="433">
        <f>SUMIF('Mastersheet-Projects'!$B$41:$B$68,$C23,'Mastersheet-Projects'!AF$41:AF$68)/45</f>
        <v>0</v>
      </c>
      <c r="AK23" s="433">
        <f>SUMIF('Mastersheet-Projects'!$B$41:$B$68,$C23,'Mastersheet-Projects'!AG$41:AG$68)/45</f>
        <v>0.6</v>
      </c>
      <c r="AL23" s="433">
        <f>SUMIF('Mastersheet-Projects'!$B$41:$B$68,$C23,'Mastersheet-Projects'!AH$41:AH$68)/45</f>
        <v>0.6</v>
      </c>
      <c r="AM23" s="433">
        <f>SUMIF('Mastersheet-Projects'!$B$41:$B$68,$C23,'Mastersheet-Projects'!AI$41:AI$68)/45</f>
        <v>0.6</v>
      </c>
      <c r="AN23" s="433">
        <f>SUMIF('Mastersheet-Projects'!$B$41:$B$68,$C23,'Mastersheet-Projects'!AJ$41:AJ$68)/45</f>
        <v>0.6</v>
      </c>
      <c r="AO23" s="433">
        <f>SUMIF('Mastersheet-Projects'!$B$41:$B$68,$C23,'Mastersheet-Projects'!AK$41:AK$68)/45</f>
        <v>0.6</v>
      </c>
      <c r="AP23" s="433">
        <f>SUMIF('Mastersheet-Projects'!$B$41:$B$68,$C23,'Mastersheet-Projects'!AL$41:AL$68)/45</f>
        <v>0.6</v>
      </c>
      <c r="AQ23" s="433">
        <f>SUMIF('Mastersheet-Projects'!$B$41:$B$68,$C23,'Mastersheet-Projects'!AM$41:AM$68)/45</f>
        <v>0.6</v>
      </c>
      <c r="AR23" s="433">
        <f>SUMIF('Mastersheet-Projects'!$B$41:$B$68,$C23,'Mastersheet-Projects'!AN$41:AN$68)/45</f>
        <v>0.6</v>
      </c>
      <c r="AS23" s="433">
        <f>SUMIF('Mastersheet-Projects'!$B$41:$B$68,$C23,'Mastersheet-Projects'!AO$41:AO$68)/45</f>
        <v>0.6</v>
      </c>
      <c r="AT23" s="433">
        <f>SUMIF('Mastersheet-Projects'!$B$41:$B$68,$C23,'Mastersheet-Projects'!AP$41:AP$68)/45</f>
        <v>0.6</v>
      </c>
      <c r="AU23" s="433">
        <f>SUMIF('Mastersheet-Projects'!$B$41:$B$68,$C23,'Mastersheet-Projects'!AQ$41:AQ$68)/45</f>
        <v>0.6</v>
      </c>
      <c r="AV23" s="433">
        <f>SUMIF('Mastersheet-Projects'!$B$41:$B$68,$C23,'Mastersheet-Projects'!AR$41:AR$68)/45</f>
        <v>0.6</v>
      </c>
      <c r="AW23" s="433">
        <f>SUMIF('Mastersheet-Projects'!$B$41:$B$68,$C23,'Mastersheet-Projects'!AS$41:AS$68)/45</f>
        <v>0</v>
      </c>
      <c r="AX23" s="433">
        <f>SUMIF('Mastersheet-Projects'!$B$41:$B$68,$C23,'Mastersheet-Projects'!AT$41:AT$68)/45</f>
        <v>0</v>
      </c>
      <c r="AY23" s="433">
        <f>SUMIF('Mastersheet-Projects'!$B$41:$B$68,$C23,'Mastersheet-Projects'!AU$41:AU$68)/45</f>
        <v>0</v>
      </c>
      <c r="AZ23" s="433">
        <f>SUMIF('Mastersheet-Projects'!$B$41:$B$68,$C23,'Mastersheet-Projects'!AV$41:AV$68)/45</f>
        <v>0</v>
      </c>
      <c r="BA23" s="433">
        <f>SUMIF('Mastersheet-Projects'!$B$41:$B$68,$C23,'Mastersheet-Projects'!AW$41:AW$68)/45</f>
        <v>0</v>
      </c>
      <c r="BB23" s="433">
        <f>SUMIF('Mastersheet-Projects'!$B$41:$B$68,$C23,'Mastersheet-Projects'!AX$41:AX$68)/45</f>
        <v>0</v>
      </c>
      <c r="BC23" s="433">
        <f>SUMIF('Mastersheet-Projects'!$B$41:$B$68,$C23,'Mastersheet-Projects'!AY$41:AY$68)/45</f>
        <v>0</v>
      </c>
      <c r="BD23" s="433">
        <f>SUMIF('Mastersheet-Projects'!$B$41:$B$68,$C23,'Mastersheet-Projects'!AZ$41:AZ$68)/45</f>
        <v>0</v>
      </c>
      <c r="BE23" s="433">
        <f>SUMIF('Mastersheet-Projects'!$B$41:$B$68,$C23,'Mastersheet-Projects'!BA$41:BA$68)/45</f>
        <v>0</v>
      </c>
      <c r="BF23" s="433">
        <f>SUMIF('Mastersheet-Projects'!$B$41:$B$68,$C23,'Mastersheet-Projects'!BB$41:BB$68)/45</f>
        <v>0</v>
      </c>
      <c r="BG23" s="433">
        <f>SUMIF('Mastersheet-Projects'!$B$41:$B$68,$C23,'Mastersheet-Projects'!BC$41:BC$68)/45</f>
        <v>0</v>
      </c>
    </row>
    <row r="24" spans="1:59" s="420" customFormat="1" ht="18.600000000000001">
      <c r="A24" s="419">
        <v>13</v>
      </c>
      <c r="B24" s="501"/>
      <c r="C24" s="506" t="s">
        <v>327</v>
      </c>
      <c r="D24" s="466" t="s">
        <v>328</v>
      </c>
      <c r="E24" s="536">
        <v>16</v>
      </c>
      <c r="F24" s="514">
        <v>20</v>
      </c>
      <c r="G24" s="544">
        <v>12</v>
      </c>
      <c r="H24" s="525">
        <f t="shared" si="33"/>
        <v>2.3333333333333335</v>
      </c>
      <c r="I24" s="433">
        <f>SUMIF('Mastersheet-Projects'!$B$41:$B$68,$C24,'Mastersheet-Projects'!E$41:E$68)/45</f>
        <v>0</v>
      </c>
      <c r="J24" s="433">
        <f>SUMIF('Mastersheet-Projects'!$B$41:$B$68,$C24,'Mastersheet-Projects'!F$41:F$68)/45</f>
        <v>0</v>
      </c>
      <c r="K24" s="433">
        <f>SUMIF('Mastersheet-Projects'!$B$41:$B$68,$C24,'Mastersheet-Projects'!G$41:G$68)/45</f>
        <v>0</v>
      </c>
      <c r="L24" s="433">
        <f>SUMIF('Mastersheet-Projects'!$B$41:$B$68,$C24,'Mastersheet-Projects'!H$41:H$68)/45</f>
        <v>0</v>
      </c>
      <c r="M24" s="448">
        <f>SUMIF('Mastersheet-Projects'!$B$41:$B$68,$C24,'Mastersheet-Projects'!I$41:I$68)/45</f>
        <v>0</v>
      </c>
      <c r="N24" s="433">
        <f>SUMIF('Mastersheet-Projects'!$B$41:$B$68,$C24,'Mastersheet-Projects'!J$41:J$68)/45</f>
        <v>0</v>
      </c>
      <c r="O24" s="433">
        <f>SUMIF('Mastersheet-Projects'!$B$41:$B$68,$C24,'Mastersheet-Projects'!K$41:K$68)/45</f>
        <v>0</v>
      </c>
      <c r="P24" s="433">
        <f>SUMIF('Mastersheet-Projects'!$B$41:$B$68,$C24,'Mastersheet-Projects'!L$41:L$68)/45</f>
        <v>0</v>
      </c>
      <c r="Q24" s="449">
        <f>SUMIF('Mastersheet-Projects'!$B$41:$B$68,$C24,'Mastersheet-Projects'!M$41:M$68)/45</f>
        <v>0</v>
      </c>
      <c r="R24" s="433">
        <f>SUMIF('Mastersheet-Projects'!$B$41:$B$68,$C24,'Mastersheet-Projects'!N$41:N$68)/45</f>
        <v>0</v>
      </c>
      <c r="S24" s="433">
        <f>SUMIF('Mastersheet-Projects'!$B$41:$B$68,$C24,'Mastersheet-Projects'!O$41:O$68)/45</f>
        <v>2</v>
      </c>
      <c r="T24" s="433">
        <f>SUMIF('Mastersheet-Projects'!$B$41:$B$68,$C24,'Mastersheet-Projects'!P$41:P$68)/45</f>
        <v>0.6</v>
      </c>
      <c r="U24" s="433">
        <f>SUMIF('Mastersheet-Projects'!$B$41:$B$68,$C24,'Mastersheet-Projects'!Q$41:Q$68)/45</f>
        <v>0.6</v>
      </c>
      <c r="V24" s="433">
        <f>SUMIF('Mastersheet-Projects'!$B$41:$B$68,$C24,'Mastersheet-Projects'!R$41:R$68)/45</f>
        <v>0.6</v>
      </c>
      <c r="W24" s="448">
        <f>SUMIF('Mastersheet-Projects'!$B$41:$B$68,$C24,'Mastersheet-Projects'!S$41:S$68)/45</f>
        <v>1</v>
      </c>
      <c r="X24" s="433">
        <f>SUMIF('Mastersheet-Projects'!$B$41:$B$68,$C24,'Mastersheet-Projects'!T$41:T$68)/45</f>
        <v>0</v>
      </c>
      <c r="Y24" s="433">
        <f>SUMIF('Mastersheet-Projects'!$B$41:$B$68,$C24,'Mastersheet-Projects'!U$41:U$68)/45</f>
        <v>3</v>
      </c>
      <c r="Z24" s="433">
        <f>SUMIF('Mastersheet-Projects'!$B$41:$B$68,$C24,'Mastersheet-Projects'!V$41:V$68)/45</f>
        <v>3</v>
      </c>
      <c r="AA24" s="449">
        <f>SUMIF('Mastersheet-Projects'!$B$41:$B$68,$C24,'Mastersheet-Projects'!W$41:W$68)/45</f>
        <v>3</v>
      </c>
      <c r="AB24" s="433">
        <f>SUMIF('Mastersheet-Projects'!$B$41:$B$68,$C24,'Mastersheet-Projects'!X$41:X$68)/45</f>
        <v>3</v>
      </c>
      <c r="AC24" s="433">
        <f>SUMIF('Mastersheet-Projects'!$B$41:$B$68,$C24,'Mastersheet-Projects'!Y$41:Y$68)/45</f>
        <v>3</v>
      </c>
      <c r="AD24" s="433">
        <f>SUMIF('Mastersheet-Projects'!$B$41:$B$68,$C24,'Mastersheet-Projects'!Z$41:Z$68)/45</f>
        <v>3</v>
      </c>
      <c r="AE24" s="433">
        <f>SUMIF('Mastersheet-Projects'!$B$41:$B$68,$C24,'Mastersheet-Projects'!AA$41:AA$68)/45</f>
        <v>3</v>
      </c>
      <c r="AF24" s="433">
        <f>SUMIF('Mastersheet-Projects'!$B$41:$B$68,$C24,'Mastersheet-Projects'!AB$41:AB$68)/45</f>
        <v>3</v>
      </c>
      <c r="AG24" s="448">
        <f>SUMIF('Mastersheet-Projects'!$B$41:$B$68,$C24,'Mastersheet-Projects'!AC$41:AC$68)/45</f>
        <v>3</v>
      </c>
      <c r="AH24" s="433">
        <f>SUMIF('Mastersheet-Projects'!$B$41:$B$68,$C24,'Mastersheet-Projects'!AD$41:AD$68)/45</f>
        <v>3</v>
      </c>
      <c r="AI24" s="433">
        <f>SUMIF('Mastersheet-Projects'!$B$41:$B$68,$C24,'Mastersheet-Projects'!AE$41:AE$68)/45</f>
        <v>0</v>
      </c>
      <c r="AJ24" s="433">
        <f>SUMIF('Mastersheet-Projects'!$B$41:$B$68,$C24,'Mastersheet-Projects'!AF$41:AF$68)/45</f>
        <v>0</v>
      </c>
      <c r="AK24" s="433">
        <f>SUMIF('Mastersheet-Projects'!$B$41:$B$68,$C24,'Mastersheet-Projects'!AG$41:AG$68)/45</f>
        <v>0</v>
      </c>
      <c r="AL24" s="433">
        <f>SUMIF('Mastersheet-Projects'!$B$41:$B$68,$C24,'Mastersheet-Projects'!AH$41:AH$68)/45</f>
        <v>3</v>
      </c>
      <c r="AM24" s="433">
        <f>SUMIF('Mastersheet-Projects'!$B$41:$B$68,$C24,'Mastersheet-Projects'!AI$41:AI$68)/45</f>
        <v>3</v>
      </c>
      <c r="AN24" s="433">
        <f>SUMIF('Mastersheet-Projects'!$B$41:$B$68,$C24,'Mastersheet-Projects'!AJ$41:AJ$68)/45</f>
        <v>3</v>
      </c>
      <c r="AO24" s="433">
        <f>SUMIF('Mastersheet-Projects'!$B$41:$B$68,$C24,'Mastersheet-Projects'!AK$41:AK$68)/45</f>
        <v>3</v>
      </c>
      <c r="AP24" s="433">
        <f>SUMIF('Mastersheet-Projects'!$B$41:$B$68,$C24,'Mastersheet-Projects'!AL$41:AL$68)/45</f>
        <v>3</v>
      </c>
      <c r="AQ24" s="433">
        <f>SUMIF('Mastersheet-Projects'!$B$41:$B$68,$C24,'Mastersheet-Projects'!AM$41:AM$68)/45</f>
        <v>3</v>
      </c>
      <c r="AR24" s="433">
        <f>SUMIF('Mastersheet-Projects'!$B$41:$B$68,$C24,'Mastersheet-Projects'!AN$41:AN$68)/45</f>
        <v>3</v>
      </c>
      <c r="AS24" s="433">
        <f>SUMIF('Mastersheet-Projects'!$B$41:$B$68,$C24,'Mastersheet-Projects'!AO$41:AO$68)/45</f>
        <v>3</v>
      </c>
      <c r="AT24" s="433">
        <f>SUMIF('Mastersheet-Projects'!$B$41:$B$68,$C24,'Mastersheet-Projects'!AP$41:AP$68)/45</f>
        <v>3</v>
      </c>
      <c r="AU24" s="433">
        <f>SUMIF('Mastersheet-Projects'!$B$41:$B$68,$C24,'Mastersheet-Projects'!AQ$41:AQ$68)/45</f>
        <v>3</v>
      </c>
      <c r="AV24" s="433">
        <f>SUMIF('Mastersheet-Projects'!$B$41:$B$68,$C24,'Mastersheet-Projects'!AR$41:AR$68)/45</f>
        <v>3</v>
      </c>
      <c r="AW24" s="433">
        <f>SUMIF('Mastersheet-Projects'!$B$41:$B$68,$C24,'Mastersheet-Projects'!AS$41:AS$68)/45</f>
        <v>0</v>
      </c>
      <c r="AX24" s="433">
        <f>SUMIF('Mastersheet-Projects'!$B$41:$B$68,$C24,'Mastersheet-Projects'!AT$41:AT$68)/45</f>
        <v>0</v>
      </c>
      <c r="AY24" s="433">
        <f>SUMIF('Mastersheet-Projects'!$B$41:$B$68,$C24,'Mastersheet-Projects'!AU$41:AU$68)/45</f>
        <v>0</v>
      </c>
      <c r="AZ24" s="433">
        <f>SUMIF('Mastersheet-Projects'!$B$41:$B$68,$C24,'Mastersheet-Projects'!AV$41:AV$68)/45</f>
        <v>0</v>
      </c>
      <c r="BA24" s="433">
        <f>SUMIF('Mastersheet-Projects'!$B$41:$B$68,$C24,'Mastersheet-Projects'!AW$41:AW$68)/45</f>
        <v>0</v>
      </c>
      <c r="BB24" s="433">
        <f>SUMIF('Mastersheet-Projects'!$B$41:$B$68,$C24,'Mastersheet-Projects'!AX$41:AX$68)/45</f>
        <v>0</v>
      </c>
      <c r="BC24" s="433">
        <f>SUMIF('Mastersheet-Projects'!$B$41:$B$68,$C24,'Mastersheet-Projects'!AY$41:AY$68)/45</f>
        <v>0</v>
      </c>
      <c r="BD24" s="433">
        <f>SUMIF('Mastersheet-Projects'!$B$41:$B$68,$C24,'Mastersheet-Projects'!AZ$41:AZ$68)/45</f>
        <v>0</v>
      </c>
      <c r="BE24" s="433">
        <f>SUMIF('Mastersheet-Projects'!$B$41:$B$68,$C24,'Mastersheet-Projects'!BA$41:BA$68)/45</f>
        <v>0</v>
      </c>
      <c r="BF24" s="433">
        <f>SUMIF('Mastersheet-Projects'!$B$41:$B$68,$C24,'Mastersheet-Projects'!BB$41:BB$68)/45</f>
        <v>0</v>
      </c>
      <c r="BG24" s="433">
        <f>SUMIF('Mastersheet-Projects'!$B$41:$B$68,$C24,'Mastersheet-Projects'!BC$41:BC$68)/45</f>
        <v>0</v>
      </c>
    </row>
    <row r="25" spans="1:59" s="420" customFormat="1" ht="18.600000000000001">
      <c r="A25" s="419">
        <v>13</v>
      </c>
      <c r="B25" s="501"/>
      <c r="C25" s="508" t="s">
        <v>329</v>
      </c>
      <c r="D25" s="468" t="s">
        <v>330</v>
      </c>
      <c r="E25" s="537">
        <v>3</v>
      </c>
      <c r="F25" s="515">
        <v>2</v>
      </c>
      <c r="G25" s="545">
        <v>1</v>
      </c>
      <c r="H25" s="526">
        <f t="shared" si="33"/>
        <v>0.77777777777777779</v>
      </c>
      <c r="I25" s="443">
        <f>SUMIF('Mastersheet-Projects'!$B$41:$B$68,$C25,'Mastersheet-Projects'!E$41:E$68)/45</f>
        <v>0</v>
      </c>
      <c r="J25" s="443">
        <f>SUMIF('Mastersheet-Projects'!$B$41:$B$68,$C25,'Mastersheet-Projects'!F$41:F$68)/45</f>
        <v>0</v>
      </c>
      <c r="K25" s="443">
        <f>SUMIF('Mastersheet-Projects'!$B$41:$B$68,$C25,'Mastersheet-Projects'!G$41:G$68)/45</f>
        <v>0</v>
      </c>
      <c r="L25" s="443">
        <f>SUMIF('Mastersheet-Projects'!$B$41:$B$68,$C25,'Mastersheet-Projects'!H$41:H$68)/45</f>
        <v>0</v>
      </c>
      <c r="M25" s="450">
        <f>SUMIF('Mastersheet-Projects'!$B$41:$B$68,$C25,'Mastersheet-Projects'!I$41:I$68)/45</f>
        <v>0</v>
      </c>
      <c r="N25" s="443">
        <f>SUMIF('Mastersheet-Projects'!$B$41:$B$68,$C25,'Mastersheet-Projects'!J$41:J$68)/45</f>
        <v>0</v>
      </c>
      <c r="O25" s="443">
        <f>SUMIF('Mastersheet-Projects'!$B$41:$B$68,$C25,'Mastersheet-Projects'!K$41:K$68)/45</f>
        <v>0</v>
      </c>
      <c r="P25" s="443">
        <f>SUMIF('Mastersheet-Projects'!$B$41:$B$68,$C25,'Mastersheet-Projects'!L$41:L$68)/45</f>
        <v>0</v>
      </c>
      <c r="Q25" s="451">
        <f>SUMIF('Mastersheet-Projects'!$B$41:$B$68,$C25,'Mastersheet-Projects'!M$41:M$68)/45</f>
        <v>0</v>
      </c>
      <c r="R25" s="443">
        <f>SUMIF('Mastersheet-Projects'!$B$41:$B$68,$C25,'Mastersheet-Projects'!N$41:N$68)/45</f>
        <v>0</v>
      </c>
      <c r="S25" s="443">
        <f>SUMIF('Mastersheet-Projects'!$B$41:$B$68,$C25,'Mastersheet-Projects'!O$41:O$68)/45</f>
        <v>0</v>
      </c>
      <c r="T25" s="443">
        <f>SUMIF('Mastersheet-Projects'!$B$41:$B$68,$C25,'Mastersheet-Projects'!P$41:P$68)/45</f>
        <v>0</v>
      </c>
      <c r="U25" s="443">
        <f>SUMIF('Mastersheet-Projects'!$B$41:$B$68,$C25,'Mastersheet-Projects'!Q$41:Q$68)/45</f>
        <v>0</v>
      </c>
      <c r="V25" s="443">
        <f>SUMIF('Mastersheet-Projects'!$B$41:$B$68,$C25,'Mastersheet-Projects'!R$41:R$68)/45</f>
        <v>0</v>
      </c>
      <c r="W25" s="450">
        <f>SUMIF('Mastersheet-Projects'!$B$41:$B$68,$C25,'Mastersheet-Projects'!S$41:S$68)/45</f>
        <v>0</v>
      </c>
      <c r="X25" s="443">
        <f>SUMIF('Mastersheet-Projects'!$B$41:$B$68,$C25,'Mastersheet-Projects'!T$41:T$68)/45</f>
        <v>0</v>
      </c>
      <c r="Y25" s="443">
        <f>SUMIF('Mastersheet-Projects'!$B$41:$B$68,$C25,'Mastersheet-Projects'!U$41:U$68)/45</f>
        <v>1</v>
      </c>
      <c r="Z25" s="443">
        <f>SUMIF('Mastersheet-Projects'!$B$41:$B$68,$C25,'Mastersheet-Projects'!V$41:V$68)/45</f>
        <v>1</v>
      </c>
      <c r="AA25" s="451">
        <f>SUMIF('Mastersheet-Projects'!$B$41:$B$68,$C25,'Mastersheet-Projects'!W$41:W$68)/45</f>
        <v>1</v>
      </c>
      <c r="AB25" s="443">
        <f>SUMIF('Mastersheet-Projects'!$B$41:$B$68,$C25,'Mastersheet-Projects'!X$41:X$68)/45</f>
        <v>1</v>
      </c>
      <c r="AC25" s="443">
        <f>SUMIF('Mastersheet-Projects'!$B$41:$B$68,$C25,'Mastersheet-Projects'!Y$41:Y$68)/45</f>
        <v>1</v>
      </c>
      <c r="AD25" s="443">
        <f>SUMIF('Mastersheet-Projects'!$B$41:$B$68,$C25,'Mastersheet-Projects'!Z$41:Z$68)/45</f>
        <v>1</v>
      </c>
      <c r="AE25" s="443">
        <f>SUMIF('Mastersheet-Projects'!$B$41:$B$68,$C25,'Mastersheet-Projects'!AA$41:AA$68)/45</f>
        <v>1</v>
      </c>
      <c r="AF25" s="443">
        <f>SUMIF('Mastersheet-Projects'!$B$41:$B$68,$C25,'Mastersheet-Projects'!AB$41:AB$68)/45</f>
        <v>1</v>
      </c>
      <c r="AG25" s="450">
        <f>SUMIF('Mastersheet-Projects'!$B$41:$B$68,$C25,'Mastersheet-Projects'!AC$41:AC$68)/45</f>
        <v>1</v>
      </c>
      <c r="AH25" s="443">
        <f>SUMIF('Mastersheet-Projects'!$B$41:$B$68,$C25,'Mastersheet-Projects'!AD$41:AD$68)/45</f>
        <v>1</v>
      </c>
      <c r="AI25" s="443">
        <f>SUMIF('Mastersheet-Projects'!$B$41:$B$68,$C25,'Mastersheet-Projects'!AE$41:AE$68)/45</f>
        <v>0</v>
      </c>
      <c r="AJ25" s="443">
        <f>SUMIF('Mastersheet-Projects'!$B$41:$B$68,$C25,'Mastersheet-Projects'!AF$41:AF$68)/45</f>
        <v>0</v>
      </c>
      <c r="AK25" s="443">
        <f>SUMIF('Mastersheet-Projects'!$B$41:$B$68,$C25,'Mastersheet-Projects'!AG$41:AG$68)/45</f>
        <v>0</v>
      </c>
      <c r="AL25" s="443">
        <f>SUMIF('Mastersheet-Projects'!$B$41:$B$68,$C25,'Mastersheet-Projects'!AH$41:AH$68)/45</f>
        <v>1</v>
      </c>
      <c r="AM25" s="443">
        <f>SUMIF('Mastersheet-Projects'!$B$41:$B$68,$C25,'Mastersheet-Projects'!AI$41:AI$68)/45</f>
        <v>1</v>
      </c>
      <c r="AN25" s="443">
        <f>SUMIF('Mastersheet-Projects'!$B$41:$B$68,$C25,'Mastersheet-Projects'!AJ$41:AJ$68)/45</f>
        <v>1</v>
      </c>
      <c r="AO25" s="443">
        <f>SUMIF('Mastersheet-Projects'!$B$41:$B$68,$C25,'Mastersheet-Projects'!AK$41:AK$68)/45</f>
        <v>1</v>
      </c>
      <c r="AP25" s="443">
        <f>SUMIF('Mastersheet-Projects'!$B$41:$B$68,$C25,'Mastersheet-Projects'!AL$41:AL$68)/45</f>
        <v>1</v>
      </c>
      <c r="AQ25" s="443">
        <f>SUMIF('Mastersheet-Projects'!$B$41:$B$68,$C25,'Mastersheet-Projects'!AM$41:AM$68)/45</f>
        <v>1</v>
      </c>
      <c r="AR25" s="443">
        <f>SUMIF('Mastersheet-Projects'!$B$41:$B$68,$C25,'Mastersheet-Projects'!AN$41:AN$68)/45</f>
        <v>1</v>
      </c>
      <c r="AS25" s="443">
        <f>SUMIF('Mastersheet-Projects'!$B$41:$B$68,$C25,'Mastersheet-Projects'!AO$41:AO$68)/45</f>
        <v>1</v>
      </c>
      <c r="AT25" s="443">
        <f>SUMIF('Mastersheet-Projects'!$B$41:$B$68,$C25,'Mastersheet-Projects'!AP$41:AP$68)/45</f>
        <v>1</v>
      </c>
      <c r="AU25" s="443">
        <f>SUMIF('Mastersheet-Projects'!$B$41:$B$68,$C25,'Mastersheet-Projects'!AQ$41:AQ$68)/45</f>
        <v>1</v>
      </c>
      <c r="AV25" s="443">
        <f>SUMIF('Mastersheet-Projects'!$B$41:$B$68,$C25,'Mastersheet-Projects'!AR$41:AR$68)/45</f>
        <v>1</v>
      </c>
      <c r="AW25" s="443">
        <f>SUMIF('Mastersheet-Projects'!$B$41:$B$68,$C25,'Mastersheet-Projects'!AS$41:AS$68)/45</f>
        <v>0</v>
      </c>
      <c r="AX25" s="443">
        <f>SUMIF('Mastersheet-Projects'!$B$41:$B$68,$C25,'Mastersheet-Projects'!AT$41:AT$68)/45</f>
        <v>0</v>
      </c>
      <c r="AY25" s="443">
        <f>SUMIF('Mastersheet-Projects'!$B$41:$B$68,$C25,'Mastersheet-Projects'!AU$41:AU$68)/45</f>
        <v>0</v>
      </c>
      <c r="AZ25" s="443">
        <f>SUMIF('Mastersheet-Projects'!$B$41:$B$68,$C25,'Mastersheet-Projects'!AV$41:AV$68)/45</f>
        <v>0</v>
      </c>
      <c r="BA25" s="443">
        <f>SUMIF('Mastersheet-Projects'!$B$41:$B$68,$C25,'Mastersheet-Projects'!AW$41:AW$68)/45</f>
        <v>0</v>
      </c>
      <c r="BB25" s="443">
        <f>SUMIF('Mastersheet-Projects'!$B$41:$B$68,$C25,'Mastersheet-Projects'!AX$41:AX$68)/45</f>
        <v>0</v>
      </c>
      <c r="BC25" s="443">
        <f>SUMIF('Mastersheet-Projects'!$B$41:$B$68,$C25,'Mastersheet-Projects'!AY$41:AY$68)/45</f>
        <v>0</v>
      </c>
      <c r="BD25" s="443">
        <f>SUMIF('Mastersheet-Projects'!$B$41:$B$68,$C25,'Mastersheet-Projects'!AZ$41:AZ$68)/45</f>
        <v>0</v>
      </c>
      <c r="BE25" s="443">
        <f>SUMIF('Mastersheet-Projects'!$B$41:$B$68,$C25,'Mastersheet-Projects'!BA$41:BA$68)/45</f>
        <v>0</v>
      </c>
      <c r="BF25" s="443">
        <f>SUMIF('Mastersheet-Projects'!$B$41:$B$68,$C25,'Mastersheet-Projects'!BB$41:BB$68)/45</f>
        <v>0</v>
      </c>
      <c r="BG25" s="443">
        <f>SUMIF('Mastersheet-Projects'!$B$41:$B$68,$C25,'Mastersheet-Projects'!BC$41:BC$68)/45</f>
        <v>0</v>
      </c>
    </row>
    <row r="26" spans="1:59" s="420" customFormat="1" ht="18.600000000000001">
      <c r="A26" s="419">
        <v>13</v>
      </c>
      <c r="B26" s="501"/>
      <c r="C26" s="505" t="s">
        <v>331</v>
      </c>
      <c r="D26" s="467" t="s">
        <v>332</v>
      </c>
      <c r="E26" s="535">
        <v>1</v>
      </c>
      <c r="F26" s="513">
        <v>2</v>
      </c>
      <c r="G26" s="543">
        <v>1</v>
      </c>
      <c r="H26" s="524">
        <f t="shared" si="33"/>
        <v>0.53333333333333321</v>
      </c>
      <c r="I26" s="442">
        <f>SUMIF('Mastersheet-Projects'!$B$41:$B$68,$C26,'Mastersheet-Projects'!E$41:E$68)/45</f>
        <v>0</v>
      </c>
      <c r="J26" s="442">
        <f>SUMIF('Mastersheet-Projects'!$B$41:$B$68,$C26,'Mastersheet-Projects'!F$41:F$68)/45</f>
        <v>0</v>
      </c>
      <c r="K26" s="442">
        <f>SUMIF('Mastersheet-Projects'!$B$41:$B$68,$C26,'Mastersheet-Projects'!G$41:G$68)/45</f>
        <v>0</v>
      </c>
      <c r="L26" s="442">
        <f>SUMIF('Mastersheet-Projects'!$B$41:$B$68,$C26,'Mastersheet-Projects'!H$41:H$68)/45</f>
        <v>0</v>
      </c>
      <c r="M26" s="454">
        <f>SUMIF('Mastersheet-Projects'!$B$41:$B$68,$C26,'Mastersheet-Projects'!I$41:I$68)/45</f>
        <v>0</v>
      </c>
      <c r="N26" s="442">
        <f>SUMIF('Mastersheet-Projects'!$B$41:$B$68,$C26,'Mastersheet-Projects'!J$41:J$68)/45</f>
        <v>0</v>
      </c>
      <c r="O26" s="442">
        <f>SUMIF('Mastersheet-Projects'!$B$41:$B$68,$C26,'Mastersheet-Projects'!K$41:K$68)/45</f>
        <v>0</v>
      </c>
      <c r="P26" s="442">
        <f>SUMIF('Mastersheet-Projects'!$B$41:$B$68,$C26,'Mastersheet-Projects'!L$41:L$68)/45</f>
        <v>0</v>
      </c>
      <c r="Q26" s="455">
        <f>SUMIF('Mastersheet-Projects'!$B$41:$B$68,$C26,'Mastersheet-Projects'!M$41:M$68)/45</f>
        <v>0</v>
      </c>
      <c r="R26" s="442">
        <f>SUMIF('Mastersheet-Projects'!$B$41:$B$68,$C26,'Mastersheet-Projects'!N$41:N$68)/45</f>
        <v>0</v>
      </c>
      <c r="S26" s="442">
        <f>SUMIF('Mastersheet-Projects'!$B$41:$B$68,$C26,'Mastersheet-Projects'!O$41:O$68)/45</f>
        <v>0.4</v>
      </c>
      <c r="T26" s="442">
        <f>SUMIF('Mastersheet-Projects'!$B$41:$B$68,$C26,'Mastersheet-Projects'!P$41:P$68)/45</f>
        <v>0.2</v>
      </c>
      <c r="U26" s="442">
        <f>SUMIF('Mastersheet-Projects'!$B$41:$B$68,$C26,'Mastersheet-Projects'!Q$41:Q$68)/45</f>
        <v>0.2</v>
      </c>
      <c r="V26" s="442">
        <f>SUMIF('Mastersheet-Projects'!$B$41:$B$68,$C26,'Mastersheet-Projects'!R$41:R$68)/45</f>
        <v>0.2</v>
      </c>
      <c r="W26" s="454">
        <f>SUMIF('Mastersheet-Projects'!$B$41:$B$68,$C26,'Mastersheet-Projects'!S$41:S$68)/45</f>
        <v>0.2</v>
      </c>
      <c r="X26" s="442">
        <f>SUMIF('Mastersheet-Projects'!$B$41:$B$68,$C26,'Mastersheet-Projects'!T$41:T$68)/45</f>
        <v>0.6</v>
      </c>
      <c r="Y26" s="442">
        <f>SUMIF('Mastersheet-Projects'!$B$41:$B$68,$C26,'Mastersheet-Projects'!U$41:U$68)/45</f>
        <v>0.6</v>
      </c>
      <c r="Z26" s="442">
        <f>SUMIF('Mastersheet-Projects'!$B$41:$B$68,$C26,'Mastersheet-Projects'!V$41:V$68)/45</f>
        <v>0.6</v>
      </c>
      <c r="AA26" s="455">
        <f>SUMIF('Mastersheet-Projects'!$B$41:$B$68,$C26,'Mastersheet-Projects'!W$41:W$68)/45</f>
        <v>0.6</v>
      </c>
      <c r="AB26" s="442">
        <f>SUMIF('Mastersheet-Projects'!$B$41:$B$68,$C26,'Mastersheet-Projects'!X$41:X$68)/45</f>
        <v>0.6</v>
      </c>
      <c r="AC26" s="442">
        <f>SUMIF('Mastersheet-Projects'!$B$41:$B$68,$C26,'Mastersheet-Projects'!Y$41:Y$68)/45</f>
        <v>0.6</v>
      </c>
      <c r="AD26" s="442">
        <f>SUMIF('Mastersheet-Projects'!$B$41:$B$68,$C26,'Mastersheet-Projects'!Z$41:Z$68)/45</f>
        <v>0.6</v>
      </c>
      <c r="AE26" s="442">
        <f>SUMIF('Mastersheet-Projects'!$B$41:$B$68,$C26,'Mastersheet-Projects'!AA$41:AA$68)/45</f>
        <v>0.6</v>
      </c>
      <c r="AF26" s="442">
        <f>SUMIF('Mastersheet-Projects'!$B$41:$B$68,$C26,'Mastersheet-Projects'!AB$41:AB$68)/45</f>
        <v>0.6</v>
      </c>
      <c r="AG26" s="454">
        <f>SUMIF('Mastersheet-Projects'!$B$41:$B$68,$C26,'Mastersheet-Projects'!AC$41:AC$68)/45</f>
        <v>0.6</v>
      </c>
      <c r="AH26" s="442">
        <f>SUMIF('Mastersheet-Projects'!$B$41:$B$68,$C26,'Mastersheet-Projects'!AD$41:AD$68)/45</f>
        <v>0.6</v>
      </c>
      <c r="AI26" s="442">
        <f>SUMIF('Mastersheet-Projects'!$B$41:$B$68,$C26,'Mastersheet-Projects'!AE$41:AE$68)/45</f>
        <v>0</v>
      </c>
      <c r="AJ26" s="442">
        <f>SUMIF('Mastersheet-Projects'!$B$41:$B$68,$C26,'Mastersheet-Projects'!AF$41:AF$68)/45</f>
        <v>0</v>
      </c>
      <c r="AK26" s="442">
        <f>SUMIF('Mastersheet-Projects'!$B$41:$B$68,$C26,'Mastersheet-Projects'!AG$41:AG$68)/45</f>
        <v>0.6</v>
      </c>
      <c r="AL26" s="442">
        <f>SUMIF('Mastersheet-Projects'!$B$41:$B$68,$C26,'Mastersheet-Projects'!AH$41:AH$68)/45</f>
        <v>0.6</v>
      </c>
      <c r="AM26" s="442">
        <f>SUMIF('Mastersheet-Projects'!$B$41:$B$68,$C26,'Mastersheet-Projects'!AI$41:AI$68)/45</f>
        <v>0.6</v>
      </c>
      <c r="AN26" s="442">
        <f>SUMIF('Mastersheet-Projects'!$B$41:$B$68,$C26,'Mastersheet-Projects'!AJ$41:AJ$68)/45</f>
        <v>0.6</v>
      </c>
      <c r="AO26" s="442">
        <f>SUMIF('Mastersheet-Projects'!$B$41:$B$68,$C26,'Mastersheet-Projects'!AK$41:AK$68)/45</f>
        <v>0.6</v>
      </c>
      <c r="AP26" s="442">
        <f>SUMIF('Mastersheet-Projects'!$B$41:$B$68,$C26,'Mastersheet-Projects'!AL$41:AL$68)/45</f>
        <v>0.6</v>
      </c>
      <c r="AQ26" s="442">
        <f>SUMIF('Mastersheet-Projects'!$B$41:$B$68,$C26,'Mastersheet-Projects'!AM$41:AM$68)/45</f>
        <v>0.6</v>
      </c>
      <c r="AR26" s="442">
        <f>SUMIF('Mastersheet-Projects'!$B$41:$B$68,$C26,'Mastersheet-Projects'!AN$41:AN$68)/45</f>
        <v>0.6</v>
      </c>
      <c r="AS26" s="442">
        <f>SUMIF('Mastersheet-Projects'!$B$41:$B$68,$C26,'Mastersheet-Projects'!AO$41:AO$68)/45</f>
        <v>0.6</v>
      </c>
      <c r="AT26" s="442">
        <f>SUMIF('Mastersheet-Projects'!$B$41:$B$68,$C26,'Mastersheet-Projects'!AP$41:AP$68)/45</f>
        <v>0.6</v>
      </c>
      <c r="AU26" s="442">
        <f>SUMIF('Mastersheet-Projects'!$B$41:$B$68,$C26,'Mastersheet-Projects'!AQ$41:AQ$68)/45</f>
        <v>0.6</v>
      </c>
      <c r="AV26" s="442">
        <f>SUMIF('Mastersheet-Projects'!$B$41:$B$68,$C26,'Mastersheet-Projects'!AR$41:AR$68)/45</f>
        <v>0.6</v>
      </c>
      <c r="AW26" s="442">
        <f>SUMIF('Mastersheet-Projects'!$B$41:$B$68,$C26,'Mastersheet-Projects'!AS$41:AS$68)/45</f>
        <v>0</v>
      </c>
      <c r="AX26" s="442">
        <f>SUMIF('Mastersheet-Projects'!$B$41:$B$68,$C26,'Mastersheet-Projects'!AT$41:AT$68)/45</f>
        <v>0</v>
      </c>
      <c r="AY26" s="442">
        <f>SUMIF('Mastersheet-Projects'!$B$41:$B$68,$C26,'Mastersheet-Projects'!AU$41:AU$68)/45</f>
        <v>0</v>
      </c>
      <c r="AZ26" s="442">
        <f>SUMIF('Mastersheet-Projects'!$B$41:$B$68,$C26,'Mastersheet-Projects'!AV$41:AV$68)/45</f>
        <v>0</v>
      </c>
      <c r="BA26" s="442">
        <f>SUMIF('Mastersheet-Projects'!$B$41:$B$68,$C26,'Mastersheet-Projects'!AW$41:AW$68)/45</f>
        <v>0</v>
      </c>
      <c r="BB26" s="442">
        <f>SUMIF('Mastersheet-Projects'!$B$41:$B$68,$C26,'Mastersheet-Projects'!AX$41:AX$68)/45</f>
        <v>0</v>
      </c>
      <c r="BC26" s="442">
        <f>SUMIF('Mastersheet-Projects'!$B$41:$B$68,$C26,'Mastersheet-Projects'!AY$41:AY$68)/45</f>
        <v>0</v>
      </c>
      <c r="BD26" s="442">
        <f>SUMIF('Mastersheet-Projects'!$B$41:$B$68,$C26,'Mastersheet-Projects'!AZ$41:AZ$68)/45</f>
        <v>0</v>
      </c>
      <c r="BE26" s="442">
        <f>SUMIF('Mastersheet-Projects'!$B$41:$B$68,$C26,'Mastersheet-Projects'!BA$41:BA$68)/45</f>
        <v>0</v>
      </c>
      <c r="BF26" s="442">
        <f>SUMIF('Mastersheet-Projects'!$B$41:$B$68,$C26,'Mastersheet-Projects'!BB$41:BB$68)/45</f>
        <v>0</v>
      </c>
      <c r="BG26" s="442">
        <f>SUMIF('Mastersheet-Projects'!$B$41:$B$68,$C26,'Mastersheet-Projects'!BC$41:BC$68)/45</f>
        <v>0</v>
      </c>
    </row>
    <row r="27" spans="1:59" s="420" customFormat="1" ht="18.600000000000001">
      <c r="A27" s="419">
        <v>10</v>
      </c>
      <c r="B27" s="501"/>
      <c r="C27" s="506" t="s">
        <v>333</v>
      </c>
      <c r="D27" s="466" t="s">
        <v>334</v>
      </c>
      <c r="E27" s="536">
        <v>13</v>
      </c>
      <c r="F27" s="514">
        <v>20</v>
      </c>
      <c r="G27" s="544">
        <v>12</v>
      </c>
      <c r="H27" s="525">
        <f t="shared" si="33"/>
        <v>2.3333333333333335</v>
      </c>
      <c r="I27" s="433">
        <f>SUMIF('Mastersheet-Projects'!$B$41:$B$68,$C27,'Mastersheet-Projects'!E$41:E$68)/45</f>
        <v>0</v>
      </c>
      <c r="J27" s="433">
        <f>SUMIF('Mastersheet-Projects'!$B$41:$B$68,$C27,'Mastersheet-Projects'!F$41:F$68)/45</f>
        <v>0</v>
      </c>
      <c r="K27" s="433">
        <f>SUMIF('Mastersheet-Projects'!$B$41:$B$68,$C27,'Mastersheet-Projects'!G$41:G$68)/45</f>
        <v>0</v>
      </c>
      <c r="L27" s="433">
        <f>SUMIF('Mastersheet-Projects'!$B$41:$B$68,$C27,'Mastersheet-Projects'!H$41:H$68)/45</f>
        <v>0</v>
      </c>
      <c r="M27" s="448">
        <f>SUMIF('Mastersheet-Projects'!$B$41:$B$68,$C27,'Mastersheet-Projects'!I$41:I$68)/45</f>
        <v>0</v>
      </c>
      <c r="N27" s="433">
        <f>SUMIF('Mastersheet-Projects'!$B$41:$B$68,$C27,'Mastersheet-Projects'!J$41:J$68)/45</f>
        <v>0</v>
      </c>
      <c r="O27" s="433">
        <f>SUMIF('Mastersheet-Projects'!$B$41:$B$68,$C27,'Mastersheet-Projects'!K$41:K$68)/45</f>
        <v>0</v>
      </c>
      <c r="P27" s="433">
        <f>SUMIF('Mastersheet-Projects'!$B$41:$B$68,$C27,'Mastersheet-Projects'!L$41:L$68)/45</f>
        <v>0</v>
      </c>
      <c r="Q27" s="449">
        <f>SUMIF('Mastersheet-Projects'!$B$41:$B$68,$C27,'Mastersheet-Projects'!M$41:M$68)/45</f>
        <v>0</v>
      </c>
      <c r="R27" s="433">
        <f>SUMIF('Mastersheet-Projects'!$B$41:$B$68,$C27,'Mastersheet-Projects'!N$41:N$68)/45</f>
        <v>0</v>
      </c>
      <c r="S27" s="433">
        <f>SUMIF('Mastersheet-Projects'!$B$41:$B$68,$C27,'Mastersheet-Projects'!O$41:O$68)/45</f>
        <v>2</v>
      </c>
      <c r="T27" s="433">
        <f>SUMIF('Mastersheet-Projects'!$B$41:$B$68,$C27,'Mastersheet-Projects'!P$41:P$68)/45</f>
        <v>0.6</v>
      </c>
      <c r="U27" s="433">
        <f>SUMIF('Mastersheet-Projects'!$B$41:$B$68,$C27,'Mastersheet-Projects'!Q$41:Q$68)/45</f>
        <v>0.6</v>
      </c>
      <c r="V27" s="433">
        <f>SUMIF('Mastersheet-Projects'!$B$41:$B$68,$C27,'Mastersheet-Projects'!R$41:R$68)/45</f>
        <v>0.6</v>
      </c>
      <c r="W27" s="448">
        <f>SUMIF('Mastersheet-Projects'!$B$41:$B$68,$C27,'Mastersheet-Projects'!S$41:S$68)/45</f>
        <v>1</v>
      </c>
      <c r="X27" s="433">
        <f>SUMIF('Mastersheet-Projects'!$B$41:$B$68,$C27,'Mastersheet-Projects'!T$41:T$68)/45</f>
        <v>0</v>
      </c>
      <c r="Y27" s="433">
        <f>SUMIF('Mastersheet-Projects'!$B$41:$B$68,$C27,'Mastersheet-Projects'!U$41:U$68)/45</f>
        <v>3</v>
      </c>
      <c r="Z27" s="433">
        <f>SUMIF('Mastersheet-Projects'!$B$41:$B$68,$C27,'Mastersheet-Projects'!V$41:V$68)/45</f>
        <v>3</v>
      </c>
      <c r="AA27" s="449">
        <f>SUMIF('Mastersheet-Projects'!$B$41:$B$68,$C27,'Mastersheet-Projects'!W$41:W$68)/45</f>
        <v>3</v>
      </c>
      <c r="AB27" s="433">
        <f>SUMIF('Mastersheet-Projects'!$B$41:$B$68,$C27,'Mastersheet-Projects'!X$41:X$68)/45</f>
        <v>3</v>
      </c>
      <c r="AC27" s="433">
        <f>SUMIF('Mastersheet-Projects'!$B$41:$B$68,$C27,'Mastersheet-Projects'!Y$41:Y$68)/45</f>
        <v>3</v>
      </c>
      <c r="AD27" s="433">
        <f>SUMIF('Mastersheet-Projects'!$B$41:$B$68,$C27,'Mastersheet-Projects'!Z$41:Z$68)/45</f>
        <v>3</v>
      </c>
      <c r="AE27" s="433">
        <f>SUMIF('Mastersheet-Projects'!$B$41:$B$68,$C27,'Mastersheet-Projects'!AA$41:AA$68)/45</f>
        <v>3</v>
      </c>
      <c r="AF27" s="433">
        <f>SUMIF('Mastersheet-Projects'!$B$41:$B$68,$C27,'Mastersheet-Projects'!AB$41:AB$68)/45</f>
        <v>3</v>
      </c>
      <c r="AG27" s="448">
        <f>SUMIF('Mastersheet-Projects'!$B$41:$B$68,$C27,'Mastersheet-Projects'!AC$41:AC$68)/45</f>
        <v>3</v>
      </c>
      <c r="AH27" s="433">
        <f>SUMIF('Mastersheet-Projects'!$B$41:$B$68,$C27,'Mastersheet-Projects'!AD$41:AD$68)/45</f>
        <v>3</v>
      </c>
      <c r="AI27" s="433">
        <f>SUMIF('Mastersheet-Projects'!$B$41:$B$68,$C27,'Mastersheet-Projects'!AE$41:AE$68)/45</f>
        <v>0</v>
      </c>
      <c r="AJ27" s="433">
        <f>SUMIF('Mastersheet-Projects'!$B$41:$B$68,$C27,'Mastersheet-Projects'!AF$41:AF$68)/45</f>
        <v>0</v>
      </c>
      <c r="AK27" s="433">
        <f>SUMIF('Mastersheet-Projects'!$B$41:$B$68,$C27,'Mastersheet-Projects'!AG$41:AG$68)/45</f>
        <v>0</v>
      </c>
      <c r="AL27" s="433">
        <f>SUMIF('Mastersheet-Projects'!$B$41:$B$68,$C27,'Mastersheet-Projects'!AH$41:AH$68)/45</f>
        <v>3</v>
      </c>
      <c r="AM27" s="433">
        <f>SUMIF('Mastersheet-Projects'!$B$41:$B$68,$C27,'Mastersheet-Projects'!AI$41:AI$68)/45</f>
        <v>3</v>
      </c>
      <c r="AN27" s="433">
        <f>SUMIF('Mastersheet-Projects'!$B$41:$B$68,$C27,'Mastersheet-Projects'!AJ$41:AJ$68)/45</f>
        <v>3</v>
      </c>
      <c r="AO27" s="433">
        <f>SUMIF('Mastersheet-Projects'!$B$41:$B$68,$C27,'Mastersheet-Projects'!AK$41:AK$68)/45</f>
        <v>3</v>
      </c>
      <c r="AP27" s="433">
        <f>SUMIF('Mastersheet-Projects'!$B$41:$B$68,$C27,'Mastersheet-Projects'!AL$41:AL$68)/45</f>
        <v>3</v>
      </c>
      <c r="AQ27" s="433">
        <f>SUMIF('Mastersheet-Projects'!$B$41:$B$68,$C27,'Mastersheet-Projects'!AM$41:AM$68)/45</f>
        <v>3</v>
      </c>
      <c r="AR27" s="433">
        <f>SUMIF('Mastersheet-Projects'!$B$41:$B$68,$C27,'Mastersheet-Projects'!AN$41:AN$68)/45</f>
        <v>3</v>
      </c>
      <c r="AS27" s="433">
        <f>SUMIF('Mastersheet-Projects'!$B$41:$B$68,$C27,'Mastersheet-Projects'!AO$41:AO$68)/45</f>
        <v>3</v>
      </c>
      <c r="AT27" s="433">
        <f>SUMIF('Mastersheet-Projects'!$B$41:$B$68,$C27,'Mastersheet-Projects'!AP$41:AP$68)/45</f>
        <v>3</v>
      </c>
      <c r="AU27" s="433">
        <f>SUMIF('Mastersheet-Projects'!$B$41:$B$68,$C27,'Mastersheet-Projects'!AQ$41:AQ$68)/45</f>
        <v>3</v>
      </c>
      <c r="AV27" s="433">
        <f>SUMIF('Mastersheet-Projects'!$B$41:$B$68,$C27,'Mastersheet-Projects'!AR$41:AR$68)/45</f>
        <v>3</v>
      </c>
      <c r="AW27" s="433">
        <f>SUMIF('Mastersheet-Projects'!$B$41:$B$68,$C27,'Mastersheet-Projects'!AS$41:AS$68)/45</f>
        <v>0</v>
      </c>
      <c r="AX27" s="433">
        <f>SUMIF('Mastersheet-Projects'!$B$41:$B$68,$C27,'Mastersheet-Projects'!AT$41:AT$68)/45</f>
        <v>0</v>
      </c>
      <c r="AY27" s="433">
        <f>SUMIF('Mastersheet-Projects'!$B$41:$B$68,$C27,'Mastersheet-Projects'!AU$41:AU$68)/45</f>
        <v>0</v>
      </c>
      <c r="AZ27" s="433">
        <f>SUMIF('Mastersheet-Projects'!$B$41:$B$68,$C27,'Mastersheet-Projects'!AV$41:AV$68)/45</f>
        <v>0</v>
      </c>
      <c r="BA27" s="433">
        <f>SUMIF('Mastersheet-Projects'!$B$41:$B$68,$C27,'Mastersheet-Projects'!AW$41:AW$68)/45</f>
        <v>0</v>
      </c>
      <c r="BB27" s="433">
        <f>SUMIF('Mastersheet-Projects'!$B$41:$B$68,$C27,'Mastersheet-Projects'!AX$41:AX$68)/45</f>
        <v>0</v>
      </c>
      <c r="BC27" s="433">
        <f>SUMIF('Mastersheet-Projects'!$B$41:$B$68,$C27,'Mastersheet-Projects'!AY$41:AY$68)/45</f>
        <v>0</v>
      </c>
      <c r="BD27" s="433">
        <f>SUMIF('Mastersheet-Projects'!$B$41:$B$68,$C27,'Mastersheet-Projects'!AZ$41:AZ$68)/45</f>
        <v>0</v>
      </c>
      <c r="BE27" s="433">
        <f>SUMIF('Mastersheet-Projects'!$B$41:$B$68,$C27,'Mastersheet-Projects'!BA$41:BA$68)/45</f>
        <v>0</v>
      </c>
      <c r="BF27" s="433">
        <f>SUMIF('Mastersheet-Projects'!$B$41:$B$68,$C27,'Mastersheet-Projects'!BB$41:BB$68)/45</f>
        <v>0</v>
      </c>
      <c r="BG27" s="433">
        <f>SUMIF('Mastersheet-Projects'!$B$41:$B$68,$C27,'Mastersheet-Projects'!BC$41:BC$68)/45</f>
        <v>0</v>
      </c>
    </row>
    <row r="28" spans="1:59" s="420" customFormat="1" ht="18.95" thickBot="1">
      <c r="A28" s="419">
        <v>15</v>
      </c>
      <c r="B28" s="502"/>
      <c r="C28" s="508" t="s">
        <v>335</v>
      </c>
      <c r="D28" s="468" t="s">
        <v>336</v>
      </c>
      <c r="E28" s="537">
        <v>2</v>
      </c>
      <c r="F28" s="515">
        <v>2</v>
      </c>
      <c r="G28" s="545">
        <v>1</v>
      </c>
      <c r="H28" s="526">
        <f t="shared" si="33"/>
        <v>0.77777777777777779</v>
      </c>
      <c r="I28" s="443">
        <f>SUMIF('Mastersheet-Projects'!$B$41:$B$68,$C28,'Mastersheet-Projects'!E$41:E$68)/45</f>
        <v>0</v>
      </c>
      <c r="J28" s="443">
        <f>SUMIF('Mastersheet-Projects'!$B$41:$B$68,$C28,'Mastersheet-Projects'!F$41:F$68)/45</f>
        <v>0</v>
      </c>
      <c r="K28" s="443">
        <f>SUMIF('Mastersheet-Projects'!$B$41:$B$68,$C28,'Mastersheet-Projects'!G$41:G$68)/45</f>
        <v>0</v>
      </c>
      <c r="L28" s="443">
        <f>SUMIF('Mastersheet-Projects'!$B$41:$B$68,$C28,'Mastersheet-Projects'!H$41:H$68)/45</f>
        <v>0</v>
      </c>
      <c r="M28" s="450">
        <f>SUMIF('Mastersheet-Projects'!$B$41:$B$68,$C28,'Mastersheet-Projects'!I$41:I$68)/45</f>
        <v>0</v>
      </c>
      <c r="N28" s="443">
        <f>SUMIF('Mastersheet-Projects'!$B$41:$B$68,$C28,'Mastersheet-Projects'!J$41:J$68)/45</f>
        <v>0</v>
      </c>
      <c r="O28" s="443">
        <f>SUMIF('Mastersheet-Projects'!$B$41:$B$68,$C28,'Mastersheet-Projects'!K$41:K$68)/45</f>
        <v>0</v>
      </c>
      <c r="P28" s="443">
        <f>SUMIF('Mastersheet-Projects'!$B$41:$B$68,$C28,'Mastersheet-Projects'!L$41:L$68)/45</f>
        <v>0</v>
      </c>
      <c r="Q28" s="451">
        <f>SUMIF('Mastersheet-Projects'!$B$41:$B$68,$C28,'Mastersheet-Projects'!M$41:M$68)/45</f>
        <v>0</v>
      </c>
      <c r="R28" s="443">
        <f>SUMIF('Mastersheet-Projects'!$B$41:$B$68,$C28,'Mastersheet-Projects'!N$41:N$68)/45</f>
        <v>0</v>
      </c>
      <c r="S28" s="443">
        <f>SUMIF('Mastersheet-Projects'!$B$41:$B$68,$C28,'Mastersheet-Projects'!O$41:O$68)/45</f>
        <v>0</v>
      </c>
      <c r="T28" s="443">
        <f>SUMIF('Mastersheet-Projects'!$B$41:$B$68,$C28,'Mastersheet-Projects'!P$41:P$68)/45</f>
        <v>0</v>
      </c>
      <c r="U28" s="443">
        <f>SUMIF('Mastersheet-Projects'!$B$41:$B$68,$C28,'Mastersheet-Projects'!Q$41:Q$68)/45</f>
        <v>0</v>
      </c>
      <c r="V28" s="443">
        <f>SUMIF('Mastersheet-Projects'!$B$41:$B$68,$C28,'Mastersheet-Projects'!R$41:R$68)/45</f>
        <v>0</v>
      </c>
      <c r="W28" s="450">
        <f>SUMIF('Mastersheet-Projects'!$B$41:$B$68,$C28,'Mastersheet-Projects'!S$41:S$68)/45</f>
        <v>0</v>
      </c>
      <c r="X28" s="443">
        <f>SUMIF('Mastersheet-Projects'!$B$41:$B$68,$C28,'Mastersheet-Projects'!T$41:T$68)/45</f>
        <v>0</v>
      </c>
      <c r="Y28" s="443">
        <f>SUMIF('Mastersheet-Projects'!$B$41:$B$68,$C28,'Mastersheet-Projects'!U$41:U$68)/45</f>
        <v>1</v>
      </c>
      <c r="Z28" s="443">
        <f>SUMIF('Mastersheet-Projects'!$B$41:$B$68,$C28,'Mastersheet-Projects'!V$41:V$68)/45</f>
        <v>1</v>
      </c>
      <c r="AA28" s="451">
        <f>SUMIF('Mastersheet-Projects'!$B$41:$B$68,$C28,'Mastersheet-Projects'!W$41:W$68)/45</f>
        <v>1</v>
      </c>
      <c r="AB28" s="443">
        <f>SUMIF('Mastersheet-Projects'!$B$41:$B$68,$C28,'Mastersheet-Projects'!X$41:X$68)/45</f>
        <v>1</v>
      </c>
      <c r="AC28" s="443">
        <f>SUMIF('Mastersheet-Projects'!$B$41:$B$68,$C28,'Mastersheet-Projects'!Y$41:Y$68)/45</f>
        <v>1</v>
      </c>
      <c r="AD28" s="443">
        <f>SUMIF('Mastersheet-Projects'!$B$41:$B$68,$C28,'Mastersheet-Projects'!Z$41:Z$68)/45</f>
        <v>1</v>
      </c>
      <c r="AE28" s="443">
        <f>SUMIF('Mastersheet-Projects'!$B$41:$B$68,$C28,'Mastersheet-Projects'!AA$41:AA$68)/45</f>
        <v>1</v>
      </c>
      <c r="AF28" s="443">
        <f>SUMIF('Mastersheet-Projects'!$B$41:$B$68,$C28,'Mastersheet-Projects'!AB$41:AB$68)/45</f>
        <v>1</v>
      </c>
      <c r="AG28" s="450">
        <f>SUMIF('Mastersheet-Projects'!$B$41:$B$68,$C28,'Mastersheet-Projects'!AC$41:AC$68)/45</f>
        <v>1</v>
      </c>
      <c r="AH28" s="443">
        <f>SUMIF('Mastersheet-Projects'!$B$41:$B$68,$C28,'Mastersheet-Projects'!AD$41:AD$68)/45</f>
        <v>1</v>
      </c>
      <c r="AI28" s="443">
        <f>SUMIF('Mastersheet-Projects'!$B$41:$B$68,$C28,'Mastersheet-Projects'!AE$41:AE$68)/45</f>
        <v>0</v>
      </c>
      <c r="AJ28" s="443">
        <f>SUMIF('Mastersheet-Projects'!$B$41:$B$68,$C28,'Mastersheet-Projects'!AF$41:AF$68)/45</f>
        <v>0</v>
      </c>
      <c r="AK28" s="443">
        <f>SUMIF('Mastersheet-Projects'!$B$41:$B$68,$C28,'Mastersheet-Projects'!AG$41:AG$68)/45</f>
        <v>0</v>
      </c>
      <c r="AL28" s="443">
        <f>SUMIF('Mastersheet-Projects'!$B$41:$B$68,$C28,'Mastersheet-Projects'!AH$41:AH$68)/45</f>
        <v>1</v>
      </c>
      <c r="AM28" s="443">
        <f>SUMIF('Mastersheet-Projects'!$B$41:$B$68,$C28,'Mastersheet-Projects'!AI$41:AI$68)/45</f>
        <v>1</v>
      </c>
      <c r="AN28" s="443">
        <f>SUMIF('Mastersheet-Projects'!$B$41:$B$68,$C28,'Mastersheet-Projects'!AJ$41:AJ$68)/45</f>
        <v>1</v>
      </c>
      <c r="AO28" s="443">
        <f>SUMIF('Mastersheet-Projects'!$B$41:$B$68,$C28,'Mastersheet-Projects'!AK$41:AK$68)/45</f>
        <v>1</v>
      </c>
      <c r="AP28" s="443">
        <f>SUMIF('Mastersheet-Projects'!$B$41:$B$68,$C28,'Mastersheet-Projects'!AL$41:AL$68)/45</f>
        <v>1</v>
      </c>
      <c r="AQ28" s="443">
        <f>SUMIF('Mastersheet-Projects'!$B$41:$B$68,$C28,'Mastersheet-Projects'!AM$41:AM$68)/45</f>
        <v>1</v>
      </c>
      <c r="AR28" s="443">
        <f>SUMIF('Mastersheet-Projects'!$B$41:$B$68,$C28,'Mastersheet-Projects'!AN$41:AN$68)/45</f>
        <v>1</v>
      </c>
      <c r="AS28" s="443">
        <f>SUMIF('Mastersheet-Projects'!$B$41:$B$68,$C28,'Mastersheet-Projects'!AO$41:AO$68)/45</f>
        <v>1</v>
      </c>
      <c r="AT28" s="443">
        <f>SUMIF('Mastersheet-Projects'!$B$41:$B$68,$C28,'Mastersheet-Projects'!AP$41:AP$68)/45</f>
        <v>1</v>
      </c>
      <c r="AU28" s="443">
        <f>SUMIF('Mastersheet-Projects'!$B$41:$B$68,$C28,'Mastersheet-Projects'!AQ$41:AQ$68)/45</f>
        <v>1</v>
      </c>
      <c r="AV28" s="443">
        <f>SUMIF('Mastersheet-Projects'!$B$41:$B$68,$C28,'Mastersheet-Projects'!AR$41:AR$68)/45</f>
        <v>1</v>
      </c>
      <c r="AW28" s="443">
        <f>SUMIF('Mastersheet-Projects'!$B$41:$B$68,$C28,'Mastersheet-Projects'!AS$41:AS$68)/45</f>
        <v>0</v>
      </c>
      <c r="AX28" s="443">
        <f>SUMIF('Mastersheet-Projects'!$B$41:$B$68,$C28,'Mastersheet-Projects'!AT$41:AT$68)/45</f>
        <v>0</v>
      </c>
      <c r="AY28" s="443">
        <f>SUMIF('Mastersheet-Projects'!$B$41:$B$68,$C28,'Mastersheet-Projects'!AU$41:AU$68)/45</f>
        <v>0</v>
      </c>
      <c r="AZ28" s="443">
        <f>SUMIF('Mastersheet-Projects'!$B$41:$B$68,$C28,'Mastersheet-Projects'!AV$41:AV$68)/45</f>
        <v>0</v>
      </c>
      <c r="BA28" s="443">
        <f>SUMIF('Mastersheet-Projects'!$B$41:$B$68,$C28,'Mastersheet-Projects'!AW$41:AW$68)/45</f>
        <v>0</v>
      </c>
      <c r="BB28" s="443">
        <f>SUMIF('Mastersheet-Projects'!$B$41:$B$68,$C28,'Mastersheet-Projects'!AX$41:AX$68)/45</f>
        <v>0</v>
      </c>
      <c r="BC28" s="443">
        <f>SUMIF('Mastersheet-Projects'!$B$41:$B$68,$C28,'Mastersheet-Projects'!AY$41:AY$68)/45</f>
        <v>0</v>
      </c>
      <c r="BD28" s="443">
        <f>SUMIF('Mastersheet-Projects'!$B$41:$B$68,$C28,'Mastersheet-Projects'!AZ$41:AZ$68)/45</f>
        <v>0</v>
      </c>
      <c r="BE28" s="443">
        <f>SUMIF('Mastersheet-Projects'!$B$41:$B$68,$C28,'Mastersheet-Projects'!BA$41:BA$68)/45</f>
        <v>0</v>
      </c>
      <c r="BF28" s="443">
        <f>SUMIF('Mastersheet-Projects'!$B$41:$B$68,$C28,'Mastersheet-Projects'!BB$41:BB$68)/45</f>
        <v>0</v>
      </c>
      <c r="BG28" s="443">
        <f>SUMIF('Mastersheet-Projects'!$B$41:$B$68,$C28,'Mastersheet-Projects'!BC$41:BC$68)/45</f>
        <v>0</v>
      </c>
    </row>
    <row r="29" spans="1:59">
      <c r="E29" s="426">
        <f t="shared" ref="E29:AJ29" si="34">SUM(E5:E28)</f>
        <v>75</v>
      </c>
      <c r="F29" s="426">
        <f t="shared" si="34"/>
        <v>100</v>
      </c>
      <c r="G29" s="548">
        <f t="shared" si="34"/>
        <v>70</v>
      </c>
      <c r="H29" s="529">
        <f t="shared" si="34"/>
        <v>16.677777777777781</v>
      </c>
      <c r="I29" s="441">
        <f t="shared" si="34"/>
        <v>0</v>
      </c>
      <c r="J29" s="441">
        <f t="shared" si="34"/>
        <v>0</v>
      </c>
      <c r="K29" s="441">
        <f t="shared" si="34"/>
        <v>0</v>
      </c>
      <c r="L29" s="441">
        <f t="shared" si="34"/>
        <v>0</v>
      </c>
      <c r="M29" s="441">
        <f t="shared" si="34"/>
        <v>0</v>
      </c>
      <c r="N29" s="441">
        <f t="shared" si="34"/>
        <v>0</v>
      </c>
      <c r="O29" s="441">
        <f t="shared" si="34"/>
        <v>0</v>
      </c>
      <c r="P29" s="441">
        <f t="shared" si="34"/>
        <v>0</v>
      </c>
      <c r="Q29" s="441">
        <f t="shared" si="34"/>
        <v>0</v>
      </c>
      <c r="R29" s="441">
        <f t="shared" si="34"/>
        <v>0</v>
      </c>
      <c r="S29" s="441">
        <f t="shared" si="34"/>
        <v>11.600000000000001</v>
      </c>
      <c r="T29" s="441">
        <f t="shared" si="34"/>
        <v>5.8</v>
      </c>
      <c r="U29" s="441">
        <f t="shared" si="34"/>
        <v>5.2</v>
      </c>
      <c r="V29" s="441">
        <f t="shared" si="34"/>
        <v>5.2</v>
      </c>
      <c r="W29" s="441">
        <f t="shared" si="34"/>
        <v>7.4</v>
      </c>
      <c r="X29" s="441">
        <f t="shared" si="34"/>
        <v>7.9999999999999991</v>
      </c>
      <c r="Y29" s="441">
        <f t="shared" si="34"/>
        <v>19.799999999999997</v>
      </c>
      <c r="Z29" s="441">
        <f t="shared" si="34"/>
        <v>19.799999999999997</v>
      </c>
      <c r="AA29" s="441">
        <f t="shared" si="34"/>
        <v>19.799999999999997</v>
      </c>
      <c r="AB29" s="441">
        <f t="shared" si="34"/>
        <v>20</v>
      </c>
      <c r="AC29" s="441">
        <f t="shared" si="34"/>
        <v>20</v>
      </c>
      <c r="AD29" s="441">
        <f t="shared" si="34"/>
        <v>20</v>
      </c>
      <c r="AE29" s="441">
        <f t="shared" si="34"/>
        <v>19.799999999999997</v>
      </c>
      <c r="AF29" s="441">
        <f t="shared" si="34"/>
        <v>19.799999999999997</v>
      </c>
      <c r="AG29" s="441">
        <f t="shared" si="34"/>
        <v>19.799999999999997</v>
      </c>
      <c r="AH29" s="441">
        <f t="shared" si="34"/>
        <v>19.799999999999997</v>
      </c>
      <c r="AI29" s="441">
        <f t="shared" si="34"/>
        <v>0.60000000000000009</v>
      </c>
      <c r="AJ29" s="441">
        <f t="shared" si="34"/>
        <v>0.60000000000000009</v>
      </c>
      <c r="AK29" s="441">
        <f t="shared" ref="AK29:BG29" si="35">SUM(AK5:AK28)</f>
        <v>9</v>
      </c>
      <c r="AL29" s="441">
        <f t="shared" si="35"/>
        <v>21</v>
      </c>
      <c r="AM29" s="441">
        <f t="shared" si="35"/>
        <v>20.8</v>
      </c>
      <c r="AN29" s="441">
        <f t="shared" si="35"/>
        <v>20.8</v>
      </c>
      <c r="AO29" s="441">
        <f t="shared" si="35"/>
        <v>20.8</v>
      </c>
      <c r="AP29" s="441">
        <f t="shared" si="35"/>
        <v>21</v>
      </c>
      <c r="AQ29" s="441">
        <f t="shared" si="35"/>
        <v>22.2</v>
      </c>
      <c r="AR29" s="441">
        <f t="shared" si="35"/>
        <v>20.8</v>
      </c>
      <c r="AS29" s="441">
        <f t="shared" si="35"/>
        <v>20.8</v>
      </c>
      <c r="AT29" s="441">
        <f t="shared" si="35"/>
        <v>20.8</v>
      </c>
      <c r="AU29" s="441">
        <f t="shared" si="35"/>
        <v>21</v>
      </c>
      <c r="AV29" s="441">
        <f t="shared" si="35"/>
        <v>22.2</v>
      </c>
      <c r="AW29" s="441">
        <f t="shared" si="35"/>
        <v>0</v>
      </c>
      <c r="AX29" s="441">
        <f t="shared" si="35"/>
        <v>0</v>
      </c>
      <c r="AY29" s="441">
        <f t="shared" si="35"/>
        <v>0</v>
      </c>
      <c r="AZ29" s="441">
        <f t="shared" si="35"/>
        <v>0</v>
      </c>
      <c r="BA29" s="441">
        <f t="shared" si="35"/>
        <v>0</v>
      </c>
      <c r="BB29" s="441">
        <f t="shared" si="35"/>
        <v>0</v>
      </c>
      <c r="BC29" s="441">
        <f t="shared" si="35"/>
        <v>0</v>
      </c>
      <c r="BD29" s="441">
        <f t="shared" si="35"/>
        <v>0</v>
      </c>
      <c r="BE29" s="441">
        <f t="shared" si="35"/>
        <v>0</v>
      </c>
      <c r="BF29" s="441">
        <f t="shared" si="35"/>
        <v>0</v>
      </c>
      <c r="BG29" s="441">
        <f t="shared" si="35"/>
        <v>0</v>
      </c>
    </row>
    <row r="30" spans="1:59" ht="18.600000000000001">
      <c r="E30" s="522"/>
      <c r="F30" s="523"/>
      <c r="G30" s="523"/>
      <c r="I30" s="539">
        <f>'Mastersheet-Projects'!E67</f>
        <v>0</v>
      </c>
      <c r="J30" s="539">
        <f>'Mastersheet-Projects'!F67</f>
        <v>0</v>
      </c>
      <c r="K30" s="539">
        <f>'Mastersheet-Projects'!G67</f>
        <v>0</v>
      </c>
      <c r="L30" s="539">
        <f>'Mastersheet-Projects'!H67</f>
        <v>0</v>
      </c>
      <c r="M30" s="539">
        <f>'Mastersheet-Projects'!I67</f>
        <v>0</v>
      </c>
      <c r="N30" s="539">
        <f>'Mastersheet-Projects'!J67</f>
        <v>0</v>
      </c>
      <c r="O30" s="539">
        <f>'Mastersheet-Projects'!K67</f>
        <v>0</v>
      </c>
      <c r="P30" s="539">
        <f>'Mastersheet-Projects'!L67</f>
        <v>0</v>
      </c>
      <c r="Q30" s="539">
        <f>'Mastersheet-Projects'!M67</f>
        <v>0</v>
      </c>
      <c r="R30" s="539">
        <f>'Mastersheet-Projects'!N67</f>
        <v>0</v>
      </c>
      <c r="S30" s="539">
        <f>'Mastersheet-Projects'!O67</f>
        <v>11.6</v>
      </c>
      <c r="T30" s="539">
        <f>'Mastersheet-Projects'!P67</f>
        <v>5.8</v>
      </c>
      <c r="U30" s="539">
        <f>'Mastersheet-Projects'!Q67</f>
        <v>5.2</v>
      </c>
      <c r="V30" s="539">
        <f>'Mastersheet-Projects'!R67</f>
        <v>5.2</v>
      </c>
      <c r="W30" s="539">
        <f>'Mastersheet-Projects'!S67</f>
        <v>7.4</v>
      </c>
      <c r="X30" s="539">
        <f>'Mastersheet-Projects'!T67</f>
        <v>8</v>
      </c>
      <c r="Y30" s="539">
        <f>'Mastersheet-Projects'!U67</f>
        <v>19.8</v>
      </c>
      <c r="Z30" s="539">
        <f>'Mastersheet-Projects'!V67</f>
        <v>19.8</v>
      </c>
      <c r="AA30" s="539">
        <f>'Mastersheet-Projects'!W67</f>
        <v>19.8</v>
      </c>
      <c r="AB30" s="539">
        <f>'Mastersheet-Projects'!X67</f>
        <v>20</v>
      </c>
      <c r="AC30" s="539">
        <f>'Mastersheet-Projects'!Y67</f>
        <v>20</v>
      </c>
      <c r="AD30" s="539">
        <f>'Mastersheet-Projects'!Z67</f>
        <v>20</v>
      </c>
      <c r="AE30" s="539">
        <f>'Mastersheet-Projects'!AA67</f>
        <v>19.8</v>
      </c>
      <c r="AF30" s="539">
        <f>'Mastersheet-Projects'!AB67</f>
        <v>19.8</v>
      </c>
      <c r="AG30" s="539">
        <f>'Mastersheet-Projects'!AC67</f>
        <v>19.8</v>
      </c>
      <c r="AH30" s="539">
        <f>'Mastersheet-Projects'!AD67</f>
        <v>19.8</v>
      </c>
      <c r="AI30" s="539">
        <f>'Mastersheet-Projects'!AE67</f>
        <v>0.6</v>
      </c>
      <c r="AJ30" s="539">
        <f>'Mastersheet-Projects'!AF67</f>
        <v>0.6</v>
      </c>
      <c r="AK30" s="539">
        <f>'Mastersheet-Projects'!AG67</f>
        <v>9</v>
      </c>
      <c r="AL30" s="539">
        <f>'Mastersheet-Projects'!AH67</f>
        <v>21</v>
      </c>
      <c r="AM30" s="539">
        <f>'Mastersheet-Projects'!AI67</f>
        <v>20.8</v>
      </c>
      <c r="AN30" s="539">
        <f>'Mastersheet-Projects'!AJ67</f>
        <v>20.8</v>
      </c>
      <c r="AO30" s="539">
        <f>'Mastersheet-Projects'!AK67</f>
        <v>20.8</v>
      </c>
      <c r="AP30" s="539">
        <f>'Mastersheet-Projects'!AL67</f>
        <v>21</v>
      </c>
      <c r="AQ30" s="539">
        <f>'Mastersheet-Projects'!AM67</f>
        <v>22.2</v>
      </c>
      <c r="AR30" s="539">
        <f>'Mastersheet-Projects'!AN67</f>
        <v>20.8</v>
      </c>
      <c r="AS30" s="539">
        <f>'Mastersheet-Projects'!AO67</f>
        <v>20.8</v>
      </c>
      <c r="AT30" s="539">
        <f>'Mastersheet-Projects'!AP67</f>
        <v>20.8</v>
      </c>
      <c r="AU30" s="539">
        <f>'Mastersheet-Projects'!AQ67</f>
        <v>21</v>
      </c>
      <c r="AV30" s="539">
        <f>'Mastersheet-Projects'!AR67</f>
        <v>22.2</v>
      </c>
      <c r="AW30" s="539">
        <f>'Mastersheet-Projects'!AS67</f>
        <v>0</v>
      </c>
      <c r="AX30" s="539">
        <f>'Mastersheet-Projects'!AT67</f>
        <v>0</v>
      </c>
      <c r="AY30" s="539">
        <f>'Mastersheet-Projects'!AU67</f>
        <v>0</v>
      </c>
      <c r="AZ30" s="539">
        <f>'Mastersheet-Projects'!AV67</f>
        <v>0</v>
      </c>
      <c r="BA30" s="539">
        <f>'Mastersheet-Projects'!AW67</f>
        <v>0</v>
      </c>
      <c r="BB30" s="539">
        <f>'Mastersheet-Projects'!AX67</f>
        <v>0</v>
      </c>
      <c r="BC30" s="539">
        <f>'Mastersheet-Projects'!AY67</f>
        <v>0</v>
      </c>
      <c r="BD30" s="539">
        <f>'Mastersheet-Projects'!AZ67</f>
        <v>0</v>
      </c>
      <c r="BE30" s="539">
        <f>'Mastersheet-Projects'!BA67</f>
        <v>0</v>
      </c>
      <c r="BF30" s="539">
        <f>'Mastersheet-Projects'!BB67</f>
        <v>0</v>
      </c>
      <c r="BG30" s="539">
        <f>'Mastersheet-Projects'!BC67</f>
        <v>0</v>
      </c>
    </row>
    <row r="31" spans="1:59">
      <c r="E31" s="550"/>
      <c r="F31" s="551"/>
      <c r="G31" s="551"/>
      <c r="H31" s="552"/>
      <c r="I31" s="549"/>
      <c r="J31" s="549"/>
      <c r="K31" s="549"/>
      <c r="L31" s="549"/>
      <c r="M31" s="549"/>
      <c r="N31" s="549"/>
      <c r="O31" s="549"/>
      <c r="P31" s="549"/>
      <c r="Q31" s="549"/>
      <c r="R31" s="549"/>
      <c r="S31" s="549"/>
      <c r="T31" s="549"/>
      <c r="U31" s="549"/>
      <c r="V31" s="549"/>
      <c r="W31" s="549"/>
      <c r="X31" s="549"/>
      <c r="Y31" s="549"/>
      <c r="Z31" s="549"/>
      <c r="AA31" s="549"/>
    </row>
    <row r="32" spans="1:59">
      <c r="E32" s="550"/>
      <c r="F32" s="551"/>
      <c r="G32" s="551"/>
      <c r="H32" s="552"/>
      <c r="I32" s="549"/>
      <c r="J32" s="549"/>
      <c r="K32" s="549"/>
      <c r="L32" s="549"/>
      <c r="M32" s="549"/>
      <c r="N32" s="549"/>
      <c r="O32" s="549"/>
      <c r="P32" s="549"/>
      <c r="Q32" s="549"/>
      <c r="R32" s="549"/>
      <c r="S32" s="549"/>
      <c r="T32" s="549"/>
      <c r="U32" s="549"/>
      <c r="V32" s="549"/>
      <c r="W32" s="549"/>
      <c r="X32" s="549"/>
      <c r="Y32" s="549"/>
      <c r="Z32" s="549"/>
      <c r="AA32" s="549"/>
    </row>
    <row r="33" spans="5:27">
      <c r="E33" s="550"/>
      <c r="F33" s="551"/>
      <c r="G33" s="551"/>
      <c r="H33" s="552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49"/>
    </row>
    <row r="34" spans="5:27">
      <c r="H34" s="540"/>
    </row>
    <row r="35" spans="5:27">
      <c r="H35" s="540"/>
    </row>
    <row r="36" spans="5:27">
      <c r="G36" s="541"/>
      <c r="H36" s="540"/>
    </row>
    <row r="37" spans="5:27">
      <c r="G37" s="541"/>
      <c r="H37" s="540"/>
    </row>
  </sheetData>
  <mergeCells count="1">
    <mergeCell ref="C3:H3"/>
  </mergeCells>
  <phoneticPr fontId="34" type="noConversion"/>
  <conditionalFormatting sqref="I5:BG28">
    <cfRule type="cellIs" dxfId="2" priority="4" operator="equal">
      <formula>$F5</formula>
    </cfRule>
    <cfRule type="cellIs" dxfId="1" priority="5" operator="lessThan">
      <formula>$F5</formula>
    </cfRule>
    <cfRule type="cellIs" dxfId="0" priority="6" operator="greaterThan">
      <formula>$F5</formula>
    </cfRule>
  </conditionalFormatting>
  <pageMargins left="0.25" right="0.25" top="0.75" bottom="0.75" header="0.3" footer="0.3"/>
  <pageSetup paperSize="8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226F-7321-4A93-BF84-6F241A49B389}">
  <sheetPr codeName="Sheet6">
    <pageSetUpPr fitToPage="1"/>
  </sheetPr>
  <dimension ref="A1:BG76"/>
  <sheetViews>
    <sheetView tabSelected="1" topLeftCell="A37" zoomScale="70" zoomScaleNormal="70" workbookViewId="0">
      <pane xSplit="3" ySplit="4" topLeftCell="D41" activePane="bottomRight" state="frozen"/>
      <selection pane="bottomRight" activeCell="R74" sqref="R74"/>
      <selection pane="bottomLeft" activeCell="A41" sqref="A41"/>
      <selection pane="topRight" activeCell="E37" sqref="E37"/>
    </sheetView>
  </sheetViews>
  <sheetFormatPr defaultColWidth="12.42578125" defaultRowHeight="15.75" customHeight="1"/>
  <cols>
    <col min="1" max="1" width="5.42578125" style="417" customWidth="1"/>
    <col min="2" max="2" width="11" style="417" bestFit="1" customWidth="1"/>
    <col min="3" max="3" width="43" style="423" bestFit="1" customWidth="1"/>
    <col min="4" max="4" width="13.5703125" style="422" customWidth="1"/>
    <col min="5" max="46" width="6.42578125" style="416" customWidth="1"/>
    <col min="47" max="16384" width="12.42578125" style="416"/>
  </cols>
  <sheetData>
    <row r="1" spans="2:25" ht="15.6"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</row>
    <row r="2" spans="2:25" ht="15.6">
      <c r="B2" s="417" t="s">
        <v>166</v>
      </c>
      <c r="C2" s="423" t="s">
        <v>290</v>
      </c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</row>
    <row r="3" spans="2:25" ht="15.6">
      <c r="B3" s="417" t="s">
        <v>337</v>
      </c>
      <c r="C3" s="435" t="s">
        <v>338</v>
      </c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</row>
    <row r="4" spans="2:25" ht="15.6">
      <c r="B4" s="417" t="s">
        <v>291</v>
      </c>
      <c r="C4" s="435" t="s">
        <v>339</v>
      </c>
      <c r="L4" s="518"/>
      <c r="M4" s="518"/>
      <c r="N4" s="518"/>
      <c r="O4" s="518"/>
      <c r="P4" s="518"/>
      <c r="Q4" s="518"/>
      <c r="R4" s="518"/>
      <c r="S4" s="518"/>
      <c r="T4" s="518"/>
      <c r="U4" s="518"/>
      <c r="V4" s="518"/>
      <c r="W4" s="518"/>
      <c r="X4" s="518"/>
      <c r="Y4" s="518"/>
    </row>
    <row r="5" spans="2:25" ht="15.6">
      <c r="B5" s="417" t="s">
        <v>293</v>
      </c>
      <c r="C5" s="435" t="s">
        <v>340</v>
      </c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</row>
    <row r="6" spans="2:25" ht="15.6">
      <c r="B6" s="417" t="s">
        <v>295</v>
      </c>
      <c r="C6" s="435" t="s">
        <v>341</v>
      </c>
      <c r="L6" s="518"/>
      <c r="M6" s="518"/>
      <c r="N6" s="518"/>
      <c r="O6" s="518"/>
      <c r="P6" s="518"/>
      <c r="Q6" s="518"/>
      <c r="R6" s="518"/>
      <c r="S6" s="518"/>
      <c r="T6" s="518"/>
      <c r="U6" s="518"/>
      <c r="V6" s="518"/>
      <c r="W6" s="518"/>
      <c r="X6" s="518"/>
      <c r="Y6" s="518"/>
    </row>
    <row r="7" spans="2:25" ht="15.6">
      <c r="B7" s="417" t="s">
        <v>297</v>
      </c>
      <c r="C7" s="435" t="s">
        <v>342</v>
      </c>
      <c r="L7" s="518"/>
      <c r="M7" s="518"/>
      <c r="N7" s="518"/>
      <c r="O7" s="518"/>
      <c r="P7" s="518"/>
      <c r="Q7" s="518"/>
      <c r="R7" s="518"/>
      <c r="S7" s="518"/>
      <c r="T7" s="518"/>
      <c r="U7" s="518"/>
      <c r="V7" s="518"/>
      <c r="W7" s="518"/>
      <c r="X7" s="518"/>
      <c r="Y7" s="518"/>
    </row>
    <row r="8" spans="2:25" ht="15.6">
      <c r="B8" s="417" t="s">
        <v>299</v>
      </c>
      <c r="C8" s="435" t="s">
        <v>343</v>
      </c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</row>
    <row r="9" spans="2:25" ht="15.6">
      <c r="B9" s="417" t="s">
        <v>301</v>
      </c>
      <c r="C9" s="423" t="s">
        <v>344</v>
      </c>
      <c r="L9" s="518"/>
      <c r="M9" s="518"/>
      <c r="N9" s="518"/>
      <c r="O9" s="518"/>
      <c r="P9" s="518"/>
      <c r="Q9" s="518"/>
      <c r="R9" s="518"/>
      <c r="S9" s="518"/>
      <c r="T9" s="518"/>
      <c r="U9" s="518"/>
      <c r="V9" s="518"/>
      <c r="W9" s="518"/>
      <c r="X9" s="518"/>
      <c r="Y9" s="518"/>
    </row>
    <row r="10" spans="2:25" ht="15.6">
      <c r="B10" s="417" t="s">
        <v>303</v>
      </c>
      <c r="C10" s="435" t="s">
        <v>304</v>
      </c>
      <c r="L10" s="518"/>
      <c r="M10" s="518"/>
      <c r="N10" s="518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</row>
    <row r="11" spans="2:25" ht="15.6">
      <c r="B11" s="417" t="s">
        <v>345</v>
      </c>
      <c r="C11" s="435" t="s">
        <v>346</v>
      </c>
      <c r="L11" s="518"/>
      <c r="M11" s="518"/>
      <c r="N11" s="518"/>
      <c r="O11" s="518"/>
      <c r="P11" s="518"/>
      <c r="Q11" s="518"/>
      <c r="R11" s="518"/>
      <c r="S11" s="518"/>
      <c r="T11" s="518"/>
      <c r="U11" s="518"/>
      <c r="V11" s="518"/>
      <c r="W11" s="518"/>
      <c r="X11" s="518"/>
      <c r="Y11" s="518"/>
    </row>
    <row r="12" spans="2:25" ht="15.6">
      <c r="B12" s="417" t="s">
        <v>347</v>
      </c>
      <c r="C12" s="423" t="s">
        <v>348</v>
      </c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8"/>
    </row>
    <row r="13" spans="2:25" ht="15.6">
      <c r="B13" s="417" t="s">
        <v>309</v>
      </c>
      <c r="C13" s="435" t="s">
        <v>310</v>
      </c>
      <c r="L13" s="518"/>
      <c r="M13" s="518"/>
      <c r="N13" s="518"/>
      <c r="O13" s="518"/>
      <c r="P13" s="518"/>
      <c r="Q13" s="518"/>
      <c r="R13" s="518"/>
      <c r="S13" s="518"/>
      <c r="T13" s="518"/>
      <c r="U13" s="518"/>
      <c r="V13" s="518"/>
      <c r="W13" s="518"/>
      <c r="X13" s="518"/>
      <c r="Y13" s="518"/>
    </row>
    <row r="14" spans="2:25" ht="15.6">
      <c r="B14" s="417" t="s">
        <v>313</v>
      </c>
      <c r="C14" s="423" t="s">
        <v>314</v>
      </c>
      <c r="L14" s="518"/>
      <c r="M14" s="518"/>
      <c r="N14" s="518"/>
      <c r="O14" s="518"/>
      <c r="P14" s="518"/>
      <c r="Q14" s="518"/>
      <c r="R14" s="518"/>
      <c r="S14" s="518"/>
      <c r="T14" s="518"/>
      <c r="U14" s="518"/>
      <c r="V14" s="518"/>
      <c r="W14" s="518"/>
      <c r="X14" s="518"/>
      <c r="Y14" s="518"/>
    </row>
    <row r="15" spans="2:25" ht="15.6">
      <c r="B15" s="417" t="s">
        <v>305</v>
      </c>
      <c r="C15" s="423" t="s">
        <v>306</v>
      </c>
      <c r="L15" s="518"/>
      <c r="M15" s="518"/>
      <c r="N15" s="518"/>
      <c r="O15" s="518"/>
      <c r="P15" s="518"/>
      <c r="Q15" s="518"/>
      <c r="R15" s="518"/>
      <c r="S15" s="518"/>
      <c r="T15" s="518"/>
      <c r="U15" s="518"/>
      <c r="V15" s="518"/>
      <c r="W15" s="518"/>
      <c r="X15" s="518"/>
      <c r="Y15" s="518"/>
    </row>
    <row r="16" spans="2:25" ht="15.6">
      <c r="B16" s="417" t="s">
        <v>307</v>
      </c>
      <c r="C16" s="423" t="s">
        <v>308</v>
      </c>
      <c r="L16" s="518"/>
      <c r="M16" s="518"/>
      <c r="N16" s="518"/>
      <c r="O16" s="518"/>
      <c r="P16" s="518"/>
      <c r="Q16" s="518"/>
      <c r="R16" s="518"/>
      <c r="S16" s="518"/>
      <c r="T16" s="518"/>
      <c r="U16" s="518"/>
      <c r="V16" s="518"/>
      <c r="W16" s="518"/>
      <c r="X16" s="518"/>
      <c r="Y16" s="518"/>
    </row>
    <row r="17" spans="2:25" ht="15.6">
      <c r="B17" s="417" t="s">
        <v>315</v>
      </c>
      <c r="C17" s="423" t="s">
        <v>316</v>
      </c>
      <c r="D17" s="416"/>
      <c r="L17" s="518"/>
      <c r="M17" s="518"/>
      <c r="N17" s="518"/>
      <c r="O17" s="518"/>
      <c r="P17" s="518"/>
      <c r="Q17" s="518"/>
      <c r="R17" s="518"/>
      <c r="S17" s="518"/>
      <c r="T17" s="518"/>
      <c r="U17" s="518"/>
      <c r="V17" s="518"/>
      <c r="W17" s="518"/>
      <c r="X17" s="518"/>
      <c r="Y17" s="518"/>
    </row>
    <row r="18" spans="2:25" ht="15.6">
      <c r="B18" s="417" t="s">
        <v>311</v>
      </c>
      <c r="C18" s="423" t="s">
        <v>312</v>
      </c>
      <c r="D18" s="416"/>
      <c r="L18" s="518"/>
      <c r="M18" s="518"/>
      <c r="N18" s="518"/>
      <c r="O18" s="518"/>
      <c r="P18" s="518"/>
      <c r="Q18" s="518"/>
      <c r="R18" s="518"/>
      <c r="S18" s="518"/>
      <c r="T18" s="518"/>
      <c r="U18" s="518"/>
      <c r="V18" s="518"/>
      <c r="W18" s="518"/>
      <c r="X18" s="518"/>
      <c r="Y18" s="518"/>
    </row>
    <row r="19" spans="2:25" ht="15.6">
      <c r="B19" s="417" t="s">
        <v>311</v>
      </c>
      <c r="C19" s="435" t="s">
        <v>312</v>
      </c>
      <c r="D19" s="416"/>
      <c r="L19" s="518"/>
      <c r="M19" s="518"/>
      <c r="N19" s="518"/>
      <c r="O19" s="518"/>
      <c r="P19" s="518"/>
      <c r="Q19" s="518"/>
      <c r="R19" s="518"/>
      <c r="S19" s="518"/>
      <c r="T19" s="518"/>
      <c r="U19" s="518"/>
      <c r="V19" s="518"/>
      <c r="W19" s="518"/>
      <c r="X19" s="518"/>
      <c r="Y19" s="518"/>
    </row>
    <row r="20" spans="2:25" ht="15.6">
      <c r="B20" s="417" t="s">
        <v>317</v>
      </c>
      <c r="C20" s="423" t="s">
        <v>349</v>
      </c>
      <c r="D20" s="416"/>
      <c r="L20" s="518"/>
      <c r="M20" s="518"/>
      <c r="N20" s="518"/>
      <c r="O20" s="518"/>
      <c r="P20" s="518"/>
      <c r="Q20" s="518"/>
      <c r="R20" s="518"/>
      <c r="S20" s="518"/>
      <c r="T20" s="518"/>
      <c r="U20" s="518"/>
      <c r="V20" s="518"/>
      <c r="W20" s="518"/>
      <c r="X20" s="518"/>
      <c r="Y20" s="518"/>
    </row>
    <row r="21" spans="2:25" ht="15.6">
      <c r="B21" s="417" t="s">
        <v>317</v>
      </c>
      <c r="C21" s="435" t="s">
        <v>350</v>
      </c>
      <c r="D21" s="416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</row>
    <row r="22" spans="2:25" ht="15.6">
      <c r="B22" s="417" t="s">
        <v>325</v>
      </c>
      <c r="C22" s="423" t="s">
        <v>326</v>
      </c>
      <c r="D22" s="416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</row>
    <row r="23" spans="2:25" ht="15.6">
      <c r="B23" s="417" t="s">
        <v>325</v>
      </c>
      <c r="C23" s="435" t="s">
        <v>326</v>
      </c>
      <c r="D23" s="416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</row>
    <row r="24" spans="2:25" ht="15.6">
      <c r="B24" s="417" t="s">
        <v>331</v>
      </c>
      <c r="C24" s="423" t="s">
        <v>332</v>
      </c>
      <c r="D24" s="416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</row>
    <row r="25" spans="2:25" ht="15.6">
      <c r="B25" s="417" t="s">
        <v>319</v>
      </c>
      <c r="C25" s="435" t="s">
        <v>320</v>
      </c>
      <c r="D25" s="416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</row>
    <row r="26" spans="2:25" ht="15.6">
      <c r="B26" s="417" t="s">
        <v>321</v>
      </c>
      <c r="C26" s="423" t="s">
        <v>322</v>
      </c>
      <c r="D26" s="416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</row>
    <row r="27" spans="2:25" ht="15.6">
      <c r="B27" s="417" t="s">
        <v>321</v>
      </c>
      <c r="C27" s="423" t="s">
        <v>322</v>
      </c>
      <c r="D27" s="416"/>
      <c r="L27" s="518"/>
      <c r="M27" s="518"/>
      <c r="N27" s="518"/>
      <c r="O27" s="518"/>
      <c r="P27" s="518"/>
      <c r="Q27" s="518"/>
      <c r="R27" s="518"/>
      <c r="S27" s="518"/>
      <c r="T27" s="518"/>
      <c r="U27" s="518"/>
      <c r="V27" s="518"/>
      <c r="W27" s="518"/>
      <c r="X27" s="518"/>
      <c r="Y27" s="518"/>
    </row>
    <row r="28" spans="2:25" ht="15.6">
      <c r="B28" s="417" t="s">
        <v>327</v>
      </c>
      <c r="C28" s="423" t="s">
        <v>328</v>
      </c>
      <c r="D28" s="416"/>
      <c r="L28" s="518"/>
      <c r="M28" s="518"/>
      <c r="N28" s="518"/>
      <c r="O28" s="518"/>
      <c r="P28" s="518"/>
      <c r="Q28" s="518"/>
      <c r="R28" s="518"/>
      <c r="S28" s="518"/>
      <c r="T28" s="518"/>
      <c r="U28" s="518"/>
      <c r="V28" s="518"/>
      <c r="W28" s="518"/>
      <c r="X28" s="518"/>
      <c r="Y28" s="518"/>
    </row>
    <row r="29" spans="2:25" ht="15.6">
      <c r="B29" s="417" t="s">
        <v>333</v>
      </c>
      <c r="C29" s="423" t="s">
        <v>334</v>
      </c>
      <c r="D29" s="416"/>
      <c r="L29" s="518"/>
      <c r="M29" s="518"/>
      <c r="N29" s="518"/>
      <c r="O29" s="518"/>
      <c r="P29" s="518"/>
      <c r="Q29" s="518"/>
      <c r="R29" s="518"/>
      <c r="S29" s="518"/>
      <c r="T29" s="518"/>
      <c r="U29" s="518"/>
      <c r="V29" s="518"/>
      <c r="W29" s="518"/>
      <c r="X29" s="518"/>
      <c r="Y29" s="518"/>
    </row>
    <row r="30" spans="2:25" ht="15.6">
      <c r="B30" s="417" t="s">
        <v>333</v>
      </c>
      <c r="C30" s="423" t="s">
        <v>334</v>
      </c>
      <c r="D30" s="416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</row>
    <row r="31" spans="2:25" ht="15.6">
      <c r="B31" s="417" t="s">
        <v>333</v>
      </c>
      <c r="C31" s="423" t="s">
        <v>334</v>
      </c>
      <c r="D31" s="416"/>
      <c r="L31" s="518"/>
      <c r="M31" s="518"/>
      <c r="N31" s="518"/>
      <c r="O31" s="518"/>
      <c r="P31" s="518"/>
      <c r="Q31" s="518"/>
      <c r="R31" s="518"/>
      <c r="S31" s="518"/>
      <c r="T31" s="518"/>
      <c r="U31" s="518"/>
      <c r="V31" s="518"/>
      <c r="W31" s="518"/>
      <c r="X31" s="518"/>
      <c r="Y31" s="518"/>
    </row>
    <row r="32" spans="2:25" ht="15.6">
      <c r="B32" s="417" t="s">
        <v>323</v>
      </c>
      <c r="C32" s="423" t="s">
        <v>324</v>
      </c>
      <c r="D32" s="416"/>
      <c r="L32" s="518"/>
      <c r="M32" s="518"/>
      <c r="N32" s="518"/>
      <c r="O32" s="518"/>
      <c r="P32" s="518"/>
      <c r="Q32" s="518"/>
      <c r="R32" s="518"/>
      <c r="S32" s="518"/>
      <c r="T32" s="518"/>
      <c r="U32" s="518"/>
      <c r="V32" s="518"/>
      <c r="W32" s="518"/>
      <c r="X32" s="518"/>
      <c r="Y32" s="518"/>
    </row>
    <row r="33" spans="1:59" ht="15.6">
      <c r="B33" s="417" t="s">
        <v>335</v>
      </c>
      <c r="C33" s="423" t="s">
        <v>336</v>
      </c>
      <c r="D33" s="416"/>
      <c r="L33" s="518"/>
      <c r="M33" s="518"/>
      <c r="N33" s="518"/>
      <c r="O33" s="518"/>
      <c r="P33" s="518"/>
      <c r="Q33" s="518"/>
      <c r="R33" s="518"/>
      <c r="S33" s="518"/>
      <c r="T33" s="518"/>
      <c r="U33" s="518"/>
      <c r="V33" s="518"/>
      <c r="W33" s="518"/>
      <c r="X33" s="518"/>
      <c r="Y33" s="518"/>
    </row>
    <row r="34" spans="1:59" ht="15.6">
      <c r="B34" s="417" t="s">
        <v>329</v>
      </c>
      <c r="C34" s="423" t="s">
        <v>330</v>
      </c>
      <c r="D34" s="416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</row>
    <row r="35" spans="1:59" ht="14.85" customHeight="1">
      <c r="B35" s="417" t="s">
        <v>329</v>
      </c>
      <c r="C35" s="435" t="s">
        <v>330</v>
      </c>
      <c r="D35" s="416"/>
    </row>
    <row r="36" spans="1:59" ht="14.85" customHeight="1">
      <c r="E36" s="583"/>
      <c r="F36" s="583"/>
      <c r="G36" s="583"/>
      <c r="H36" s="583"/>
      <c r="I36" s="583"/>
      <c r="J36" s="583"/>
      <c r="K36" s="583"/>
      <c r="L36" s="583"/>
      <c r="M36" s="583"/>
      <c r="N36" s="583"/>
      <c r="O36" s="583"/>
      <c r="P36" s="583"/>
      <c r="Q36" s="583"/>
      <c r="R36" s="583"/>
      <c r="S36" s="584"/>
      <c r="T36" s="584"/>
      <c r="U36" s="584"/>
    </row>
    <row r="37" spans="1:59" s="420" customFormat="1" ht="87.6" customHeight="1">
      <c r="A37" s="463"/>
      <c r="B37" s="463"/>
      <c r="C37" s="464"/>
      <c r="D37" s="428"/>
      <c r="E37" s="471">
        <v>46195</v>
      </c>
      <c r="F37" s="471">
        <f t="shared" ref="F37:T37" si="0">E37+7</f>
        <v>46202</v>
      </c>
      <c r="G37" s="471">
        <f t="shared" si="0"/>
        <v>46209</v>
      </c>
      <c r="H37" s="471">
        <f t="shared" si="0"/>
        <v>46216</v>
      </c>
      <c r="I37" s="471">
        <f t="shared" si="0"/>
        <v>46223</v>
      </c>
      <c r="J37" s="471">
        <f t="shared" si="0"/>
        <v>46230</v>
      </c>
      <c r="K37" s="471">
        <f t="shared" si="0"/>
        <v>46237</v>
      </c>
      <c r="L37" s="471">
        <f t="shared" si="0"/>
        <v>46244</v>
      </c>
      <c r="M37" s="471">
        <f t="shared" si="0"/>
        <v>46251</v>
      </c>
      <c r="N37" s="471">
        <f t="shared" si="0"/>
        <v>46258</v>
      </c>
      <c r="O37" s="471">
        <f t="shared" si="0"/>
        <v>46265</v>
      </c>
      <c r="P37" s="471">
        <f t="shared" si="0"/>
        <v>46272</v>
      </c>
      <c r="Q37" s="471">
        <f t="shared" si="0"/>
        <v>46279</v>
      </c>
      <c r="R37" s="471">
        <f t="shared" si="0"/>
        <v>46286</v>
      </c>
      <c r="S37" s="471">
        <f t="shared" si="0"/>
        <v>46293</v>
      </c>
      <c r="T37" s="471">
        <f t="shared" si="0"/>
        <v>46300</v>
      </c>
      <c r="U37" s="471">
        <f t="shared" ref="U37:AD37" si="1">T37+7</f>
        <v>46307</v>
      </c>
      <c r="V37" s="471">
        <f t="shared" si="1"/>
        <v>46314</v>
      </c>
      <c r="W37" s="471">
        <f t="shared" si="1"/>
        <v>46321</v>
      </c>
      <c r="X37" s="471">
        <f t="shared" si="1"/>
        <v>46328</v>
      </c>
      <c r="Y37" s="471">
        <f t="shared" si="1"/>
        <v>46335</v>
      </c>
      <c r="Z37" s="471">
        <f t="shared" si="1"/>
        <v>46342</v>
      </c>
      <c r="AA37" s="471">
        <f t="shared" si="1"/>
        <v>46349</v>
      </c>
      <c r="AB37" s="472">
        <f t="shared" si="1"/>
        <v>46356</v>
      </c>
      <c r="AC37" s="471">
        <f t="shared" si="1"/>
        <v>46363</v>
      </c>
      <c r="AD37" s="472">
        <f t="shared" si="1"/>
        <v>46370</v>
      </c>
      <c r="AE37" s="472">
        <f t="shared" ref="AE37" si="2">AD37+7</f>
        <v>46377</v>
      </c>
      <c r="AF37" s="472">
        <f t="shared" ref="AF37" si="3">AE37+7</f>
        <v>46384</v>
      </c>
      <c r="AG37" s="472">
        <f t="shared" ref="AG37" si="4">AF37+7</f>
        <v>46391</v>
      </c>
      <c r="AH37" s="472">
        <f t="shared" ref="AH37" si="5">AG37+7</f>
        <v>46398</v>
      </c>
      <c r="AI37" s="472">
        <f t="shared" ref="AI37" si="6">AH37+7</f>
        <v>46405</v>
      </c>
      <c r="AJ37" s="472">
        <f t="shared" ref="AJ37" si="7">AI37+7</f>
        <v>46412</v>
      </c>
      <c r="AK37" s="472">
        <f t="shared" ref="AK37" si="8">AJ37+7</f>
        <v>46419</v>
      </c>
      <c r="AL37" s="472">
        <f t="shared" ref="AL37" si="9">AK37+7</f>
        <v>46426</v>
      </c>
      <c r="AM37" s="472">
        <f t="shared" ref="AM37" si="10">AL37+7</f>
        <v>46433</v>
      </c>
      <c r="AN37" s="472">
        <f t="shared" ref="AN37" si="11">AM37+7</f>
        <v>46440</v>
      </c>
      <c r="AO37" s="472">
        <f t="shared" ref="AO37" si="12">AN37+7</f>
        <v>46447</v>
      </c>
      <c r="AP37" s="472">
        <f t="shared" ref="AP37" si="13">AO37+7</f>
        <v>46454</v>
      </c>
      <c r="AQ37" s="472">
        <f t="shared" ref="AQ37" si="14">AP37+7</f>
        <v>46461</v>
      </c>
      <c r="AR37" s="472">
        <f t="shared" ref="AR37" si="15">AQ37+7</f>
        <v>46468</v>
      </c>
      <c r="AS37" s="472">
        <f t="shared" ref="AS37" si="16">AR37+7</f>
        <v>46475</v>
      </c>
      <c r="AT37" s="472">
        <f t="shared" ref="AT37" si="17">AS37+7</f>
        <v>46482</v>
      </c>
      <c r="AU37" s="472">
        <f t="shared" ref="AU37" si="18">AT37+7</f>
        <v>46489</v>
      </c>
      <c r="AV37" s="472">
        <f t="shared" ref="AV37" si="19">AU37+7</f>
        <v>46496</v>
      </c>
      <c r="AW37" s="472">
        <f t="shared" ref="AW37" si="20">AV37+7</f>
        <v>46503</v>
      </c>
      <c r="AX37" s="472">
        <f t="shared" ref="AX37" si="21">AW37+7</f>
        <v>46510</v>
      </c>
      <c r="AY37" s="472">
        <f t="shared" ref="AY37" si="22">AX37+7</f>
        <v>46517</v>
      </c>
      <c r="AZ37" s="472">
        <f t="shared" ref="AZ37" si="23">AY37+7</f>
        <v>46524</v>
      </c>
      <c r="BA37" s="472">
        <f t="shared" ref="BA37" si="24">AZ37+7</f>
        <v>46531</v>
      </c>
      <c r="BB37" s="472">
        <f t="shared" ref="BB37" si="25">BA37+7</f>
        <v>46538</v>
      </c>
      <c r="BC37" s="472">
        <f t="shared" ref="BC37" si="26">BB37+7</f>
        <v>46545</v>
      </c>
      <c r="BD37" s="472">
        <f t="shared" ref="BD37" si="27">BC37+7</f>
        <v>46552</v>
      </c>
      <c r="BE37" s="472">
        <f t="shared" ref="BE37" si="28">BD37+7</f>
        <v>46559</v>
      </c>
    </row>
    <row r="38" spans="1:59" s="420" customFormat="1" ht="20.85" customHeight="1">
      <c r="A38" s="469" t="s">
        <v>241</v>
      </c>
      <c r="B38" s="421" t="s">
        <v>243</v>
      </c>
      <c r="C38" s="430" t="s">
        <v>244</v>
      </c>
      <c r="D38" s="519" t="s">
        <v>351</v>
      </c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  <c r="AB38" s="436"/>
      <c r="AC38" s="436"/>
      <c r="AD38" s="440"/>
    </row>
    <row r="39" spans="1:59" s="439" customFormat="1" ht="53.25" customHeight="1">
      <c r="A39" s="592"/>
      <c r="B39" s="592"/>
      <c r="C39" s="594" t="s">
        <v>352</v>
      </c>
      <c r="D39" s="520"/>
      <c r="E39" s="438"/>
      <c r="F39" s="438"/>
      <c r="G39" s="589"/>
      <c r="H39" s="590"/>
      <c r="I39" s="590"/>
      <c r="J39" s="590"/>
      <c r="K39" s="590"/>
      <c r="L39" s="590"/>
      <c r="M39" s="590"/>
      <c r="N39" s="591"/>
      <c r="O39" s="437"/>
      <c r="P39" s="585"/>
      <c r="Q39" s="587"/>
      <c r="R39" s="587"/>
      <c r="S39" s="587"/>
      <c r="T39" s="587"/>
      <c r="U39" s="587"/>
      <c r="V39" s="587"/>
      <c r="W39" s="587"/>
      <c r="X39" s="587"/>
      <c r="Y39" s="588"/>
      <c r="Z39" s="585"/>
      <c r="AA39" s="586"/>
      <c r="AB39" s="530"/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531"/>
      <c r="AN39" s="530"/>
      <c r="AO39" s="531"/>
      <c r="AP39" s="461"/>
      <c r="AQ39" s="532"/>
      <c r="AR39" s="462"/>
      <c r="AS39" s="438"/>
      <c r="AT39" s="530"/>
      <c r="AU39" s="438"/>
      <c r="AV39" s="438"/>
      <c r="AW39" s="438"/>
      <c r="AX39" s="438"/>
      <c r="AY39" s="438"/>
      <c r="AZ39" s="438"/>
      <c r="BA39" s="438"/>
      <c r="BB39" s="438"/>
      <c r="BC39" s="438"/>
      <c r="BD39" s="438"/>
      <c r="BE39" s="531"/>
      <c r="BF39" s="438" t="s">
        <v>353</v>
      </c>
      <c r="BG39" s="500"/>
    </row>
    <row r="40" spans="1:59" s="439" customFormat="1" ht="66.75" customHeight="1">
      <c r="A40" s="593"/>
      <c r="B40" s="593"/>
      <c r="C40" s="595"/>
      <c r="D40" s="521">
        <f t="shared" ref="D40" si="29">SUM(D41:D66)</f>
        <v>21789</v>
      </c>
      <c r="E40" s="557"/>
      <c r="F40" s="557"/>
      <c r="G40" s="558" t="s">
        <v>354</v>
      </c>
      <c r="H40" s="559" t="s">
        <v>354</v>
      </c>
      <c r="I40" s="559" t="s">
        <v>354</v>
      </c>
      <c r="J40" s="559" t="s">
        <v>354</v>
      </c>
      <c r="K40" s="559" t="s">
        <v>354</v>
      </c>
      <c r="L40" s="559" t="s">
        <v>354</v>
      </c>
      <c r="M40" s="559" t="s">
        <v>354</v>
      </c>
      <c r="N40" s="560" t="s">
        <v>354</v>
      </c>
      <c r="O40" s="561" t="s">
        <v>354</v>
      </c>
      <c r="P40" s="558" t="s">
        <v>354</v>
      </c>
      <c r="Q40" s="559" t="s">
        <v>354</v>
      </c>
      <c r="R40" s="559" t="s">
        <v>354</v>
      </c>
      <c r="S40" s="559" t="s">
        <v>354</v>
      </c>
      <c r="T40" s="559" t="s">
        <v>355</v>
      </c>
      <c r="U40" s="558" t="s">
        <v>355</v>
      </c>
      <c r="V40" s="559" t="s">
        <v>355</v>
      </c>
      <c r="W40" s="559" t="s">
        <v>355</v>
      </c>
      <c r="X40" s="559" t="s">
        <v>355</v>
      </c>
      <c r="Y40" s="559" t="s">
        <v>355</v>
      </c>
      <c r="Z40" s="559" t="s">
        <v>355</v>
      </c>
      <c r="AA40" s="559" t="s">
        <v>355</v>
      </c>
      <c r="AB40" s="559" t="s">
        <v>355</v>
      </c>
      <c r="AC40" s="559" t="s">
        <v>355</v>
      </c>
      <c r="AD40" s="562" t="s">
        <v>355</v>
      </c>
      <c r="AE40" s="558" t="s">
        <v>355</v>
      </c>
      <c r="AF40" s="560" t="s">
        <v>355</v>
      </c>
      <c r="AG40" s="563" t="s">
        <v>149</v>
      </c>
      <c r="AH40" s="557" t="s">
        <v>149</v>
      </c>
      <c r="AI40" s="557" t="s">
        <v>149</v>
      </c>
      <c r="AJ40" s="557" t="s">
        <v>149</v>
      </c>
      <c r="AK40" s="557" t="s">
        <v>149</v>
      </c>
      <c r="AL40" s="557" t="s">
        <v>149</v>
      </c>
      <c r="AM40" s="557" t="s">
        <v>149</v>
      </c>
      <c r="AN40" s="557" t="s">
        <v>149</v>
      </c>
      <c r="AO40" s="557" t="s">
        <v>149</v>
      </c>
      <c r="AP40" s="557" t="s">
        <v>149</v>
      </c>
      <c r="AQ40" s="557" t="s">
        <v>149</v>
      </c>
      <c r="AR40" s="564" t="s">
        <v>149</v>
      </c>
      <c r="AS40" s="565" t="s">
        <v>356</v>
      </c>
      <c r="AT40" s="566" t="s">
        <v>356</v>
      </c>
      <c r="AU40" s="567" t="s">
        <v>356</v>
      </c>
      <c r="AV40" s="567" t="s">
        <v>356</v>
      </c>
      <c r="AW40" s="567" t="s">
        <v>356</v>
      </c>
      <c r="AX40" s="567" t="s">
        <v>356</v>
      </c>
      <c r="AY40" s="567" t="s">
        <v>356</v>
      </c>
      <c r="AZ40" s="567" t="s">
        <v>356</v>
      </c>
      <c r="BA40" s="567" t="s">
        <v>356</v>
      </c>
      <c r="BB40" s="567" t="s">
        <v>356</v>
      </c>
      <c r="BC40" s="567" t="s">
        <v>356</v>
      </c>
      <c r="BD40" s="567" t="s">
        <v>356</v>
      </c>
      <c r="BE40" s="568" t="s">
        <v>356</v>
      </c>
      <c r="BF40" s="565" t="s">
        <v>357</v>
      </c>
      <c r="BG40" s="569" t="s">
        <v>357</v>
      </c>
    </row>
    <row r="41" spans="1:59" ht="15.6">
      <c r="A41" s="473">
        <v>1</v>
      </c>
      <c r="B41" s="473" t="s">
        <v>166</v>
      </c>
      <c r="C41" s="465" t="str">
        <f t="shared" ref="C41:C66" si="30">VLOOKUP($B41,$B$2:$C$35,COLUMN(B41),FALSE)</f>
        <v>MEP Director</v>
      </c>
      <c r="D41" s="511">
        <f>SUM(E41:CH41)</f>
        <v>342</v>
      </c>
      <c r="E41" s="477"/>
      <c r="F41" s="477"/>
      <c r="G41" s="476"/>
      <c r="H41" s="477"/>
      <c r="I41" s="477"/>
      <c r="J41" s="477"/>
      <c r="K41" s="477"/>
      <c r="L41" s="477"/>
      <c r="M41" s="477"/>
      <c r="N41" s="478"/>
      <c r="O41" s="479">
        <v>9</v>
      </c>
      <c r="P41" s="476">
        <v>9</v>
      </c>
      <c r="Q41" s="477">
        <v>9</v>
      </c>
      <c r="R41" s="477">
        <v>9</v>
      </c>
      <c r="S41" s="477">
        <v>9</v>
      </c>
      <c r="T41" s="477">
        <v>18</v>
      </c>
      <c r="U41" s="476">
        <v>9</v>
      </c>
      <c r="V41" s="477">
        <v>9</v>
      </c>
      <c r="W41" s="477">
        <v>9</v>
      </c>
      <c r="X41" s="477">
        <v>18</v>
      </c>
      <c r="Y41" s="477">
        <v>18</v>
      </c>
      <c r="Z41" s="477">
        <v>18</v>
      </c>
      <c r="AA41" s="477">
        <v>9</v>
      </c>
      <c r="AB41" s="477">
        <v>9</v>
      </c>
      <c r="AC41" s="477">
        <v>9</v>
      </c>
      <c r="AD41" s="480">
        <v>9</v>
      </c>
      <c r="AE41" s="476"/>
      <c r="AF41" s="478"/>
      <c r="AG41" s="481">
        <v>18</v>
      </c>
      <c r="AH41" s="477">
        <v>18</v>
      </c>
      <c r="AI41" s="477">
        <v>9</v>
      </c>
      <c r="AJ41" s="477">
        <v>9</v>
      </c>
      <c r="AK41" s="477">
        <v>9</v>
      </c>
      <c r="AL41" s="477">
        <v>18</v>
      </c>
      <c r="AM41" s="477">
        <v>18</v>
      </c>
      <c r="AN41" s="477">
        <v>9</v>
      </c>
      <c r="AO41" s="477">
        <v>9</v>
      </c>
      <c r="AP41" s="477">
        <v>9</v>
      </c>
      <c r="AQ41" s="477">
        <v>18</v>
      </c>
      <c r="AR41" s="478">
        <v>18</v>
      </c>
      <c r="AS41" s="482"/>
      <c r="AT41" s="476"/>
      <c r="AU41" s="477"/>
      <c r="AV41" s="477"/>
      <c r="AW41" s="477"/>
      <c r="AX41" s="477"/>
      <c r="AY41" s="477"/>
      <c r="AZ41" s="477"/>
      <c r="BA41" s="477"/>
      <c r="BB41" s="477"/>
      <c r="BC41" s="477"/>
      <c r="BD41" s="477"/>
      <c r="BE41" s="478"/>
      <c r="BF41" s="481"/>
      <c r="BG41" s="483"/>
    </row>
    <row r="42" spans="1:59" ht="15.6">
      <c r="A42" s="474">
        <v>5</v>
      </c>
      <c r="B42" s="474" t="s">
        <v>293</v>
      </c>
      <c r="C42" s="466" t="str">
        <f t="shared" ref="C42:C44" si="31">VLOOKUP($B42,$B$2:$C$35,COLUMN(B42),FALSE)</f>
        <v>Lead PHE Engr (Dubai)</v>
      </c>
      <c r="D42" s="507">
        <f t="shared" ref="D42:D44" si="32">SUM(E42:CH42)</f>
        <v>207</v>
      </c>
      <c r="E42" s="485"/>
      <c r="F42" s="485"/>
      <c r="G42" s="484"/>
      <c r="H42" s="485"/>
      <c r="I42" s="485"/>
      <c r="J42" s="485"/>
      <c r="K42" s="485"/>
      <c r="L42" s="485"/>
      <c r="M42" s="485"/>
      <c r="N42" s="486"/>
      <c r="O42" s="487"/>
      <c r="P42" s="484"/>
      <c r="Q42" s="485"/>
      <c r="R42" s="485"/>
      <c r="S42" s="485"/>
      <c r="T42" s="485">
        <v>9</v>
      </c>
      <c r="U42" s="484">
        <v>9</v>
      </c>
      <c r="V42" s="485">
        <v>9</v>
      </c>
      <c r="W42" s="485">
        <v>9</v>
      </c>
      <c r="X42" s="485">
        <v>9</v>
      </c>
      <c r="Y42" s="485">
        <v>9</v>
      </c>
      <c r="Z42" s="485">
        <v>9</v>
      </c>
      <c r="AA42" s="485">
        <v>9</v>
      </c>
      <c r="AB42" s="485">
        <v>9</v>
      </c>
      <c r="AC42" s="485">
        <v>9</v>
      </c>
      <c r="AD42" s="488">
        <v>9</v>
      </c>
      <c r="AE42" s="484"/>
      <c r="AF42" s="486"/>
      <c r="AG42" s="489">
        <v>9</v>
      </c>
      <c r="AH42" s="485">
        <v>9</v>
      </c>
      <c r="AI42" s="485">
        <v>9</v>
      </c>
      <c r="AJ42" s="485">
        <v>9</v>
      </c>
      <c r="AK42" s="485">
        <v>9</v>
      </c>
      <c r="AL42" s="485">
        <v>9</v>
      </c>
      <c r="AM42" s="485">
        <v>9</v>
      </c>
      <c r="AN42" s="485">
        <v>9</v>
      </c>
      <c r="AO42" s="485">
        <v>9</v>
      </c>
      <c r="AP42" s="485">
        <v>9</v>
      </c>
      <c r="AQ42" s="485">
        <v>9</v>
      </c>
      <c r="AR42" s="486">
        <v>9</v>
      </c>
      <c r="AS42" s="490"/>
      <c r="AT42" s="484"/>
      <c r="AU42" s="485"/>
      <c r="AV42" s="485"/>
      <c r="AW42" s="485"/>
      <c r="AX42" s="485"/>
      <c r="AY42" s="485"/>
      <c r="AZ42" s="485"/>
      <c r="BA42" s="485"/>
      <c r="BB42" s="485"/>
      <c r="BC42" s="485"/>
      <c r="BD42" s="485"/>
      <c r="BE42" s="486"/>
      <c r="BF42" s="489"/>
      <c r="BG42" s="491"/>
    </row>
    <row r="43" spans="1:59" ht="15.6">
      <c r="A43" s="474">
        <v>6</v>
      </c>
      <c r="B43" s="474" t="s">
        <v>295</v>
      </c>
      <c r="C43" s="466" t="str">
        <f t="shared" si="31"/>
        <v>Lead Elect Engr (Dubai)</v>
      </c>
      <c r="D43" s="507">
        <f t="shared" si="32"/>
        <v>207</v>
      </c>
      <c r="E43" s="485"/>
      <c r="F43" s="485"/>
      <c r="G43" s="484"/>
      <c r="H43" s="485"/>
      <c r="I43" s="485"/>
      <c r="J43" s="485"/>
      <c r="K43" s="485"/>
      <c r="L43" s="485"/>
      <c r="M43" s="485"/>
      <c r="N43" s="486"/>
      <c r="O43" s="487"/>
      <c r="P43" s="484"/>
      <c r="Q43" s="485"/>
      <c r="R43" s="485"/>
      <c r="S43" s="485"/>
      <c r="T43" s="485">
        <v>9</v>
      </c>
      <c r="U43" s="484">
        <v>9</v>
      </c>
      <c r="V43" s="485">
        <v>9</v>
      </c>
      <c r="W43" s="485">
        <v>9</v>
      </c>
      <c r="X43" s="485">
        <v>9</v>
      </c>
      <c r="Y43" s="485">
        <v>9</v>
      </c>
      <c r="Z43" s="485">
        <v>9</v>
      </c>
      <c r="AA43" s="485">
        <v>9</v>
      </c>
      <c r="AB43" s="485">
        <v>9</v>
      </c>
      <c r="AC43" s="485">
        <v>9</v>
      </c>
      <c r="AD43" s="488">
        <v>9</v>
      </c>
      <c r="AE43" s="484"/>
      <c r="AF43" s="486"/>
      <c r="AG43" s="489">
        <v>9</v>
      </c>
      <c r="AH43" s="485">
        <v>9</v>
      </c>
      <c r="AI43" s="485">
        <v>9</v>
      </c>
      <c r="AJ43" s="485">
        <v>9</v>
      </c>
      <c r="AK43" s="485">
        <v>9</v>
      </c>
      <c r="AL43" s="485">
        <v>9</v>
      </c>
      <c r="AM43" s="485">
        <v>9</v>
      </c>
      <c r="AN43" s="485">
        <v>9</v>
      </c>
      <c r="AO43" s="485">
        <v>9</v>
      </c>
      <c r="AP43" s="485">
        <v>9</v>
      </c>
      <c r="AQ43" s="485">
        <v>9</v>
      </c>
      <c r="AR43" s="486">
        <v>9</v>
      </c>
      <c r="AS43" s="490"/>
      <c r="AT43" s="484"/>
      <c r="AU43" s="485"/>
      <c r="AV43" s="485"/>
      <c r="AW43" s="485"/>
      <c r="AX43" s="485"/>
      <c r="AY43" s="485"/>
      <c r="AZ43" s="485"/>
      <c r="BA43" s="485"/>
      <c r="BB43" s="485"/>
      <c r="BC43" s="485"/>
      <c r="BD43" s="485"/>
      <c r="BE43" s="486"/>
      <c r="BF43" s="489"/>
      <c r="BG43" s="491"/>
    </row>
    <row r="44" spans="1:59" ht="15.6">
      <c r="A44" s="474">
        <v>7</v>
      </c>
      <c r="B44" s="474" t="s">
        <v>291</v>
      </c>
      <c r="C44" s="466" t="str">
        <f t="shared" si="31"/>
        <v>Lead Mech Engr (Dubai)</v>
      </c>
      <c r="D44" s="507">
        <f t="shared" si="32"/>
        <v>207</v>
      </c>
      <c r="E44" s="485"/>
      <c r="F44" s="485"/>
      <c r="G44" s="484"/>
      <c r="H44" s="485"/>
      <c r="I44" s="485"/>
      <c r="J44" s="485"/>
      <c r="K44" s="485"/>
      <c r="L44" s="485"/>
      <c r="M44" s="485"/>
      <c r="N44" s="486"/>
      <c r="O44" s="487"/>
      <c r="P44" s="484"/>
      <c r="Q44" s="485"/>
      <c r="R44" s="485"/>
      <c r="S44" s="485"/>
      <c r="T44" s="485">
        <v>9</v>
      </c>
      <c r="U44" s="484">
        <v>9</v>
      </c>
      <c r="V44" s="485">
        <v>9</v>
      </c>
      <c r="W44" s="485">
        <v>9</v>
      </c>
      <c r="X44" s="485">
        <v>9</v>
      </c>
      <c r="Y44" s="485">
        <v>9</v>
      </c>
      <c r="Z44" s="485">
        <v>9</v>
      </c>
      <c r="AA44" s="485">
        <v>9</v>
      </c>
      <c r="AB44" s="485">
        <v>9</v>
      </c>
      <c r="AC44" s="485">
        <v>9</v>
      </c>
      <c r="AD44" s="488">
        <v>9</v>
      </c>
      <c r="AE44" s="484"/>
      <c r="AF44" s="486"/>
      <c r="AG44" s="489">
        <v>9</v>
      </c>
      <c r="AH44" s="485">
        <v>9</v>
      </c>
      <c r="AI44" s="485">
        <v>9</v>
      </c>
      <c r="AJ44" s="485">
        <v>9</v>
      </c>
      <c r="AK44" s="485">
        <v>9</v>
      </c>
      <c r="AL44" s="485">
        <v>9</v>
      </c>
      <c r="AM44" s="485">
        <v>9</v>
      </c>
      <c r="AN44" s="485">
        <v>9</v>
      </c>
      <c r="AO44" s="485">
        <v>9</v>
      </c>
      <c r="AP44" s="485">
        <v>9</v>
      </c>
      <c r="AQ44" s="485">
        <v>9</v>
      </c>
      <c r="AR44" s="486">
        <v>9</v>
      </c>
      <c r="AS44" s="490"/>
      <c r="AT44" s="484"/>
      <c r="AU44" s="485"/>
      <c r="AV44" s="485"/>
      <c r="AW44" s="485"/>
      <c r="AX44" s="485"/>
      <c r="AY44" s="485"/>
      <c r="AZ44" s="485"/>
      <c r="BA44" s="485"/>
      <c r="BB44" s="485"/>
      <c r="BC44" s="485"/>
      <c r="BD44" s="485"/>
      <c r="BE44" s="486"/>
      <c r="BF44" s="489"/>
      <c r="BG44" s="491"/>
    </row>
    <row r="45" spans="1:59" ht="15.6">
      <c r="A45" s="474">
        <v>5</v>
      </c>
      <c r="B45" s="474" t="s">
        <v>309</v>
      </c>
      <c r="C45" s="466" t="str">
        <f t="shared" si="30"/>
        <v>Senior PHE Engr</v>
      </c>
      <c r="D45" s="507">
        <f t="shared" ref="D45:D66" si="33">SUM(E45:CH45)</f>
        <v>774</v>
      </c>
      <c r="E45" s="485"/>
      <c r="F45" s="485"/>
      <c r="G45" s="484"/>
      <c r="H45" s="485"/>
      <c r="I45" s="485"/>
      <c r="J45" s="485"/>
      <c r="K45" s="485"/>
      <c r="L45" s="485"/>
      <c r="M45" s="485"/>
      <c r="N45" s="486"/>
      <c r="O45" s="487">
        <v>22.5</v>
      </c>
      <c r="P45" s="484">
        <v>22.5</v>
      </c>
      <c r="Q45" s="485">
        <v>18</v>
      </c>
      <c r="R45" s="485">
        <v>18</v>
      </c>
      <c r="S45" s="485">
        <v>18</v>
      </c>
      <c r="T45" s="485">
        <v>27</v>
      </c>
      <c r="U45" s="484">
        <v>27</v>
      </c>
      <c r="V45" s="485">
        <v>27</v>
      </c>
      <c r="W45" s="485">
        <v>27</v>
      </c>
      <c r="X45" s="485">
        <v>27</v>
      </c>
      <c r="Y45" s="485">
        <v>27</v>
      </c>
      <c r="Z45" s="485">
        <v>27</v>
      </c>
      <c r="AA45" s="485">
        <v>27</v>
      </c>
      <c r="AB45" s="485">
        <v>27</v>
      </c>
      <c r="AC45" s="485">
        <v>27</v>
      </c>
      <c r="AD45" s="488">
        <v>27</v>
      </c>
      <c r="AE45" s="484">
        <v>9</v>
      </c>
      <c r="AF45" s="486">
        <v>9</v>
      </c>
      <c r="AG45" s="489">
        <v>27</v>
      </c>
      <c r="AH45" s="485">
        <v>27</v>
      </c>
      <c r="AI45" s="485">
        <v>27</v>
      </c>
      <c r="AJ45" s="485">
        <v>27</v>
      </c>
      <c r="AK45" s="485">
        <v>27</v>
      </c>
      <c r="AL45" s="485">
        <v>27</v>
      </c>
      <c r="AM45" s="485">
        <v>45</v>
      </c>
      <c r="AN45" s="485">
        <v>27</v>
      </c>
      <c r="AO45" s="485">
        <v>27</v>
      </c>
      <c r="AP45" s="485">
        <v>27</v>
      </c>
      <c r="AQ45" s="485">
        <v>27</v>
      </c>
      <c r="AR45" s="486">
        <v>45</v>
      </c>
      <c r="AS45" s="490"/>
      <c r="AT45" s="484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6"/>
      <c r="BF45" s="489"/>
      <c r="BG45" s="491"/>
    </row>
    <row r="46" spans="1:59" ht="15.6">
      <c r="A46" s="474">
        <v>6</v>
      </c>
      <c r="B46" s="474" t="s">
        <v>313</v>
      </c>
      <c r="C46" s="466" t="str">
        <f t="shared" si="30"/>
        <v>Senior Electrical Engineer</v>
      </c>
      <c r="D46" s="507">
        <f t="shared" si="33"/>
        <v>774</v>
      </c>
      <c r="E46" s="485"/>
      <c r="F46" s="485"/>
      <c r="G46" s="484"/>
      <c r="H46" s="485"/>
      <c r="I46" s="485"/>
      <c r="J46" s="485"/>
      <c r="K46" s="485"/>
      <c r="L46" s="485"/>
      <c r="M46" s="485"/>
      <c r="N46" s="486"/>
      <c r="O46" s="487">
        <v>22.5</v>
      </c>
      <c r="P46" s="484">
        <v>22.5</v>
      </c>
      <c r="Q46" s="485">
        <v>18</v>
      </c>
      <c r="R46" s="485">
        <v>18</v>
      </c>
      <c r="S46" s="485">
        <v>18</v>
      </c>
      <c r="T46" s="485">
        <v>27</v>
      </c>
      <c r="U46" s="484">
        <v>27</v>
      </c>
      <c r="V46" s="485">
        <v>27</v>
      </c>
      <c r="W46" s="485">
        <v>27</v>
      </c>
      <c r="X46" s="485">
        <v>27</v>
      </c>
      <c r="Y46" s="485">
        <v>27</v>
      </c>
      <c r="Z46" s="485">
        <v>27</v>
      </c>
      <c r="AA46" s="485">
        <v>27</v>
      </c>
      <c r="AB46" s="485">
        <v>27</v>
      </c>
      <c r="AC46" s="485">
        <v>27</v>
      </c>
      <c r="AD46" s="488">
        <v>27</v>
      </c>
      <c r="AE46" s="484">
        <v>9</v>
      </c>
      <c r="AF46" s="486">
        <v>9</v>
      </c>
      <c r="AG46" s="489">
        <v>27</v>
      </c>
      <c r="AH46" s="485">
        <v>27</v>
      </c>
      <c r="AI46" s="485">
        <v>27</v>
      </c>
      <c r="AJ46" s="485">
        <v>27</v>
      </c>
      <c r="AK46" s="485">
        <v>27</v>
      </c>
      <c r="AL46" s="485">
        <v>27</v>
      </c>
      <c r="AM46" s="485">
        <v>45</v>
      </c>
      <c r="AN46" s="485">
        <v>27</v>
      </c>
      <c r="AO46" s="485">
        <v>27</v>
      </c>
      <c r="AP46" s="485">
        <v>27</v>
      </c>
      <c r="AQ46" s="485">
        <v>27</v>
      </c>
      <c r="AR46" s="486">
        <v>45</v>
      </c>
      <c r="AS46" s="490"/>
      <c r="AT46" s="484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6"/>
      <c r="BF46" s="489"/>
      <c r="BG46" s="491"/>
    </row>
    <row r="47" spans="1:59" ht="15.6">
      <c r="A47" s="474">
        <v>7</v>
      </c>
      <c r="B47" s="474" t="s">
        <v>305</v>
      </c>
      <c r="C47" s="466" t="str">
        <f t="shared" si="30"/>
        <v>Senior Mechanical Engineer</v>
      </c>
      <c r="D47" s="507">
        <f t="shared" si="33"/>
        <v>774</v>
      </c>
      <c r="E47" s="485"/>
      <c r="F47" s="485"/>
      <c r="G47" s="484"/>
      <c r="H47" s="485"/>
      <c r="I47" s="485"/>
      <c r="J47" s="485"/>
      <c r="K47" s="485"/>
      <c r="L47" s="485"/>
      <c r="M47" s="485"/>
      <c r="N47" s="486"/>
      <c r="O47" s="487">
        <v>22.5</v>
      </c>
      <c r="P47" s="484">
        <v>22.5</v>
      </c>
      <c r="Q47" s="485">
        <v>18</v>
      </c>
      <c r="R47" s="485">
        <v>18</v>
      </c>
      <c r="S47" s="485">
        <v>18</v>
      </c>
      <c r="T47" s="485">
        <v>27</v>
      </c>
      <c r="U47" s="484">
        <v>27</v>
      </c>
      <c r="V47" s="485">
        <v>27</v>
      </c>
      <c r="W47" s="485">
        <v>27</v>
      </c>
      <c r="X47" s="485">
        <v>27</v>
      </c>
      <c r="Y47" s="485">
        <v>27</v>
      </c>
      <c r="Z47" s="485">
        <v>27</v>
      </c>
      <c r="AA47" s="485">
        <v>27</v>
      </c>
      <c r="AB47" s="485">
        <v>27</v>
      </c>
      <c r="AC47" s="485">
        <v>27</v>
      </c>
      <c r="AD47" s="488">
        <v>27</v>
      </c>
      <c r="AE47" s="484">
        <v>9</v>
      </c>
      <c r="AF47" s="486">
        <v>9</v>
      </c>
      <c r="AG47" s="489">
        <v>27</v>
      </c>
      <c r="AH47" s="485">
        <v>27</v>
      </c>
      <c r="AI47" s="485">
        <v>27</v>
      </c>
      <c r="AJ47" s="485">
        <v>27</v>
      </c>
      <c r="AK47" s="485">
        <v>27</v>
      </c>
      <c r="AL47" s="485">
        <v>27</v>
      </c>
      <c r="AM47" s="485">
        <v>45</v>
      </c>
      <c r="AN47" s="485">
        <v>27</v>
      </c>
      <c r="AO47" s="485">
        <v>27</v>
      </c>
      <c r="AP47" s="485">
        <v>27</v>
      </c>
      <c r="AQ47" s="485">
        <v>27</v>
      </c>
      <c r="AR47" s="486">
        <v>45</v>
      </c>
      <c r="AS47" s="490"/>
      <c r="AT47" s="484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6"/>
      <c r="BF47" s="489"/>
      <c r="BG47" s="491"/>
    </row>
    <row r="48" spans="1:59" ht="15.6">
      <c r="A48" s="474">
        <v>8</v>
      </c>
      <c r="B48" s="474" t="s">
        <v>311</v>
      </c>
      <c r="C48" s="466" t="str">
        <f t="shared" si="30"/>
        <v>PHE Engineer</v>
      </c>
      <c r="D48" s="507">
        <f t="shared" si="33"/>
        <v>1314</v>
      </c>
      <c r="E48" s="485"/>
      <c r="F48" s="485"/>
      <c r="G48" s="458"/>
      <c r="H48" s="459"/>
      <c r="I48" s="459"/>
      <c r="J48" s="459"/>
      <c r="K48" s="459"/>
      <c r="L48" s="459"/>
      <c r="M48" s="459"/>
      <c r="N48" s="460"/>
      <c r="O48" s="487">
        <v>22.5</v>
      </c>
      <c r="P48" s="484">
        <v>22.5</v>
      </c>
      <c r="Q48" s="485">
        <v>18</v>
      </c>
      <c r="R48" s="485">
        <v>18</v>
      </c>
      <c r="S48" s="485">
        <v>18</v>
      </c>
      <c r="T48" s="485">
        <v>45</v>
      </c>
      <c r="U48" s="484">
        <v>45</v>
      </c>
      <c r="V48" s="485">
        <v>45</v>
      </c>
      <c r="W48" s="485">
        <v>45</v>
      </c>
      <c r="X48" s="485">
        <v>45</v>
      </c>
      <c r="Y48" s="485">
        <v>45</v>
      </c>
      <c r="Z48" s="485">
        <v>45</v>
      </c>
      <c r="AA48" s="485">
        <v>45</v>
      </c>
      <c r="AB48" s="485">
        <v>45</v>
      </c>
      <c r="AC48" s="485">
        <v>45</v>
      </c>
      <c r="AD48" s="488">
        <v>45</v>
      </c>
      <c r="AE48" s="484"/>
      <c r="AF48" s="486"/>
      <c r="AG48" s="489">
        <v>60</v>
      </c>
      <c r="AH48" s="485">
        <v>60</v>
      </c>
      <c r="AI48" s="485">
        <v>60</v>
      </c>
      <c r="AJ48" s="485">
        <v>60</v>
      </c>
      <c r="AK48" s="485">
        <v>60</v>
      </c>
      <c r="AL48" s="485">
        <v>60</v>
      </c>
      <c r="AM48" s="485">
        <v>60</v>
      </c>
      <c r="AN48" s="485">
        <v>60</v>
      </c>
      <c r="AO48" s="485">
        <v>60</v>
      </c>
      <c r="AP48" s="485">
        <v>60</v>
      </c>
      <c r="AQ48" s="485">
        <v>60</v>
      </c>
      <c r="AR48" s="486">
        <v>60</v>
      </c>
      <c r="AS48" s="490"/>
      <c r="AT48" s="484"/>
      <c r="AU48" s="485"/>
      <c r="AV48" s="485"/>
      <c r="AW48" s="485"/>
      <c r="AX48" s="485"/>
      <c r="AY48" s="485"/>
      <c r="AZ48" s="485"/>
      <c r="BA48" s="485"/>
      <c r="BB48" s="485"/>
      <c r="BC48" s="485"/>
      <c r="BD48" s="485"/>
      <c r="BE48" s="486"/>
      <c r="BF48" s="489"/>
      <c r="BG48" s="491"/>
    </row>
    <row r="49" spans="1:59" ht="15.6">
      <c r="A49" s="474">
        <v>9</v>
      </c>
      <c r="B49" s="474" t="s">
        <v>315</v>
      </c>
      <c r="C49" s="466" t="str">
        <f t="shared" si="30"/>
        <v>Electrical Engineer</v>
      </c>
      <c r="D49" s="507">
        <f t="shared" si="33"/>
        <v>1314</v>
      </c>
      <c r="E49" s="485"/>
      <c r="F49" s="485"/>
      <c r="G49" s="458"/>
      <c r="H49" s="459"/>
      <c r="I49" s="459"/>
      <c r="J49" s="459"/>
      <c r="K49" s="459"/>
      <c r="L49" s="459"/>
      <c r="M49" s="459"/>
      <c r="N49" s="460"/>
      <c r="O49" s="487">
        <v>22.5</v>
      </c>
      <c r="P49" s="484">
        <v>22.5</v>
      </c>
      <c r="Q49" s="485">
        <v>18</v>
      </c>
      <c r="R49" s="485">
        <v>18</v>
      </c>
      <c r="S49" s="485">
        <v>18</v>
      </c>
      <c r="T49" s="485">
        <v>45</v>
      </c>
      <c r="U49" s="484">
        <v>45</v>
      </c>
      <c r="V49" s="485">
        <v>45</v>
      </c>
      <c r="W49" s="485">
        <v>45</v>
      </c>
      <c r="X49" s="485">
        <v>45</v>
      </c>
      <c r="Y49" s="485">
        <v>45</v>
      </c>
      <c r="Z49" s="485">
        <v>45</v>
      </c>
      <c r="AA49" s="485">
        <v>45</v>
      </c>
      <c r="AB49" s="485">
        <v>45</v>
      </c>
      <c r="AC49" s="485">
        <v>45</v>
      </c>
      <c r="AD49" s="488">
        <v>45</v>
      </c>
      <c r="AE49" s="484"/>
      <c r="AF49" s="486"/>
      <c r="AG49" s="489">
        <v>60</v>
      </c>
      <c r="AH49" s="485">
        <v>60</v>
      </c>
      <c r="AI49" s="485">
        <v>60</v>
      </c>
      <c r="AJ49" s="485">
        <v>60</v>
      </c>
      <c r="AK49" s="485">
        <v>60</v>
      </c>
      <c r="AL49" s="485">
        <v>60</v>
      </c>
      <c r="AM49" s="485">
        <v>60</v>
      </c>
      <c r="AN49" s="485">
        <v>60</v>
      </c>
      <c r="AO49" s="485">
        <v>60</v>
      </c>
      <c r="AP49" s="485">
        <v>60</v>
      </c>
      <c r="AQ49" s="485">
        <v>60</v>
      </c>
      <c r="AR49" s="486">
        <v>60</v>
      </c>
      <c r="AS49" s="490"/>
      <c r="AT49" s="484"/>
      <c r="AU49" s="485"/>
      <c r="AV49" s="485"/>
      <c r="AW49" s="485"/>
      <c r="AX49" s="485"/>
      <c r="AY49" s="485"/>
      <c r="AZ49" s="485"/>
      <c r="BA49" s="485"/>
      <c r="BB49" s="485"/>
      <c r="BC49" s="485"/>
      <c r="BD49" s="485"/>
      <c r="BE49" s="486"/>
      <c r="BF49" s="489"/>
      <c r="BG49" s="491"/>
    </row>
    <row r="50" spans="1:59" ht="15.6">
      <c r="A50" s="474">
        <v>10</v>
      </c>
      <c r="B50" s="474" t="s">
        <v>307</v>
      </c>
      <c r="C50" s="466" t="str">
        <f t="shared" si="30"/>
        <v>Mechanical Engineer</v>
      </c>
      <c r="D50" s="507">
        <f t="shared" si="33"/>
        <v>1314</v>
      </c>
      <c r="E50" s="485"/>
      <c r="F50" s="485"/>
      <c r="G50" s="484"/>
      <c r="H50" s="485"/>
      <c r="I50" s="485"/>
      <c r="J50" s="485"/>
      <c r="K50" s="485"/>
      <c r="L50" s="485"/>
      <c r="M50" s="485"/>
      <c r="N50" s="486"/>
      <c r="O50" s="487">
        <v>22.5</v>
      </c>
      <c r="P50" s="484">
        <v>22.5</v>
      </c>
      <c r="Q50" s="485">
        <v>18</v>
      </c>
      <c r="R50" s="485">
        <v>18</v>
      </c>
      <c r="S50" s="485">
        <v>18</v>
      </c>
      <c r="T50" s="485">
        <v>45</v>
      </c>
      <c r="U50" s="484">
        <v>45</v>
      </c>
      <c r="V50" s="485">
        <v>45</v>
      </c>
      <c r="W50" s="485">
        <v>45</v>
      </c>
      <c r="X50" s="485">
        <v>45</v>
      </c>
      <c r="Y50" s="485">
        <v>45</v>
      </c>
      <c r="Z50" s="485">
        <v>45</v>
      </c>
      <c r="AA50" s="485">
        <v>45</v>
      </c>
      <c r="AB50" s="485">
        <v>45</v>
      </c>
      <c r="AC50" s="485">
        <v>45</v>
      </c>
      <c r="AD50" s="488">
        <v>45</v>
      </c>
      <c r="AE50" s="484"/>
      <c r="AF50" s="486"/>
      <c r="AG50" s="489">
        <v>60</v>
      </c>
      <c r="AH50" s="485">
        <v>60</v>
      </c>
      <c r="AI50" s="485">
        <v>60</v>
      </c>
      <c r="AJ50" s="485">
        <v>60</v>
      </c>
      <c r="AK50" s="485">
        <v>60</v>
      </c>
      <c r="AL50" s="485">
        <v>60</v>
      </c>
      <c r="AM50" s="485">
        <v>60</v>
      </c>
      <c r="AN50" s="485">
        <v>60</v>
      </c>
      <c r="AO50" s="485">
        <v>60</v>
      </c>
      <c r="AP50" s="485">
        <v>60</v>
      </c>
      <c r="AQ50" s="485">
        <v>60</v>
      </c>
      <c r="AR50" s="486">
        <v>60</v>
      </c>
      <c r="AS50" s="490"/>
      <c r="AT50" s="484"/>
      <c r="AU50" s="485"/>
      <c r="AV50" s="485"/>
      <c r="AW50" s="485"/>
      <c r="AX50" s="485"/>
      <c r="AY50" s="485"/>
      <c r="AZ50" s="485"/>
      <c r="BA50" s="485"/>
      <c r="BB50" s="485"/>
      <c r="BC50" s="485"/>
      <c r="BD50" s="485"/>
      <c r="BE50" s="486"/>
      <c r="BF50" s="489"/>
      <c r="BG50" s="491"/>
    </row>
    <row r="51" spans="1:59" ht="15.6">
      <c r="A51" s="474">
        <v>11</v>
      </c>
      <c r="B51" s="474" t="s">
        <v>317</v>
      </c>
      <c r="C51" s="466" t="str">
        <f t="shared" si="30"/>
        <v>BIM Manager</v>
      </c>
      <c r="D51" s="507">
        <f t="shared" si="33"/>
        <v>459</v>
      </c>
      <c r="E51" s="485"/>
      <c r="F51" s="485"/>
      <c r="G51" s="484"/>
      <c r="H51" s="485"/>
      <c r="I51" s="485"/>
      <c r="J51" s="485"/>
      <c r="K51" s="485"/>
      <c r="L51" s="485"/>
      <c r="M51" s="485"/>
      <c r="N51" s="486"/>
      <c r="O51" s="487">
        <v>9</v>
      </c>
      <c r="P51" s="484">
        <v>9</v>
      </c>
      <c r="Q51" s="485">
        <v>9</v>
      </c>
      <c r="R51" s="485">
        <v>9</v>
      </c>
      <c r="S51" s="485">
        <v>9</v>
      </c>
      <c r="T51" s="485">
        <v>18</v>
      </c>
      <c r="U51" s="484">
        <v>18</v>
      </c>
      <c r="V51" s="485">
        <v>18</v>
      </c>
      <c r="W51" s="485">
        <v>18</v>
      </c>
      <c r="X51" s="485">
        <v>18</v>
      </c>
      <c r="Y51" s="485">
        <v>18</v>
      </c>
      <c r="Z51" s="485">
        <v>18</v>
      </c>
      <c r="AA51" s="485">
        <v>18</v>
      </c>
      <c r="AB51" s="485">
        <v>18</v>
      </c>
      <c r="AC51" s="485">
        <v>18</v>
      </c>
      <c r="AD51" s="488">
        <v>18</v>
      </c>
      <c r="AE51" s="484"/>
      <c r="AF51" s="486"/>
      <c r="AG51" s="485">
        <v>18</v>
      </c>
      <c r="AH51" s="485">
        <v>18</v>
      </c>
      <c r="AI51" s="485">
        <v>18</v>
      </c>
      <c r="AJ51" s="485">
        <v>18</v>
      </c>
      <c r="AK51" s="485">
        <v>18</v>
      </c>
      <c r="AL51" s="485">
        <v>18</v>
      </c>
      <c r="AM51" s="485">
        <v>18</v>
      </c>
      <c r="AN51" s="485">
        <v>18</v>
      </c>
      <c r="AO51" s="485">
        <v>18</v>
      </c>
      <c r="AP51" s="485">
        <v>18</v>
      </c>
      <c r="AQ51" s="485">
        <v>18</v>
      </c>
      <c r="AR51" s="485">
        <v>18</v>
      </c>
      <c r="AS51" s="490"/>
      <c r="AT51" s="484"/>
      <c r="AU51" s="485"/>
      <c r="AV51" s="485"/>
      <c r="AW51" s="485"/>
      <c r="AX51" s="485"/>
      <c r="AY51" s="485"/>
      <c r="AZ51" s="485"/>
      <c r="BA51" s="485"/>
      <c r="BB51" s="485"/>
      <c r="BC51" s="485"/>
      <c r="BD51" s="485"/>
      <c r="BE51" s="486"/>
      <c r="BF51" s="489"/>
      <c r="BG51" s="491"/>
    </row>
    <row r="52" spans="1:59" ht="15.6">
      <c r="A52" s="474">
        <v>12</v>
      </c>
      <c r="B52" s="474" t="s">
        <v>331</v>
      </c>
      <c r="C52" s="466" t="str">
        <f t="shared" si="30"/>
        <v>BIM Lead-E</v>
      </c>
      <c r="D52" s="507">
        <f t="shared" si="33"/>
        <v>675</v>
      </c>
      <c r="E52" s="485"/>
      <c r="F52" s="485"/>
      <c r="G52" s="458"/>
      <c r="H52" s="459"/>
      <c r="I52" s="459"/>
      <c r="J52" s="459"/>
      <c r="K52" s="459"/>
      <c r="L52" s="459"/>
      <c r="M52" s="459"/>
      <c r="N52" s="460"/>
      <c r="O52" s="487">
        <v>18</v>
      </c>
      <c r="P52" s="484">
        <v>9</v>
      </c>
      <c r="Q52" s="485">
        <v>9</v>
      </c>
      <c r="R52" s="485">
        <v>9</v>
      </c>
      <c r="S52" s="485">
        <v>9</v>
      </c>
      <c r="T52" s="485">
        <v>27</v>
      </c>
      <c r="U52" s="484">
        <v>27</v>
      </c>
      <c r="V52" s="485">
        <v>27</v>
      </c>
      <c r="W52" s="485">
        <v>27</v>
      </c>
      <c r="X52" s="485">
        <v>27</v>
      </c>
      <c r="Y52" s="485">
        <v>27</v>
      </c>
      <c r="Z52" s="485">
        <v>27</v>
      </c>
      <c r="AA52" s="485">
        <v>27</v>
      </c>
      <c r="AB52" s="485">
        <v>27</v>
      </c>
      <c r="AC52" s="485">
        <v>27</v>
      </c>
      <c r="AD52" s="488">
        <v>27</v>
      </c>
      <c r="AE52" s="484"/>
      <c r="AF52" s="486"/>
      <c r="AG52" s="485">
        <v>27</v>
      </c>
      <c r="AH52" s="485">
        <v>27</v>
      </c>
      <c r="AI52" s="485">
        <v>27</v>
      </c>
      <c r="AJ52" s="485">
        <v>27</v>
      </c>
      <c r="AK52" s="485">
        <v>27</v>
      </c>
      <c r="AL52" s="485">
        <v>27</v>
      </c>
      <c r="AM52" s="485">
        <v>27</v>
      </c>
      <c r="AN52" s="485">
        <v>27</v>
      </c>
      <c r="AO52" s="485">
        <v>27</v>
      </c>
      <c r="AP52" s="485">
        <v>27</v>
      </c>
      <c r="AQ52" s="485">
        <v>27</v>
      </c>
      <c r="AR52" s="485">
        <v>27</v>
      </c>
      <c r="AS52" s="490"/>
      <c r="AT52" s="484"/>
      <c r="AU52" s="485"/>
      <c r="AV52" s="485"/>
      <c r="AW52" s="485"/>
      <c r="AX52" s="485"/>
      <c r="AY52" s="485"/>
      <c r="AZ52" s="485"/>
      <c r="BA52" s="485"/>
      <c r="BB52" s="485"/>
      <c r="BC52" s="485"/>
      <c r="BD52" s="485"/>
      <c r="BE52" s="486"/>
      <c r="BF52" s="489"/>
      <c r="BG52" s="491"/>
    </row>
    <row r="53" spans="1:59" ht="15.6">
      <c r="A53" s="474">
        <v>13</v>
      </c>
      <c r="B53" s="474" t="s">
        <v>319</v>
      </c>
      <c r="C53" s="466" t="str">
        <f t="shared" si="30"/>
        <v>BIM Lead-M</v>
      </c>
      <c r="D53" s="507">
        <f t="shared" si="33"/>
        <v>675</v>
      </c>
      <c r="E53" s="485"/>
      <c r="F53" s="485"/>
      <c r="G53" s="458"/>
      <c r="H53" s="459"/>
      <c r="I53" s="459"/>
      <c r="J53" s="459"/>
      <c r="K53" s="459"/>
      <c r="L53" s="459"/>
      <c r="M53" s="459"/>
      <c r="N53" s="460"/>
      <c r="O53" s="487">
        <v>18</v>
      </c>
      <c r="P53" s="484">
        <v>9</v>
      </c>
      <c r="Q53" s="485">
        <v>9</v>
      </c>
      <c r="R53" s="485">
        <v>9</v>
      </c>
      <c r="S53" s="485">
        <v>9</v>
      </c>
      <c r="T53" s="485">
        <v>27</v>
      </c>
      <c r="U53" s="484">
        <v>27</v>
      </c>
      <c r="V53" s="485">
        <v>27</v>
      </c>
      <c r="W53" s="485">
        <v>27</v>
      </c>
      <c r="X53" s="485">
        <v>27</v>
      </c>
      <c r="Y53" s="485">
        <v>27</v>
      </c>
      <c r="Z53" s="485">
        <v>27</v>
      </c>
      <c r="AA53" s="485">
        <v>27</v>
      </c>
      <c r="AB53" s="485">
        <v>27</v>
      </c>
      <c r="AC53" s="485">
        <v>27</v>
      </c>
      <c r="AD53" s="488">
        <v>27</v>
      </c>
      <c r="AE53" s="484"/>
      <c r="AF53" s="486"/>
      <c r="AG53" s="485">
        <v>27</v>
      </c>
      <c r="AH53" s="485">
        <v>27</v>
      </c>
      <c r="AI53" s="485">
        <v>27</v>
      </c>
      <c r="AJ53" s="485">
        <v>27</v>
      </c>
      <c r="AK53" s="485">
        <v>27</v>
      </c>
      <c r="AL53" s="485">
        <v>27</v>
      </c>
      <c r="AM53" s="485">
        <v>27</v>
      </c>
      <c r="AN53" s="485">
        <v>27</v>
      </c>
      <c r="AO53" s="485">
        <v>27</v>
      </c>
      <c r="AP53" s="485">
        <v>27</v>
      </c>
      <c r="AQ53" s="485">
        <v>27</v>
      </c>
      <c r="AR53" s="485">
        <v>27</v>
      </c>
      <c r="AS53" s="490"/>
      <c r="AT53" s="484"/>
      <c r="AU53" s="485"/>
      <c r="AV53" s="485"/>
      <c r="AW53" s="485"/>
      <c r="AX53" s="485"/>
      <c r="AY53" s="485"/>
      <c r="AZ53" s="485"/>
      <c r="BA53" s="485"/>
      <c r="BB53" s="485"/>
      <c r="BC53" s="485"/>
      <c r="BD53" s="485"/>
      <c r="BE53" s="486"/>
      <c r="BF53" s="489"/>
      <c r="BG53" s="491"/>
    </row>
    <row r="54" spans="1:59" ht="15.6">
      <c r="A54" s="474">
        <v>14</v>
      </c>
      <c r="B54" s="474" t="s">
        <v>325</v>
      </c>
      <c r="C54" s="466" t="str">
        <f t="shared" si="30"/>
        <v>BIM Lead-P</v>
      </c>
      <c r="D54" s="507">
        <f t="shared" si="33"/>
        <v>675</v>
      </c>
      <c r="E54" s="485"/>
      <c r="F54" s="485"/>
      <c r="G54" s="458"/>
      <c r="H54" s="459"/>
      <c r="I54" s="459"/>
      <c r="J54" s="459"/>
      <c r="K54" s="459"/>
      <c r="L54" s="459"/>
      <c r="M54" s="459"/>
      <c r="N54" s="460"/>
      <c r="O54" s="570">
        <v>18</v>
      </c>
      <c r="P54" s="484">
        <v>9</v>
      </c>
      <c r="Q54" s="485">
        <v>9</v>
      </c>
      <c r="R54" s="485">
        <v>9</v>
      </c>
      <c r="S54" s="485">
        <v>9</v>
      </c>
      <c r="T54" s="485">
        <v>27</v>
      </c>
      <c r="U54" s="484">
        <v>27</v>
      </c>
      <c r="V54" s="485">
        <v>27</v>
      </c>
      <c r="W54" s="485">
        <v>27</v>
      </c>
      <c r="X54" s="485">
        <v>27</v>
      </c>
      <c r="Y54" s="485">
        <v>27</v>
      </c>
      <c r="Z54" s="485">
        <v>27</v>
      </c>
      <c r="AA54" s="485">
        <v>27</v>
      </c>
      <c r="AB54" s="485">
        <v>27</v>
      </c>
      <c r="AC54" s="485">
        <v>27</v>
      </c>
      <c r="AD54" s="488">
        <v>27</v>
      </c>
      <c r="AE54" s="484"/>
      <c r="AF54" s="486"/>
      <c r="AG54" s="485">
        <v>27</v>
      </c>
      <c r="AH54" s="485">
        <v>27</v>
      </c>
      <c r="AI54" s="485">
        <v>27</v>
      </c>
      <c r="AJ54" s="485">
        <v>27</v>
      </c>
      <c r="AK54" s="485">
        <v>27</v>
      </c>
      <c r="AL54" s="485">
        <v>27</v>
      </c>
      <c r="AM54" s="485">
        <v>27</v>
      </c>
      <c r="AN54" s="485">
        <v>27</v>
      </c>
      <c r="AO54" s="485">
        <v>27</v>
      </c>
      <c r="AP54" s="485">
        <v>27</v>
      </c>
      <c r="AQ54" s="485">
        <v>27</v>
      </c>
      <c r="AR54" s="485">
        <v>27</v>
      </c>
      <c r="AS54" s="490"/>
      <c r="AT54" s="484"/>
      <c r="AU54" s="485"/>
      <c r="AV54" s="485"/>
      <c r="AW54" s="485"/>
      <c r="AX54" s="485"/>
      <c r="AY54" s="485"/>
      <c r="AZ54" s="485"/>
      <c r="BA54" s="485"/>
      <c r="BB54" s="485"/>
      <c r="BC54" s="485"/>
      <c r="BD54" s="485"/>
      <c r="BE54" s="486"/>
      <c r="BF54" s="489"/>
      <c r="BG54" s="491"/>
    </row>
    <row r="55" spans="1:59" ht="15.6">
      <c r="A55" s="474">
        <v>15</v>
      </c>
      <c r="B55" s="474" t="s">
        <v>333</v>
      </c>
      <c r="C55" s="466" t="str">
        <f t="shared" si="30"/>
        <v>BIM Modeller-E</v>
      </c>
      <c r="D55" s="507">
        <f t="shared" si="33"/>
        <v>1116</v>
      </c>
      <c r="E55" s="485"/>
      <c r="F55" s="485"/>
      <c r="G55" s="458"/>
      <c r="H55" s="459"/>
      <c r="I55" s="459"/>
      <c r="J55" s="459"/>
      <c r="K55" s="459"/>
      <c r="L55" s="459"/>
      <c r="M55" s="459"/>
      <c r="N55" s="460"/>
      <c r="O55" s="570">
        <v>45</v>
      </c>
      <c r="P55" s="484">
        <v>27</v>
      </c>
      <c r="Q55" s="485">
        <v>27</v>
      </c>
      <c r="R55" s="485">
        <v>27</v>
      </c>
      <c r="S55" s="485">
        <v>45</v>
      </c>
      <c r="T55" s="485"/>
      <c r="U55" s="484">
        <v>45</v>
      </c>
      <c r="V55" s="485">
        <v>45</v>
      </c>
      <c r="W55" s="485">
        <v>45</v>
      </c>
      <c r="X55" s="485">
        <v>45</v>
      </c>
      <c r="Y55" s="485">
        <v>45</v>
      </c>
      <c r="Z55" s="485">
        <v>45</v>
      </c>
      <c r="AA55" s="485">
        <v>45</v>
      </c>
      <c r="AB55" s="485">
        <v>45</v>
      </c>
      <c r="AC55" s="485">
        <v>45</v>
      </c>
      <c r="AD55" s="488">
        <v>45</v>
      </c>
      <c r="AE55" s="484"/>
      <c r="AF55" s="486"/>
      <c r="AG55" s="489"/>
      <c r="AH55" s="485">
        <v>45</v>
      </c>
      <c r="AI55" s="485">
        <v>45</v>
      </c>
      <c r="AJ55" s="485">
        <v>45</v>
      </c>
      <c r="AK55" s="485">
        <v>45</v>
      </c>
      <c r="AL55" s="485">
        <v>45</v>
      </c>
      <c r="AM55" s="485">
        <v>45</v>
      </c>
      <c r="AN55" s="485">
        <v>45</v>
      </c>
      <c r="AO55" s="485">
        <v>45</v>
      </c>
      <c r="AP55" s="485">
        <v>45</v>
      </c>
      <c r="AQ55" s="485">
        <v>45</v>
      </c>
      <c r="AR55" s="486">
        <v>45</v>
      </c>
      <c r="AS55" s="490"/>
      <c r="AT55" s="484"/>
      <c r="AU55" s="485"/>
      <c r="AV55" s="485"/>
      <c r="AW55" s="485"/>
      <c r="AX55" s="485"/>
      <c r="AY55" s="485"/>
      <c r="AZ55" s="485"/>
      <c r="BA55" s="485"/>
      <c r="BB55" s="485"/>
      <c r="BC55" s="485"/>
      <c r="BD55" s="485"/>
      <c r="BE55" s="486"/>
      <c r="BF55" s="489"/>
      <c r="BG55" s="491"/>
    </row>
    <row r="56" spans="1:59" ht="15.6">
      <c r="A56" s="474">
        <v>16</v>
      </c>
      <c r="B56" s="474" t="s">
        <v>333</v>
      </c>
      <c r="C56" s="466" t="str">
        <f t="shared" si="30"/>
        <v>BIM Modeller-E</v>
      </c>
      <c r="D56" s="507">
        <f t="shared" si="33"/>
        <v>990</v>
      </c>
      <c r="E56" s="485"/>
      <c r="F56" s="485"/>
      <c r="G56" s="484"/>
      <c r="H56" s="485"/>
      <c r="I56" s="485"/>
      <c r="J56" s="459"/>
      <c r="K56" s="459"/>
      <c r="L56" s="459"/>
      <c r="M56" s="459"/>
      <c r="N56" s="460"/>
      <c r="O56" s="487">
        <v>45</v>
      </c>
      <c r="P56" s="484"/>
      <c r="Q56" s="485"/>
      <c r="R56" s="485"/>
      <c r="S56" s="485"/>
      <c r="T56" s="485"/>
      <c r="U56" s="484">
        <v>45</v>
      </c>
      <c r="V56" s="485">
        <v>45</v>
      </c>
      <c r="W56" s="485">
        <v>45</v>
      </c>
      <c r="X56" s="485">
        <v>45</v>
      </c>
      <c r="Y56" s="485">
        <v>45</v>
      </c>
      <c r="Z56" s="485">
        <v>45</v>
      </c>
      <c r="AA56" s="485">
        <v>45</v>
      </c>
      <c r="AB56" s="485">
        <v>45</v>
      </c>
      <c r="AC56" s="485">
        <v>45</v>
      </c>
      <c r="AD56" s="488">
        <v>45</v>
      </c>
      <c r="AE56" s="484"/>
      <c r="AF56" s="486"/>
      <c r="AG56" s="489"/>
      <c r="AH56" s="485">
        <v>45</v>
      </c>
      <c r="AI56" s="485">
        <v>45</v>
      </c>
      <c r="AJ56" s="485">
        <v>45</v>
      </c>
      <c r="AK56" s="485">
        <v>45</v>
      </c>
      <c r="AL56" s="485">
        <v>45</v>
      </c>
      <c r="AM56" s="485">
        <v>45</v>
      </c>
      <c r="AN56" s="485">
        <v>45</v>
      </c>
      <c r="AO56" s="485">
        <v>45</v>
      </c>
      <c r="AP56" s="485">
        <v>45</v>
      </c>
      <c r="AQ56" s="485">
        <v>45</v>
      </c>
      <c r="AR56" s="486">
        <v>45</v>
      </c>
      <c r="AS56" s="490"/>
      <c r="AT56" s="484"/>
      <c r="AU56" s="485"/>
      <c r="AV56" s="485"/>
      <c r="AW56" s="485"/>
      <c r="AX56" s="485"/>
      <c r="AY56" s="485"/>
      <c r="AZ56" s="485"/>
      <c r="BA56" s="485"/>
      <c r="BB56" s="485"/>
      <c r="BC56" s="485"/>
      <c r="BD56" s="485"/>
      <c r="BE56" s="486"/>
      <c r="BF56" s="489"/>
      <c r="BG56" s="491"/>
    </row>
    <row r="57" spans="1:59" ht="15.6">
      <c r="A57" s="474">
        <v>17</v>
      </c>
      <c r="B57" s="474" t="s">
        <v>333</v>
      </c>
      <c r="C57" s="466" t="str">
        <f t="shared" si="30"/>
        <v>BIM Modeller-E</v>
      </c>
      <c r="D57" s="507">
        <f t="shared" si="33"/>
        <v>945</v>
      </c>
      <c r="E57" s="485"/>
      <c r="F57" s="485"/>
      <c r="G57" s="484"/>
      <c r="H57" s="485"/>
      <c r="I57" s="485"/>
      <c r="J57" s="459"/>
      <c r="K57" s="459"/>
      <c r="L57" s="459"/>
      <c r="M57" s="459"/>
      <c r="N57" s="460"/>
      <c r="O57" s="487"/>
      <c r="P57" s="484"/>
      <c r="Q57" s="485"/>
      <c r="R57" s="485"/>
      <c r="S57" s="485"/>
      <c r="T57" s="485"/>
      <c r="U57" s="484">
        <v>45</v>
      </c>
      <c r="V57" s="485">
        <v>45</v>
      </c>
      <c r="W57" s="485">
        <v>45</v>
      </c>
      <c r="X57" s="485">
        <v>45</v>
      </c>
      <c r="Y57" s="485">
        <v>45</v>
      </c>
      <c r="Z57" s="485">
        <v>45</v>
      </c>
      <c r="AA57" s="485">
        <v>45</v>
      </c>
      <c r="AB57" s="485">
        <v>45</v>
      </c>
      <c r="AC57" s="485">
        <v>45</v>
      </c>
      <c r="AD57" s="488">
        <v>45</v>
      </c>
      <c r="AE57" s="484"/>
      <c r="AF57" s="486"/>
      <c r="AG57" s="489"/>
      <c r="AH57" s="485">
        <v>45</v>
      </c>
      <c r="AI57" s="485">
        <v>45</v>
      </c>
      <c r="AJ57" s="485">
        <v>45</v>
      </c>
      <c r="AK57" s="485">
        <v>45</v>
      </c>
      <c r="AL57" s="485">
        <v>45</v>
      </c>
      <c r="AM57" s="485">
        <v>45</v>
      </c>
      <c r="AN57" s="485">
        <v>45</v>
      </c>
      <c r="AO57" s="485">
        <v>45</v>
      </c>
      <c r="AP57" s="485">
        <v>45</v>
      </c>
      <c r="AQ57" s="485">
        <v>45</v>
      </c>
      <c r="AR57" s="486">
        <v>45</v>
      </c>
      <c r="AS57" s="490"/>
      <c r="AT57" s="484"/>
      <c r="AU57" s="485"/>
      <c r="AV57" s="485"/>
      <c r="AW57" s="485"/>
      <c r="AX57" s="485"/>
      <c r="AY57" s="485"/>
      <c r="AZ57" s="485"/>
      <c r="BA57" s="485"/>
      <c r="BB57" s="485"/>
      <c r="BC57" s="485"/>
      <c r="BD57" s="485"/>
      <c r="BE57" s="486"/>
      <c r="BF57" s="489"/>
      <c r="BG57" s="491"/>
    </row>
    <row r="58" spans="1:59" ht="15.6">
      <c r="A58" s="474">
        <v>18</v>
      </c>
      <c r="B58" s="474" t="s">
        <v>335</v>
      </c>
      <c r="C58" s="466" t="str">
        <f t="shared" si="30"/>
        <v>Junior BIM Modeller-E</v>
      </c>
      <c r="D58" s="507">
        <f t="shared" si="33"/>
        <v>945</v>
      </c>
      <c r="E58" s="485"/>
      <c r="F58" s="485"/>
      <c r="G58" s="484"/>
      <c r="H58" s="485"/>
      <c r="I58" s="485"/>
      <c r="J58" s="485"/>
      <c r="K58" s="485"/>
      <c r="L58" s="485"/>
      <c r="M58" s="485"/>
      <c r="N58" s="486"/>
      <c r="O58" s="487"/>
      <c r="P58" s="484"/>
      <c r="Q58" s="485"/>
      <c r="R58" s="485"/>
      <c r="S58" s="485"/>
      <c r="T58" s="485"/>
      <c r="U58" s="484">
        <v>45</v>
      </c>
      <c r="V58" s="485">
        <v>45</v>
      </c>
      <c r="W58" s="485">
        <v>45</v>
      </c>
      <c r="X58" s="485">
        <v>45</v>
      </c>
      <c r="Y58" s="485">
        <v>45</v>
      </c>
      <c r="Z58" s="485">
        <v>45</v>
      </c>
      <c r="AA58" s="485">
        <v>45</v>
      </c>
      <c r="AB58" s="485">
        <v>45</v>
      </c>
      <c r="AC58" s="485">
        <v>45</v>
      </c>
      <c r="AD58" s="488">
        <v>45</v>
      </c>
      <c r="AE58" s="484"/>
      <c r="AF58" s="486"/>
      <c r="AG58" s="489"/>
      <c r="AH58" s="485">
        <v>45</v>
      </c>
      <c r="AI58" s="485">
        <v>45</v>
      </c>
      <c r="AJ58" s="485">
        <v>45</v>
      </c>
      <c r="AK58" s="485">
        <v>45</v>
      </c>
      <c r="AL58" s="485">
        <v>45</v>
      </c>
      <c r="AM58" s="485">
        <v>45</v>
      </c>
      <c r="AN58" s="485">
        <v>45</v>
      </c>
      <c r="AO58" s="485">
        <v>45</v>
      </c>
      <c r="AP58" s="485">
        <v>45</v>
      </c>
      <c r="AQ58" s="485">
        <v>45</v>
      </c>
      <c r="AR58" s="486">
        <v>45</v>
      </c>
      <c r="AS58" s="490"/>
      <c r="AT58" s="484"/>
      <c r="AU58" s="485"/>
      <c r="AV58" s="485"/>
      <c r="AW58" s="485"/>
      <c r="AX58" s="485"/>
      <c r="AY58" s="485"/>
      <c r="AZ58" s="485"/>
      <c r="BA58" s="485"/>
      <c r="BB58" s="485"/>
      <c r="BC58" s="485"/>
      <c r="BD58" s="485"/>
      <c r="BE58" s="486"/>
      <c r="BF58" s="489"/>
      <c r="BG58" s="491"/>
    </row>
    <row r="59" spans="1:59" ht="15.6">
      <c r="A59" s="474">
        <v>19</v>
      </c>
      <c r="B59" s="474" t="s">
        <v>327</v>
      </c>
      <c r="C59" s="466" t="str">
        <f t="shared" si="30"/>
        <v>BIM Modeller-P</v>
      </c>
      <c r="D59" s="507">
        <f t="shared" si="33"/>
        <v>1116</v>
      </c>
      <c r="E59" s="485"/>
      <c r="F59" s="485"/>
      <c r="G59" s="484"/>
      <c r="H59" s="485"/>
      <c r="I59" s="485"/>
      <c r="J59" s="485"/>
      <c r="K59" s="485"/>
      <c r="L59" s="485"/>
      <c r="M59" s="485"/>
      <c r="N59" s="486"/>
      <c r="O59" s="487">
        <v>45</v>
      </c>
      <c r="P59" s="484">
        <v>27</v>
      </c>
      <c r="Q59" s="485">
        <v>27</v>
      </c>
      <c r="R59" s="485">
        <v>27</v>
      </c>
      <c r="S59" s="485">
        <v>45</v>
      </c>
      <c r="T59" s="485"/>
      <c r="U59" s="484">
        <v>45</v>
      </c>
      <c r="V59" s="485">
        <v>45</v>
      </c>
      <c r="W59" s="485">
        <v>45</v>
      </c>
      <c r="X59" s="485">
        <v>45</v>
      </c>
      <c r="Y59" s="485">
        <v>45</v>
      </c>
      <c r="Z59" s="485">
        <v>45</v>
      </c>
      <c r="AA59" s="485">
        <v>45</v>
      </c>
      <c r="AB59" s="485">
        <v>45</v>
      </c>
      <c r="AC59" s="485">
        <v>45</v>
      </c>
      <c r="AD59" s="488">
        <v>45</v>
      </c>
      <c r="AE59" s="484"/>
      <c r="AF59" s="486"/>
      <c r="AG59" s="489"/>
      <c r="AH59" s="485">
        <v>45</v>
      </c>
      <c r="AI59" s="485">
        <v>45</v>
      </c>
      <c r="AJ59" s="485">
        <v>45</v>
      </c>
      <c r="AK59" s="485">
        <v>45</v>
      </c>
      <c r="AL59" s="485">
        <v>45</v>
      </c>
      <c r="AM59" s="485">
        <v>45</v>
      </c>
      <c r="AN59" s="485">
        <v>45</v>
      </c>
      <c r="AO59" s="485">
        <v>45</v>
      </c>
      <c r="AP59" s="485">
        <v>45</v>
      </c>
      <c r="AQ59" s="485">
        <v>45</v>
      </c>
      <c r="AR59" s="486">
        <v>45</v>
      </c>
      <c r="AS59" s="490"/>
      <c r="AT59" s="484"/>
      <c r="AU59" s="485"/>
      <c r="AV59" s="485"/>
      <c r="AW59" s="485"/>
      <c r="AX59" s="485"/>
      <c r="AY59" s="485"/>
      <c r="AZ59" s="485"/>
      <c r="BA59" s="485"/>
      <c r="BB59" s="485"/>
      <c r="BC59" s="485"/>
      <c r="BD59" s="485"/>
      <c r="BE59" s="486"/>
      <c r="BF59" s="489"/>
      <c r="BG59" s="491"/>
    </row>
    <row r="60" spans="1:59" ht="15.6">
      <c r="A60" s="474">
        <v>20</v>
      </c>
      <c r="B60" s="474" t="s">
        <v>327</v>
      </c>
      <c r="C60" s="466" t="str">
        <f t="shared" si="30"/>
        <v>BIM Modeller-P</v>
      </c>
      <c r="D60" s="507">
        <f t="shared" si="33"/>
        <v>990</v>
      </c>
      <c r="E60" s="485"/>
      <c r="F60" s="485"/>
      <c r="G60" s="484"/>
      <c r="H60" s="485"/>
      <c r="I60" s="485"/>
      <c r="J60" s="459"/>
      <c r="K60" s="459"/>
      <c r="L60" s="459"/>
      <c r="M60" s="459"/>
      <c r="N60" s="460"/>
      <c r="O60" s="487">
        <v>45</v>
      </c>
      <c r="P60" s="484"/>
      <c r="Q60" s="485"/>
      <c r="R60" s="485"/>
      <c r="S60" s="485"/>
      <c r="T60" s="485"/>
      <c r="U60" s="484">
        <v>45</v>
      </c>
      <c r="V60" s="485">
        <v>45</v>
      </c>
      <c r="W60" s="485">
        <v>45</v>
      </c>
      <c r="X60" s="485">
        <v>45</v>
      </c>
      <c r="Y60" s="485">
        <v>45</v>
      </c>
      <c r="Z60" s="485">
        <v>45</v>
      </c>
      <c r="AA60" s="485">
        <v>45</v>
      </c>
      <c r="AB60" s="485">
        <v>45</v>
      </c>
      <c r="AC60" s="485">
        <v>45</v>
      </c>
      <c r="AD60" s="488">
        <v>45</v>
      </c>
      <c r="AE60" s="484"/>
      <c r="AF60" s="486"/>
      <c r="AG60" s="489"/>
      <c r="AH60" s="485">
        <v>45</v>
      </c>
      <c r="AI60" s="485">
        <v>45</v>
      </c>
      <c r="AJ60" s="485">
        <v>45</v>
      </c>
      <c r="AK60" s="485">
        <v>45</v>
      </c>
      <c r="AL60" s="485">
        <v>45</v>
      </c>
      <c r="AM60" s="485">
        <v>45</v>
      </c>
      <c r="AN60" s="485">
        <v>45</v>
      </c>
      <c r="AO60" s="485">
        <v>45</v>
      </c>
      <c r="AP60" s="485">
        <v>45</v>
      </c>
      <c r="AQ60" s="485">
        <v>45</v>
      </c>
      <c r="AR60" s="486">
        <v>45</v>
      </c>
      <c r="AS60" s="490"/>
      <c r="AT60" s="484"/>
      <c r="AU60" s="485"/>
      <c r="AV60" s="485"/>
      <c r="AW60" s="485"/>
      <c r="AX60" s="485"/>
      <c r="AY60" s="485"/>
      <c r="AZ60" s="485"/>
      <c r="BA60" s="485"/>
      <c r="BB60" s="485"/>
      <c r="BC60" s="485"/>
      <c r="BD60" s="485"/>
      <c r="BE60" s="486"/>
      <c r="BF60" s="489"/>
      <c r="BG60" s="491"/>
    </row>
    <row r="61" spans="1:59" ht="15.6">
      <c r="A61" s="474">
        <v>21</v>
      </c>
      <c r="B61" s="474" t="s">
        <v>327</v>
      </c>
      <c r="C61" s="466" t="str">
        <f t="shared" si="30"/>
        <v>BIM Modeller-P</v>
      </c>
      <c r="D61" s="507">
        <f t="shared" si="33"/>
        <v>945</v>
      </c>
      <c r="E61" s="485"/>
      <c r="F61" s="485"/>
      <c r="G61" s="458"/>
      <c r="H61" s="459"/>
      <c r="I61" s="459"/>
      <c r="J61" s="459"/>
      <c r="K61" s="459"/>
      <c r="L61" s="459"/>
      <c r="M61" s="459"/>
      <c r="N61" s="460"/>
      <c r="O61" s="487"/>
      <c r="P61" s="484"/>
      <c r="Q61" s="485"/>
      <c r="R61" s="485"/>
      <c r="S61" s="485"/>
      <c r="T61" s="485"/>
      <c r="U61" s="484">
        <v>45</v>
      </c>
      <c r="V61" s="485">
        <v>45</v>
      </c>
      <c r="W61" s="485">
        <v>45</v>
      </c>
      <c r="X61" s="485">
        <v>45</v>
      </c>
      <c r="Y61" s="485">
        <v>45</v>
      </c>
      <c r="Z61" s="485">
        <v>45</v>
      </c>
      <c r="AA61" s="485">
        <v>45</v>
      </c>
      <c r="AB61" s="485">
        <v>45</v>
      </c>
      <c r="AC61" s="485">
        <v>45</v>
      </c>
      <c r="AD61" s="488">
        <v>45</v>
      </c>
      <c r="AE61" s="484"/>
      <c r="AF61" s="486"/>
      <c r="AG61" s="489"/>
      <c r="AH61" s="485">
        <v>45</v>
      </c>
      <c r="AI61" s="485">
        <v>45</v>
      </c>
      <c r="AJ61" s="485">
        <v>45</v>
      </c>
      <c r="AK61" s="485">
        <v>45</v>
      </c>
      <c r="AL61" s="485">
        <v>45</v>
      </c>
      <c r="AM61" s="485">
        <v>45</v>
      </c>
      <c r="AN61" s="485">
        <v>45</v>
      </c>
      <c r="AO61" s="485">
        <v>45</v>
      </c>
      <c r="AP61" s="485">
        <v>45</v>
      </c>
      <c r="AQ61" s="485">
        <v>45</v>
      </c>
      <c r="AR61" s="486">
        <v>45</v>
      </c>
      <c r="AS61" s="490"/>
      <c r="AT61" s="484"/>
      <c r="AU61" s="485"/>
      <c r="AV61" s="485"/>
      <c r="AW61" s="485"/>
      <c r="AX61" s="485"/>
      <c r="AY61" s="485"/>
      <c r="AZ61" s="485"/>
      <c r="BA61" s="485"/>
      <c r="BB61" s="485"/>
      <c r="BC61" s="485"/>
      <c r="BD61" s="485"/>
      <c r="BE61" s="486"/>
      <c r="BF61" s="489"/>
      <c r="BG61" s="491"/>
    </row>
    <row r="62" spans="1:59" ht="15.6">
      <c r="A62" s="474">
        <v>22</v>
      </c>
      <c r="B62" s="474" t="s">
        <v>329</v>
      </c>
      <c r="C62" s="466" t="str">
        <f t="shared" si="30"/>
        <v>Junior BIM Modeller-P</v>
      </c>
      <c r="D62" s="507">
        <f t="shared" si="33"/>
        <v>945</v>
      </c>
      <c r="E62" s="485"/>
      <c r="F62" s="485"/>
      <c r="G62" s="458"/>
      <c r="H62" s="459"/>
      <c r="I62" s="459"/>
      <c r="J62" s="459"/>
      <c r="K62" s="459"/>
      <c r="L62" s="459"/>
      <c r="M62" s="459"/>
      <c r="N62" s="460"/>
      <c r="O62" s="487"/>
      <c r="P62" s="484"/>
      <c r="Q62" s="485"/>
      <c r="R62" s="485"/>
      <c r="S62" s="485"/>
      <c r="T62" s="485"/>
      <c r="U62" s="484">
        <v>45</v>
      </c>
      <c r="V62" s="485">
        <v>45</v>
      </c>
      <c r="W62" s="485">
        <v>45</v>
      </c>
      <c r="X62" s="485">
        <v>45</v>
      </c>
      <c r="Y62" s="485">
        <v>45</v>
      </c>
      <c r="Z62" s="485">
        <v>45</v>
      </c>
      <c r="AA62" s="485">
        <v>45</v>
      </c>
      <c r="AB62" s="485">
        <v>45</v>
      </c>
      <c r="AC62" s="485">
        <v>45</v>
      </c>
      <c r="AD62" s="488">
        <v>45</v>
      </c>
      <c r="AE62" s="484"/>
      <c r="AF62" s="486"/>
      <c r="AG62" s="489"/>
      <c r="AH62" s="485">
        <v>45</v>
      </c>
      <c r="AI62" s="485">
        <v>45</v>
      </c>
      <c r="AJ62" s="485">
        <v>45</v>
      </c>
      <c r="AK62" s="485">
        <v>45</v>
      </c>
      <c r="AL62" s="485">
        <v>45</v>
      </c>
      <c r="AM62" s="485">
        <v>45</v>
      </c>
      <c r="AN62" s="485">
        <v>45</v>
      </c>
      <c r="AO62" s="485">
        <v>45</v>
      </c>
      <c r="AP62" s="485">
        <v>45</v>
      </c>
      <c r="AQ62" s="485">
        <v>45</v>
      </c>
      <c r="AR62" s="486">
        <v>45</v>
      </c>
      <c r="AS62" s="490"/>
      <c r="AT62" s="484"/>
      <c r="AU62" s="485"/>
      <c r="AV62" s="485"/>
      <c r="AW62" s="485"/>
      <c r="AX62" s="485"/>
      <c r="AY62" s="485"/>
      <c r="AZ62" s="485"/>
      <c r="BA62" s="485"/>
      <c r="BB62" s="485"/>
      <c r="BC62" s="485"/>
      <c r="BD62" s="485"/>
      <c r="BE62" s="486"/>
      <c r="BF62" s="489"/>
      <c r="BG62" s="491"/>
    </row>
    <row r="63" spans="1:59" ht="15.6">
      <c r="A63" s="474">
        <v>23</v>
      </c>
      <c r="B63" s="474" t="s">
        <v>321</v>
      </c>
      <c r="C63" s="466" t="str">
        <f t="shared" si="30"/>
        <v>BIM Modeller-M</v>
      </c>
      <c r="D63" s="507">
        <f t="shared" si="33"/>
        <v>1116</v>
      </c>
      <c r="E63" s="485"/>
      <c r="F63" s="485"/>
      <c r="G63" s="458"/>
      <c r="H63" s="459"/>
      <c r="I63" s="459"/>
      <c r="J63" s="459"/>
      <c r="K63" s="459"/>
      <c r="L63" s="459"/>
      <c r="M63" s="459"/>
      <c r="N63" s="460"/>
      <c r="O63" s="487">
        <v>45</v>
      </c>
      <c r="P63" s="484">
        <v>27</v>
      </c>
      <c r="Q63" s="485">
        <v>27</v>
      </c>
      <c r="R63" s="485">
        <v>27</v>
      </c>
      <c r="S63" s="485">
        <v>45</v>
      </c>
      <c r="T63" s="485"/>
      <c r="U63" s="484">
        <v>45</v>
      </c>
      <c r="V63" s="485">
        <v>45</v>
      </c>
      <c r="W63" s="485">
        <v>45</v>
      </c>
      <c r="X63" s="485">
        <v>45</v>
      </c>
      <c r="Y63" s="485">
        <v>45</v>
      </c>
      <c r="Z63" s="485">
        <v>45</v>
      </c>
      <c r="AA63" s="485">
        <v>45</v>
      </c>
      <c r="AB63" s="485">
        <v>45</v>
      </c>
      <c r="AC63" s="485">
        <v>45</v>
      </c>
      <c r="AD63" s="488">
        <v>45</v>
      </c>
      <c r="AE63" s="484"/>
      <c r="AF63" s="486"/>
      <c r="AG63" s="489"/>
      <c r="AH63" s="485">
        <v>45</v>
      </c>
      <c r="AI63" s="485">
        <v>45</v>
      </c>
      <c r="AJ63" s="485">
        <v>45</v>
      </c>
      <c r="AK63" s="485">
        <v>45</v>
      </c>
      <c r="AL63" s="485">
        <v>45</v>
      </c>
      <c r="AM63" s="485">
        <v>45</v>
      </c>
      <c r="AN63" s="485">
        <v>45</v>
      </c>
      <c r="AO63" s="485">
        <v>45</v>
      </c>
      <c r="AP63" s="485">
        <v>45</v>
      </c>
      <c r="AQ63" s="485">
        <v>45</v>
      </c>
      <c r="AR63" s="486">
        <v>45</v>
      </c>
      <c r="AS63" s="490"/>
      <c r="AT63" s="484"/>
      <c r="AU63" s="485"/>
      <c r="AV63" s="485"/>
      <c r="AW63" s="485"/>
      <c r="AX63" s="485"/>
      <c r="AY63" s="485"/>
      <c r="AZ63" s="485"/>
      <c r="BA63" s="485"/>
      <c r="BB63" s="485"/>
      <c r="BC63" s="485"/>
      <c r="BD63" s="485"/>
      <c r="BE63" s="486"/>
      <c r="BF63" s="489"/>
      <c r="BG63" s="491"/>
    </row>
    <row r="64" spans="1:59" ht="15.6">
      <c r="A64" s="474">
        <v>24</v>
      </c>
      <c r="B64" s="474" t="s">
        <v>321</v>
      </c>
      <c r="C64" s="466" t="str">
        <f t="shared" si="30"/>
        <v>BIM Modeller-M</v>
      </c>
      <c r="D64" s="507">
        <f t="shared" si="33"/>
        <v>1035</v>
      </c>
      <c r="E64" s="485"/>
      <c r="F64" s="485"/>
      <c r="G64" s="484"/>
      <c r="H64" s="485"/>
      <c r="I64" s="485"/>
      <c r="J64" s="485"/>
      <c r="K64" s="485"/>
      <c r="L64" s="485"/>
      <c r="M64" s="485"/>
      <c r="N64" s="486"/>
      <c r="O64" s="487">
        <v>45</v>
      </c>
      <c r="P64" s="484"/>
      <c r="Q64" s="485"/>
      <c r="R64" s="485"/>
      <c r="S64" s="485">
        <v>45</v>
      </c>
      <c r="T64" s="485"/>
      <c r="U64" s="484">
        <v>45</v>
      </c>
      <c r="V64" s="485">
        <v>45</v>
      </c>
      <c r="W64" s="485">
        <v>45</v>
      </c>
      <c r="X64" s="485">
        <v>45</v>
      </c>
      <c r="Y64" s="485">
        <v>45</v>
      </c>
      <c r="Z64" s="485">
        <v>45</v>
      </c>
      <c r="AA64" s="485">
        <v>45</v>
      </c>
      <c r="AB64" s="485">
        <v>45</v>
      </c>
      <c r="AC64" s="485">
        <v>45</v>
      </c>
      <c r="AD64" s="488">
        <v>45</v>
      </c>
      <c r="AE64" s="571"/>
      <c r="AF64" s="572"/>
      <c r="AG64" s="489"/>
      <c r="AH64" s="485">
        <v>45</v>
      </c>
      <c r="AI64" s="485">
        <v>45</v>
      </c>
      <c r="AJ64" s="485">
        <v>45</v>
      </c>
      <c r="AK64" s="485">
        <v>45</v>
      </c>
      <c r="AL64" s="485">
        <v>45</v>
      </c>
      <c r="AM64" s="485">
        <v>45</v>
      </c>
      <c r="AN64" s="485">
        <v>45</v>
      </c>
      <c r="AO64" s="485">
        <v>45</v>
      </c>
      <c r="AP64" s="485">
        <v>45</v>
      </c>
      <c r="AQ64" s="485">
        <v>45</v>
      </c>
      <c r="AR64" s="486">
        <v>45</v>
      </c>
      <c r="AS64" s="490"/>
      <c r="AT64" s="571"/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2"/>
      <c r="BF64" s="489"/>
      <c r="BG64" s="491"/>
    </row>
    <row r="65" spans="1:59" ht="15.6">
      <c r="A65" s="474">
        <v>25</v>
      </c>
      <c r="B65" s="474" t="s">
        <v>321</v>
      </c>
      <c r="C65" s="466" t="str">
        <f t="shared" si="30"/>
        <v>BIM Modeller-M</v>
      </c>
      <c r="D65" s="507">
        <f t="shared" si="33"/>
        <v>990</v>
      </c>
      <c r="E65" s="485"/>
      <c r="F65" s="485"/>
      <c r="G65" s="484"/>
      <c r="H65" s="485"/>
      <c r="I65" s="485"/>
      <c r="J65" s="459"/>
      <c r="K65" s="459"/>
      <c r="L65" s="459"/>
      <c r="M65" s="459"/>
      <c r="N65" s="460"/>
      <c r="O65" s="487">
        <v>45</v>
      </c>
      <c r="P65" s="484"/>
      <c r="Q65" s="485"/>
      <c r="R65" s="485"/>
      <c r="S65" s="485"/>
      <c r="T65" s="485"/>
      <c r="U65" s="484">
        <v>45</v>
      </c>
      <c r="V65" s="485">
        <v>45</v>
      </c>
      <c r="W65" s="485">
        <v>45</v>
      </c>
      <c r="X65" s="485">
        <v>45</v>
      </c>
      <c r="Y65" s="485">
        <v>45</v>
      </c>
      <c r="Z65" s="485">
        <v>45</v>
      </c>
      <c r="AA65" s="485">
        <v>45</v>
      </c>
      <c r="AB65" s="485">
        <v>45</v>
      </c>
      <c r="AC65" s="485">
        <v>45</v>
      </c>
      <c r="AD65" s="488">
        <v>45</v>
      </c>
      <c r="AE65" s="484"/>
      <c r="AF65" s="486"/>
      <c r="AG65" s="489"/>
      <c r="AH65" s="485">
        <v>45</v>
      </c>
      <c r="AI65" s="485">
        <v>45</v>
      </c>
      <c r="AJ65" s="485">
        <v>45</v>
      </c>
      <c r="AK65" s="485">
        <v>45</v>
      </c>
      <c r="AL65" s="485">
        <v>45</v>
      </c>
      <c r="AM65" s="485">
        <v>45</v>
      </c>
      <c r="AN65" s="485">
        <v>45</v>
      </c>
      <c r="AO65" s="485">
        <v>45</v>
      </c>
      <c r="AP65" s="485">
        <v>45</v>
      </c>
      <c r="AQ65" s="485">
        <v>45</v>
      </c>
      <c r="AR65" s="486">
        <v>45</v>
      </c>
      <c r="AS65" s="490"/>
      <c r="AT65" s="484"/>
      <c r="AU65" s="485"/>
      <c r="AV65" s="485"/>
      <c r="AW65" s="485"/>
      <c r="AX65" s="485"/>
      <c r="AY65" s="485"/>
      <c r="AZ65" s="485"/>
      <c r="BA65" s="485"/>
      <c r="BB65" s="485"/>
      <c r="BC65" s="485"/>
      <c r="BD65" s="485"/>
      <c r="BE65" s="486"/>
      <c r="BF65" s="489"/>
      <c r="BG65" s="491"/>
    </row>
    <row r="66" spans="1:59" ht="15.6">
      <c r="A66" s="475">
        <v>26</v>
      </c>
      <c r="B66" s="475" t="s">
        <v>323</v>
      </c>
      <c r="C66" s="468" t="str">
        <f t="shared" si="30"/>
        <v>Junior BIM Modeller-M</v>
      </c>
      <c r="D66" s="509">
        <f t="shared" si="33"/>
        <v>945</v>
      </c>
      <c r="E66" s="494"/>
      <c r="F66" s="494"/>
      <c r="G66" s="493"/>
      <c r="H66" s="494"/>
      <c r="I66" s="494"/>
      <c r="J66" s="494"/>
      <c r="K66" s="494"/>
      <c r="L66" s="494"/>
      <c r="M66" s="494"/>
      <c r="N66" s="496"/>
      <c r="O66" s="492"/>
      <c r="P66" s="493"/>
      <c r="Q66" s="494"/>
      <c r="R66" s="494"/>
      <c r="S66" s="494"/>
      <c r="T66" s="494"/>
      <c r="U66" s="493">
        <v>45</v>
      </c>
      <c r="V66" s="494">
        <v>45</v>
      </c>
      <c r="W66" s="494">
        <v>45</v>
      </c>
      <c r="X66" s="494">
        <v>45</v>
      </c>
      <c r="Y66" s="494">
        <v>45</v>
      </c>
      <c r="Z66" s="494">
        <v>45</v>
      </c>
      <c r="AA66" s="494">
        <v>45</v>
      </c>
      <c r="AB66" s="494">
        <v>45</v>
      </c>
      <c r="AC66" s="494">
        <v>45</v>
      </c>
      <c r="AD66" s="495">
        <v>45</v>
      </c>
      <c r="AE66" s="574"/>
      <c r="AF66" s="575"/>
      <c r="AG66" s="497"/>
      <c r="AH66" s="494">
        <v>45</v>
      </c>
      <c r="AI66" s="494">
        <v>45</v>
      </c>
      <c r="AJ66" s="494">
        <v>45</v>
      </c>
      <c r="AK66" s="494">
        <v>45</v>
      </c>
      <c r="AL66" s="494">
        <v>45</v>
      </c>
      <c r="AM66" s="494">
        <v>45</v>
      </c>
      <c r="AN66" s="494">
        <v>45</v>
      </c>
      <c r="AO66" s="494">
        <v>45</v>
      </c>
      <c r="AP66" s="494">
        <v>45</v>
      </c>
      <c r="AQ66" s="494">
        <v>45</v>
      </c>
      <c r="AR66" s="496">
        <v>45</v>
      </c>
      <c r="AS66" s="498"/>
      <c r="AT66" s="574"/>
      <c r="AU66" s="576"/>
      <c r="AV66" s="576"/>
      <c r="AW66" s="576"/>
      <c r="AX66" s="576"/>
      <c r="AY66" s="576"/>
      <c r="AZ66" s="576"/>
      <c r="BA66" s="576"/>
      <c r="BB66" s="576"/>
      <c r="BC66" s="576"/>
      <c r="BD66" s="576"/>
      <c r="BE66" s="575"/>
      <c r="BF66" s="497"/>
      <c r="BG66" s="499"/>
    </row>
    <row r="67" spans="1:59" s="420" customFormat="1" ht="47.85" customHeight="1">
      <c r="A67" s="577"/>
      <c r="B67" s="577"/>
      <c r="C67" s="553" t="s">
        <v>358</v>
      </c>
      <c r="D67" s="578"/>
      <c r="E67" s="579">
        <f>SUM(E39:E66)/45</f>
        <v>0</v>
      </c>
      <c r="F67" s="580">
        <f>SUM(F39:F66)/45</f>
        <v>0</v>
      </c>
      <c r="G67" s="581">
        <f>SUM(G39:G66)/45</f>
        <v>0</v>
      </c>
      <c r="H67" s="579">
        <f>SUM(H39:H66)/45</f>
        <v>0</v>
      </c>
      <c r="I67" s="580">
        <f>SUM(I39:I66)/45</f>
        <v>0</v>
      </c>
      <c r="J67" s="581">
        <f>SUM(J39:J66)/45</f>
        <v>0</v>
      </c>
      <c r="K67" s="581">
        <f>SUM(K39:K66)/45</f>
        <v>0</v>
      </c>
      <c r="L67" s="581">
        <f>SUM(L39:L66)/45</f>
        <v>0</v>
      </c>
      <c r="M67" s="581">
        <f>SUM(M39:M66)/45</f>
        <v>0</v>
      </c>
      <c r="N67" s="581">
        <f>SUM(N39:N66)/45</f>
        <v>0</v>
      </c>
      <c r="O67" s="581">
        <f>SUM(O39:O66)/45</f>
        <v>11.6</v>
      </c>
      <c r="P67" s="581">
        <f>SUM(P39:P66)/45</f>
        <v>5.8</v>
      </c>
      <c r="Q67" s="581">
        <f>SUM(Q39:Q66)/45</f>
        <v>5.2</v>
      </c>
      <c r="R67" s="581">
        <f>SUM(R39:R66)/45</f>
        <v>5.2</v>
      </c>
      <c r="S67" s="581">
        <f>SUM(S39:S66)/45</f>
        <v>7.4</v>
      </c>
      <c r="T67" s="579">
        <f>SUM(T39:T66)/45</f>
        <v>8</v>
      </c>
      <c r="U67" s="582">
        <f>SUM(U39:U66)/45</f>
        <v>19.8</v>
      </c>
      <c r="V67" s="579">
        <f>SUM(V39:V66)/45</f>
        <v>19.8</v>
      </c>
      <c r="W67" s="580">
        <f>SUM(W39:W66)/45</f>
        <v>19.8</v>
      </c>
      <c r="X67" s="581">
        <f>SUM(X39:X66)/45</f>
        <v>20</v>
      </c>
      <c r="Y67" s="582">
        <f>SUM(Y39:Y66)/45</f>
        <v>20</v>
      </c>
      <c r="Z67" s="581">
        <f>SUM(Z39:Z66)/45</f>
        <v>20</v>
      </c>
      <c r="AA67" s="581">
        <f>SUM(AA39:AA66)/45</f>
        <v>19.8</v>
      </c>
      <c r="AB67" s="581">
        <f>SUM(AB39:AB66)/45</f>
        <v>19.8</v>
      </c>
      <c r="AC67" s="581">
        <f>SUM(AC39:AC66)/45</f>
        <v>19.8</v>
      </c>
      <c r="AD67" s="579">
        <f>SUM(AD39:AD66)/45</f>
        <v>19.8</v>
      </c>
      <c r="AE67" s="533">
        <f>SUM(AE39:AE66)/45</f>
        <v>0.6</v>
      </c>
      <c r="AF67" s="533">
        <f>SUM(AF39:AF66)/45</f>
        <v>0.6</v>
      </c>
      <c r="AG67" s="533">
        <f>SUM(AG39:AG66)/45</f>
        <v>9</v>
      </c>
      <c r="AH67" s="533">
        <f>SUM(AH39:AH66)/45</f>
        <v>21</v>
      </c>
      <c r="AI67" s="533">
        <f>SUM(AI39:AI66)/45</f>
        <v>20.8</v>
      </c>
      <c r="AJ67" s="533">
        <f>SUM(AJ39:AJ66)/45</f>
        <v>20.8</v>
      </c>
      <c r="AK67" s="533">
        <f>SUM(AK39:AK66)/45</f>
        <v>20.8</v>
      </c>
      <c r="AL67" s="533">
        <f>SUM(AL39:AL66)/45</f>
        <v>21</v>
      </c>
      <c r="AM67" s="533">
        <f>SUM(AM39:AM66)/45</f>
        <v>22.2</v>
      </c>
      <c r="AN67" s="533">
        <f>SUM(AN39:AN66)/45</f>
        <v>20.8</v>
      </c>
      <c r="AO67" s="533">
        <f>SUM(AO39:AO66)/45</f>
        <v>20.8</v>
      </c>
      <c r="AP67" s="533">
        <f>SUM(AP39:AP66)/45</f>
        <v>20.8</v>
      </c>
      <c r="AQ67" s="533">
        <f>SUM(AQ39:AQ66)/45</f>
        <v>21</v>
      </c>
      <c r="AR67" s="533">
        <f>SUM(AR39:AR66)/45</f>
        <v>22.2</v>
      </c>
      <c r="AS67" s="533">
        <f>SUM(AS39:AS66)/45</f>
        <v>0</v>
      </c>
      <c r="AT67" s="533">
        <f>SUM(AT39:AT66)/45</f>
        <v>0</v>
      </c>
      <c r="AU67" s="533">
        <f>SUM(AU39:AU66)/45</f>
        <v>0</v>
      </c>
      <c r="AV67" s="533">
        <f>SUM(AV39:AV66)/45</f>
        <v>0</v>
      </c>
      <c r="AW67" s="533">
        <f>SUM(AW39:AW66)/45</f>
        <v>0</v>
      </c>
      <c r="AX67" s="533">
        <f>SUM(AX39:AX66)/45</f>
        <v>0</v>
      </c>
    </row>
    <row r="68" spans="1:59" ht="15.6"/>
    <row r="72" spans="1:59" ht="15.75" customHeight="1">
      <c r="C72" s="555"/>
    </row>
    <row r="73" spans="1:59" ht="15.75" customHeight="1">
      <c r="C73" s="554"/>
    </row>
    <row r="74" spans="1:59" ht="15.75" customHeight="1">
      <c r="C74" s="556"/>
    </row>
    <row r="76" spans="1:59" ht="15.75" customHeight="1">
      <c r="C76" s="556"/>
    </row>
  </sheetData>
  <mergeCells count="8">
    <mergeCell ref="A39:A40"/>
    <mergeCell ref="B39:B40"/>
    <mergeCell ref="C39:C40"/>
    <mergeCell ref="E36:R36"/>
    <mergeCell ref="S36:U36"/>
    <mergeCell ref="Z39:AA39"/>
    <mergeCell ref="P39:Y39"/>
    <mergeCell ref="G39:N39"/>
  </mergeCells>
  <phoneticPr fontId="34" type="noConversion"/>
  <pageMargins left="0.25" right="0.25" top="0.75" bottom="0.75" header="0.3" footer="0.3"/>
  <pageSetup paperSize="8" scale="4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F877-4155-44C6-B22B-37749DB854AB}">
  <sheetPr codeName="Sheet11"/>
  <dimension ref="A1:D115"/>
  <sheetViews>
    <sheetView view="pageBreakPreview" topLeftCell="A104" zoomScale="115" zoomScaleNormal="100" zoomScaleSheetLayoutView="115" workbookViewId="0">
      <selection activeCell="B18" sqref="B18"/>
    </sheetView>
  </sheetViews>
  <sheetFormatPr defaultColWidth="12.42578125" defaultRowHeight="20.100000000000001" customHeight="1"/>
  <cols>
    <col min="1" max="1" width="12.42578125" style="379"/>
    <col min="2" max="2" width="69.42578125" style="379" customWidth="1"/>
    <col min="3" max="3" width="42.5703125" style="379" customWidth="1"/>
    <col min="4" max="4" width="81.42578125" style="379" bestFit="1" customWidth="1"/>
    <col min="5" max="16384" width="12.42578125" style="379"/>
  </cols>
  <sheetData>
    <row r="1" spans="1:4" ht="20.100000000000001" customHeight="1">
      <c r="A1" s="376"/>
      <c r="B1" s="377"/>
      <c r="C1" s="377"/>
      <c r="D1" s="378"/>
    </row>
    <row r="2" spans="1:4" ht="20.100000000000001" customHeight="1">
      <c r="A2" s="608" t="s">
        <v>359</v>
      </c>
      <c r="B2" s="609"/>
      <c r="C2" s="609"/>
      <c r="D2" s="610"/>
    </row>
    <row r="3" spans="1:4" ht="20.100000000000001" customHeight="1">
      <c r="A3" s="380"/>
      <c r="D3" s="381"/>
    </row>
    <row r="4" spans="1:4" ht="20.100000000000001" customHeight="1">
      <c r="A4" s="608" t="s">
        <v>360</v>
      </c>
      <c r="B4" s="609"/>
      <c r="C4" s="609"/>
      <c r="D4" s="610"/>
    </row>
    <row r="5" spans="1:4" ht="20.100000000000001" customHeight="1">
      <c r="A5" s="380"/>
      <c r="D5" s="381"/>
    </row>
    <row r="6" spans="1:4" ht="20.100000000000001" customHeight="1">
      <c r="A6" s="608" t="s">
        <v>361</v>
      </c>
      <c r="B6" s="609"/>
      <c r="C6" s="609"/>
      <c r="D6" s="610"/>
    </row>
    <row r="7" spans="1:4" ht="20.100000000000001" customHeight="1">
      <c r="A7" s="380"/>
      <c r="D7" s="381"/>
    </row>
    <row r="8" spans="1:4" ht="20.100000000000001" customHeight="1">
      <c r="A8" s="608" t="s">
        <v>362</v>
      </c>
      <c r="B8" s="609"/>
      <c r="C8" s="609"/>
      <c r="D8" s="610"/>
    </row>
    <row r="9" spans="1:4" ht="20.100000000000001" customHeight="1">
      <c r="A9" s="380"/>
      <c r="D9" s="381"/>
    </row>
    <row r="10" spans="1:4" s="385" customFormat="1" ht="48" customHeight="1">
      <c r="A10" s="382" t="s">
        <v>10</v>
      </c>
      <c r="B10" s="383" t="s">
        <v>363</v>
      </c>
      <c r="C10" s="383" t="s">
        <v>364</v>
      </c>
      <c r="D10" s="384" t="s">
        <v>365</v>
      </c>
    </row>
    <row r="11" spans="1:4" ht="20.100000000000001" customHeight="1">
      <c r="A11" s="386"/>
      <c r="B11" s="387"/>
      <c r="C11" s="387"/>
      <c r="D11" s="388"/>
    </row>
    <row r="12" spans="1:4" ht="20.100000000000001" customHeight="1">
      <c r="A12" s="389">
        <v>2</v>
      </c>
      <c r="B12" s="390" t="s">
        <v>366</v>
      </c>
      <c r="C12" s="390"/>
      <c r="D12" s="391"/>
    </row>
    <row r="13" spans="1:4" ht="20.100000000000001" customHeight="1">
      <c r="A13" s="386"/>
      <c r="B13" s="392"/>
      <c r="C13" s="392"/>
      <c r="D13" s="393"/>
    </row>
    <row r="14" spans="1:4" ht="20.100000000000001" customHeight="1">
      <c r="A14" s="389">
        <f>A12+1</f>
        <v>3</v>
      </c>
      <c r="B14" s="390" t="s">
        <v>367</v>
      </c>
      <c r="C14" s="390"/>
      <c r="D14" s="391"/>
    </row>
    <row r="15" spans="1:4" ht="20.100000000000001" hidden="1" customHeight="1">
      <c r="A15" s="394" t="e">
        <f>#REF!+0.01</f>
        <v>#REF!</v>
      </c>
      <c r="B15" s="395"/>
      <c r="C15" s="387" t="s">
        <v>368</v>
      </c>
      <c r="D15" s="396" t="s">
        <v>369</v>
      </c>
    </row>
    <row r="16" spans="1:4" ht="20.100000000000001" hidden="1" customHeight="1">
      <c r="A16" s="386"/>
      <c r="B16" s="395"/>
      <c r="C16" s="387"/>
      <c r="D16" s="397"/>
    </row>
    <row r="17" spans="1:4" ht="20.100000000000001" customHeight="1">
      <c r="A17" s="386"/>
      <c r="B17" s="392"/>
      <c r="C17" s="392"/>
      <c r="D17" s="393"/>
    </row>
    <row r="18" spans="1:4" ht="20.100000000000001" customHeight="1">
      <c r="A18" s="389">
        <f>+A14+1</f>
        <v>4</v>
      </c>
      <c r="B18" s="390" t="s">
        <v>370</v>
      </c>
      <c r="C18" s="390"/>
      <c r="D18" s="391"/>
    </row>
    <row r="19" spans="1:4" ht="20.100000000000001" customHeight="1">
      <c r="A19" s="386"/>
      <c r="B19" s="387"/>
      <c r="C19" s="387"/>
      <c r="D19" s="388"/>
    </row>
    <row r="20" spans="1:4" ht="20.100000000000001" customHeight="1">
      <c r="A20" s="389">
        <f>+A18+1</f>
        <v>5</v>
      </c>
      <c r="B20" s="390" t="s">
        <v>166</v>
      </c>
      <c r="C20" s="390"/>
      <c r="D20" s="391"/>
    </row>
    <row r="21" spans="1:4" ht="20.100000000000001" customHeight="1">
      <c r="A21" s="394">
        <f>A20+0.01</f>
        <v>5.01</v>
      </c>
      <c r="B21" s="398" t="s">
        <v>371</v>
      </c>
      <c r="C21" s="387" t="s">
        <v>372</v>
      </c>
      <c r="D21" s="396" t="s">
        <v>373</v>
      </c>
    </row>
    <row r="22" spans="1:4" ht="20.100000000000001" customHeight="1">
      <c r="A22" s="394">
        <f>A21+0.01</f>
        <v>5.0199999999999996</v>
      </c>
      <c r="B22" s="398" t="s">
        <v>374</v>
      </c>
      <c r="C22" s="387" t="s">
        <v>375</v>
      </c>
      <c r="D22" s="396" t="s">
        <v>376</v>
      </c>
    </row>
    <row r="23" spans="1:4" ht="20.100000000000001" customHeight="1">
      <c r="A23" s="394">
        <f>A22+0.01</f>
        <v>5.0299999999999994</v>
      </c>
      <c r="B23" s="398" t="s">
        <v>195</v>
      </c>
      <c r="C23" s="387" t="s">
        <v>377</v>
      </c>
      <c r="D23" s="396" t="s">
        <v>378</v>
      </c>
    </row>
    <row r="24" spans="1:4" ht="20.100000000000001" customHeight="1">
      <c r="A24" s="386"/>
      <c r="B24" s="387"/>
      <c r="C24" s="387"/>
      <c r="D24" s="388"/>
    </row>
    <row r="25" spans="1:4" ht="20.100000000000001" customHeight="1">
      <c r="A25" s="389">
        <f>+A20+1</f>
        <v>6</v>
      </c>
      <c r="B25" s="390" t="s">
        <v>35</v>
      </c>
      <c r="C25" s="390"/>
      <c r="D25" s="391"/>
    </row>
    <row r="26" spans="1:4" ht="20.100000000000001" customHeight="1">
      <c r="A26" s="394">
        <f>A25+0.01</f>
        <v>6.01</v>
      </c>
      <c r="B26" s="395" t="s">
        <v>36</v>
      </c>
      <c r="C26" s="387" t="s">
        <v>379</v>
      </c>
      <c r="D26" s="396" t="s">
        <v>380</v>
      </c>
    </row>
    <row r="27" spans="1:4" ht="20.100000000000001" customHeight="1">
      <c r="A27" s="394">
        <f>A26+0.01</f>
        <v>6.02</v>
      </c>
      <c r="B27" s="395" t="s">
        <v>170</v>
      </c>
      <c r="C27" s="387" t="s">
        <v>381</v>
      </c>
      <c r="D27" s="396" t="s">
        <v>382</v>
      </c>
    </row>
    <row r="28" spans="1:4" ht="20.100000000000001" customHeight="1">
      <c r="A28" s="394">
        <f>A27+0.01</f>
        <v>6.0299999999999994</v>
      </c>
      <c r="B28" s="395" t="s">
        <v>172</v>
      </c>
      <c r="C28" s="387" t="s">
        <v>383</v>
      </c>
      <c r="D28" s="396" t="s">
        <v>384</v>
      </c>
    </row>
    <row r="29" spans="1:4" ht="20.100000000000001" hidden="1" customHeight="1">
      <c r="A29" s="394" t="e">
        <f>#REF!+0.01</f>
        <v>#REF!</v>
      </c>
      <c r="B29" s="395"/>
      <c r="C29" s="387"/>
      <c r="D29" s="396"/>
    </row>
    <row r="30" spans="1:4" ht="20.100000000000001" hidden="1" customHeight="1">
      <c r="A30" s="394" t="e">
        <f>A29+0.01</f>
        <v>#REF!</v>
      </c>
      <c r="B30" s="395"/>
      <c r="C30" s="387"/>
      <c r="D30" s="396"/>
    </row>
    <row r="31" spans="1:4" ht="20.100000000000001" customHeight="1">
      <c r="A31" s="394"/>
      <c r="B31" s="395"/>
      <c r="C31" s="399"/>
      <c r="D31" s="400"/>
    </row>
    <row r="32" spans="1:4" ht="20.100000000000001" customHeight="1">
      <c r="A32" s="389">
        <f>+A25+1</f>
        <v>7</v>
      </c>
      <c r="B32" s="390" t="s">
        <v>53</v>
      </c>
      <c r="C32" s="390"/>
      <c r="D32" s="391"/>
    </row>
    <row r="33" spans="1:4" ht="20.100000000000001" customHeight="1">
      <c r="A33" s="394">
        <f>A32+0.01</f>
        <v>7.01</v>
      </c>
      <c r="B33" s="395" t="s">
        <v>385</v>
      </c>
      <c r="C33" s="387" t="s">
        <v>386</v>
      </c>
      <c r="D33" s="396" t="s">
        <v>387</v>
      </c>
    </row>
    <row r="34" spans="1:4" ht="20.100000000000001" customHeight="1">
      <c r="A34" s="394">
        <f>A33+0.01</f>
        <v>7.02</v>
      </c>
      <c r="B34" s="395" t="s">
        <v>174</v>
      </c>
      <c r="C34" s="387" t="s">
        <v>388</v>
      </c>
      <c r="D34" s="396" t="s">
        <v>389</v>
      </c>
    </row>
    <row r="35" spans="1:4" ht="20.100000000000001" customHeight="1">
      <c r="A35" s="394">
        <f>A34+0.01</f>
        <v>7.0299999999999994</v>
      </c>
      <c r="B35" s="395" t="s">
        <v>390</v>
      </c>
      <c r="C35" s="387" t="s">
        <v>391</v>
      </c>
      <c r="D35" s="396" t="s">
        <v>392</v>
      </c>
    </row>
    <row r="36" spans="1:4" ht="20.100000000000001" customHeight="1">
      <c r="A36" s="394">
        <f>A35+0.01</f>
        <v>7.0399999999999991</v>
      </c>
      <c r="B36" s="395" t="s">
        <v>176</v>
      </c>
      <c r="C36" s="387" t="s">
        <v>393</v>
      </c>
      <c r="D36" s="396" t="s">
        <v>394</v>
      </c>
    </row>
    <row r="37" spans="1:4" ht="20.100000000000001" customHeight="1">
      <c r="A37" s="394">
        <f>A36+0.01</f>
        <v>7.0499999999999989</v>
      </c>
      <c r="B37" s="395" t="s">
        <v>177</v>
      </c>
      <c r="C37" s="387" t="s">
        <v>395</v>
      </c>
      <c r="D37" s="396" t="s">
        <v>396</v>
      </c>
    </row>
    <row r="38" spans="1:4" ht="20.100000000000001" customHeight="1">
      <c r="A38" s="394"/>
      <c r="B38" s="395"/>
      <c r="C38" s="399"/>
      <c r="D38" s="396"/>
    </row>
    <row r="39" spans="1:4" ht="20.100000000000001" customHeight="1">
      <c r="A39" s="389">
        <f>A32+1</f>
        <v>8</v>
      </c>
      <c r="B39" s="390" t="s">
        <v>178</v>
      </c>
      <c r="C39" s="390"/>
      <c r="D39" s="391"/>
    </row>
    <row r="40" spans="1:4" ht="50.85" customHeight="1">
      <c r="A40" s="394">
        <f>A39+0.01</f>
        <v>8.01</v>
      </c>
      <c r="B40" s="395" t="s">
        <v>397</v>
      </c>
      <c r="C40" s="401" t="s">
        <v>398</v>
      </c>
      <c r="D40" s="402" t="s">
        <v>399</v>
      </c>
    </row>
    <row r="41" spans="1:4" ht="20.100000000000001" customHeight="1">
      <c r="A41" s="394">
        <f>A40+0.01</f>
        <v>8.02</v>
      </c>
      <c r="B41" s="395" t="s">
        <v>52</v>
      </c>
      <c r="C41" s="387" t="s">
        <v>400</v>
      </c>
      <c r="D41" s="396" t="s">
        <v>401</v>
      </c>
    </row>
    <row r="42" spans="1:4" ht="20.100000000000001" customHeight="1">
      <c r="A42" s="394">
        <f>A41+0.01</f>
        <v>8.0299999999999994</v>
      </c>
      <c r="B42" s="395" t="s">
        <v>181</v>
      </c>
      <c r="C42" s="387" t="s">
        <v>402</v>
      </c>
      <c r="D42" s="396" t="s">
        <v>403</v>
      </c>
    </row>
    <row r="43" spans="1:4" ht="15.6">
      <c r="A43" s="394">
        <f>A42+0.01</f>
        <v>8.0399999999999991</v>
      </c>
      <c r="B43" s="395" t="s">
        <v>182</v>
      </c>
      <c r="C43" s="387" t="s">
        <v>404</v>
      </c>
      <c r="D43" s="396" t="s">
        <v>405</v>
      </c>
    </row>
    <row r="44" spans="1:4" ht="20.100000000000001" customHeight="1">
      <c r="A44" s="394">
        <f>A43+0.01</f>
        <v>8.0499999999999989</v>
      </c>
      <c r="B44" s="395" t="s">
        <v>406</v>
      </c>
      <c r="C44" s="387" t="s">
        <v>407</v>
      </c>
      <c r="D44" s="396" t="s">
        <v>408</v>
      </c>
    </row>
    <row r="45" spans="1:4" ht="20.100000000000001" customHeight="1">
      <c r="A45" s="394"/>
      <c r="B45" s="395"/>
      <c r="C45" s="399"/>
      <c r="D45" s="400"/>
    </row>
    <row r="46" spans="1:4" ht="20.100000000000001" customHeight="1">
      <c r="A46" s="389">
        <f>+A39+1</f>
        <v>9</v>
      </c>
      <c r="B46" s="390" t="s">
        <v>55</v>
      </c>
      <c r="C46" s="390"/>
      <c r="D46" s="391"/>
    </row>
    <row r="47" spans="1:4" ht="20.100000000000001" customHeight="1">
      <c r="A47" s="394">
        <f>A46+0.01</f>
        <v>9.01</v>
      </c>
      <c r="B47" s="395" t="s">
        <v>409</v>
      </c>
      <c r="C47" s="387" t="s">
        <v>410</v>
      </c>
      <c r="D47" s="396" t="s">
        <v>411</v>
      </c>
    </row>
    <row r="48" spans="1:4" ht="20.100000000000001" customHeight="1">
      <c r="A48" s="394">
        <f>A47+0.01</f>
        <v>9.02</v>
      </c>
      <c r="B48" s="395" t="s">
        <v>185</v>
      </c>
      <c r="C48" s="387" t="s">
        <v>412</v>
      </c>
      <c r="D48" s="396" t="s">
        <v>413</v>
      </c>
    </row>
    <row r="49" spans="1:4" ht="20.100000000000001" customHeight="1">
      <c r="A49" s="394">
        <f>A48+0.01</f>
        <v>9.0299999999999994</v>
      </c>
      <c r="B49" s="395" t="s">
        <v>414</v>
      </c>
      <c r="C49" s="387" t="s">
        <v>415</v>
      </c>
      <c r="D49" s="396" t="s">
        <v>416</v>
      </c>
    </row>
    <row r="50" spans="1:4" ht="20.100000000000001" customHeight="1">
      <c r="A50" s="403"/>
      <c r="B50" s="404"/>
      <c r="C50" s="405"/>
      <c r="D50" s="406"/>
    </row>
    <row r="51" spans="1:4" ht="20.100000000000001" customHeight="1">
      <c r="A51" s="389">
        <f>+A46+1</f>
        <v>10</v>
      </c>
      <c r="B51" s="390" t="s">
        <v>417</v>
      </c>
      <c r="C51" s="390"/>
      <c r="D51" s="391"/>
    </row>
    <row r="52" spans="1:4" ht="20.100000000000001" customHeight="1">
      <c r="A52" s="394">
        <f>A51+0.01</f>
        <v>10.01</v>
      </c>
      <c r="B52" s="395" t="s">
        <v>190</v>
      </c>
      <c r="C52" s="387" t="s">
        <v>418</v>
      </c>
      <c r="D52" s="396" t="s">
        <v>419</v>
      </c>
    </row>
    <row r="53" spans="1:4" ht="20.100000000000001" customHeight="1">
      <c r="A53" s="394">
        <f>A52+0.01</f>
        <v>10.02</v>
      </c>
      <c r="B53" s="395" t="s">
        <v>50</v>
      </c>
      <c r="C53" s="387" t="s">
        <v>420</v>
      </c>
      <c r="D53" s="396" t="s">
        <v>421</v>
      </c>
    </row>
    <row r="54" spans="1:4" ht="20.100000000000001" customHeight="1">
      <c r="A54" s="403"/>
      <c r="B54" s="404"/>
      <c r="C54" s="405"/>
      <c r="D54" s="406"/>
    </row>
    <row r="55" spans="1:4" ht="20.100000000000001" customHeight="1">
      <c r="A55" s="389">
        <f>+A51+1</f>
        <v>11</v>
      </c>
      <c r="B55" s="390" t="s">
        <v>422</v>
      </c>
      <c r="C55" s="390"/>
      <c r="D55" s="391"/>
    </row>
    <row r="56" spans="1:4" ht="20.100000000000001" customHeight="1">
      <c r="A56" s="394">
        <f>A55+0.01</f>
        <v>11.01</v>
      </c>
      <c r="B56" s="404" t="s">
        <v>374</v>
      </c>
      <c r="C56" s="387" t="s">
        <v>375</v>
      </c>
      <c r="D56" s="396" t="s">
        <v>376</v>
      </c>
    </row>
    <row r="57" spans="1:4" ht="20.100000000000001" customHeight="1">
      <c r="A57" s="394">
        <f>A56+0.01</f>
        <v>11.02</v>
      </c>
      <c r="B57" s="404" t="s">
        <v>192</v>
      </c>
      <c r="C57" s="387" t="s">
        <v>423</v>
      </c>
      <c r="D57" s="396" t="s">
        <v>424</v>
      </c>
    </row>
    <row r="58" spans="1:4" ht="20.100000000000001" customHeight="1">
      <c r="A58" s="403"/>
      <c r="B58" s="404"/>
      <c r="C58" s="405"/>
      <c r="D58" s="406"/>
    </row>
    <row r="59" spans="1:4" ht="20.100000000000001" customHeight="1">
      <c r="A59" s="389">
        <f>A55+1</f>
        <v>12</v>
      </c>
      <c r="B59" s="390" t="s">
        <v>425</v>
      </c>
      <c r="C59" s="390"/>
      <c r="D59" s="391"/>
    </row>
    <row r="60" spans="1:4" ht="20.100000000000001" customHeight="1">
      <c r="A60" s="394">
        <f>A59+0.01</f>
        <v>12.01</v>
      </c>
      <c r="B60" s="404" t="s">
        <v>40</v>
      </c>
      <c r="C60" s="387" t="s">
        <v>426</v>
      </c>
      <c r="D60" s="396" t="s">
        <v>427</v>
      </c>
    </row>
    <row r="61" spans="1:4" ht="20.100000000000001" customHeight="1">
      <c r="A61" s="403"/>
      <c r="B61" s="404"/>
      <c r="C61" s="405"/>
      <c r="D61" s="406"/>
    </row>
    <row r="62" spans="1:4" ht="20.100000000000001" customHeight="1">
      <c r="A62" s="389">
        <f>A59+1</f>
        <v>13</v>
      </c>
      <c r="B62" s="390" t="s">
        <v>428</v>
      </c>
      <c r="C62" s="390"/>
      <c r="D62" s="391"/>
    </row>
    <row r="63" spans="1:4" ht="20.100000000000001" customHeight="1">
      <c r="A63" s="403"/>
      <c r="B63" s="404"/>
      <c r="C63" s="405"/>
      <c r="D63" s="406"/>
    </row>
    <row r="64" spans="1:4" ht="20.100000000000001" customHeight="1">
      <c r="A64" s="389">
        <f>A62+1</f>
        <v>14</v>
      </c>
      <c r="B64" s="390" t="s">
        <v>429</v>
      </c>
      <c r="C64" s="390"/>
      <c r="D64" s="391"/>
    </row>
    <row r="65" spans="1:4" ht="20.100000000000001" customHeight="1">
      <c r="A65" s="403">
        <f>A64+0.01</f>
        <v>14.01</v>
      </c>
      <c r="B65" s="404" t="s">
        <v>197</v>
      </c>
      <c r="C65" s="387" t="s">
        <v>430</v>
      </c>
      <c r="D65" s="396" t="s">
        <v>431</v>
      </c>
    </row>
    <row r="66" spans="1:4" ht="20.100000000000001" customHeight="1">
      <c r="A66" s="403">
        <f>A65+0.01</f>
        <v>14.02</v>
      </c>
      <c r="B66" s="404" t="s">
        <v>198</v>
      </c>
      <c r="C66" s="387" t="s">
        <v>432</v>
      </c>
      <c r="D66" s="396" t="s">
        <v>433</v>
      </c>
    </row>
    <row r="67" spans="1:4" ht="20.100000000000001" customHeight="1">
      <c r="A67" s="403">
        <f t="shared" ref="A67:A68" si="0">A66+0.01</f>
        <v>14.03</v>
      </c>
      <c r="B67" s="404" t="s">
        <v>434</v>
      </c>
      <c r="C67" s="387" t="s">
        <v>435</v>
      </c>
      <c r="D67" s="396" t="s">
        <v>436</v>
      </c>
    </row>
    <row r="68" spans="1:4" ht="20.100000000000001" customHeight="1">
      <c r="A68" s="403">
        <f t="shared" si="0"/>
        <v>14.04</v>
      </c>
      <c r="B68" s="404" t="s">
        <v>199</v>
      </c>
      <c r="C68" s="387" t="s">
        <v>437</v>
      </c>
      <c r="D68" s="396" t="s">
        <v>438</v>
      </c>
    </row>
    <row r="69" spans="1:4" ht="20.100000000000001" customHeight="1">
      <c r="A69" s="403"/>
      <c r="B69" s="404"/>
      <c r="C69" s="405"/>
      <c r="D69" s="406"/>
    </row>
    <row r="70" spans="1:4" ht="20.100000000000001" customHeight="1">
      <c r="A70" s="389">
        <f>A64+1</f>
        <v>15</v>
      </c>
      <c r="B70" s="390" t="s">
        <v>439</v>
      </c>
      <c r="C70" s="390"/>
      <c r="D70" s="391"/>
    </row>
    <row r="71" spans="1:4" ht="20.100000000000001" customHeight="1">
      <c r="A71" s="403">
        <f>A70+0.01</f>
        <v>15.01</v>
      </c>
      <c r="B71" s="404" t="s">
        <v>440</v>
      </c>
      <c r="C71" s="387" t="s">
        <v>441</v>
      </c>
      <c r="D71" s="396" t="s">
        <v>442</v>
      </c>
    </row>
    <row r="72" spans="1:4" ht="20.100000000000001" customHeight="1">
      <c r="A72" s="403">
        <f>A71+0.01</f>
        <v>15.02</v>
      </c>
      <c r="B72" s="404" t="s">
        <v>202</v>
      </c>
      <c r="C72" s="387" t="s">
        <v>443</v>
      </c>
      <c r="D72" s="396" t="s">
        <v>444</v>
      </c>
    </row>
    <row r="73" spans="1:4" ht="20.100000000000001" customHeight="1">
      <c r="A73" s="403">
        <f>A72+0.01</f>
        <v>15.03</v>
      </c>
      <c r="B73" s="404" t="s">
        <v>192</v>
      </c>
      <c r="C73" s="387" t="s">
        <v>423</v>
      </c>
      <c r="D73" s="396" t="s">
        <v>424</v>
      </c>
    </row>
    <row r="74" spans="1:4" ht="20.100000000000001" customHeight="1">
      <c r="A74" s="403"/>
      <c r="B74" s="404"/>
      <c r="C74" s="405"/>
      <c r="D74" s="406"/>
    </row>
    <row r="75" spans="1:4" ht="20.100000000000001" customHeight="1">
      <c r="A75" s="389">
        <f>A70+1</f>
        <v>16</v>
      </c>
      <c r="B75" s="390" t="s">
        <v>45</v>
      </c>
      <c r="C75" s="390"/>
      <c r="D75" s="391"/>
    </row>
    <row r="76" spans="1:4" ht="20.100000000000001" customHeight="1">
      <c r="A76" s="403">
        <f>A75+0.01</f>
        <v>16.010000000000002</v>
      </c>
      <c r="B76" s="404" t="s">
        <v>204</v>
      </c>
      <c r="C76" s="387" t="s">
        <v>445</v>
      </c>
      <c r="D76" s="396" t="s">
        <v>446</v>
      </c>
    </row>
    <row r="77" spans="1:4" ht="20.100000000000001" customHeight="1">
      <c r="A77" s="403">
        <f>A76+0.01</f>
        <v>16.020000000000003</v>
      </c>
      <c r="B77" s="404" t="s">
        <v>447</v>
      </c>
      <c r="C77" s="387" t="s">
        <v>448</v>
      </c>
      <c r="D77" s="396" t="s">
        <v>449</v>
      </c>
    </row>
    <row r="78" spans="1:4" ht="20.100000000000001" customHeight="1">
      <c r="A78" s="403"/>
      <c r="B78" s="404"/>
      <c r="C78" s="405"/>
      <c r="D78" s="406"/>
    </row>
    <row r="79" spans="1:4" ht="20.100000000000001" customHeight="1">
      <c r="A79" s="389">
        <f>A75+1</f>
        <v>17</v>
      </c>
      <c r="B79" s="390" t="s">
        <v>206</v>
      </c>
      <c r="C79" s="390"/>
      <c r="D79" s="391"/>
    </row>
    <row r="80" spans="1:4" ht="20.100000000000001" customHeight="1">
      <c r="A80" s="403">
        <f>A79+0.01</f>
        <v>17.010000000000002</v>
      </c>
      <c r="B80" s="404" t="s">
        <v>450</v>
      </c>
      <c r="C80" s="387" t="s">
        <v>451</v>
      </c>
      <c r="D80" s="396" t="s">
        <v>452</v>
      </c>
    </row>
    <row r="81" spans="1:4" ht="20.100000000000001" customHeight="1">
      <c r="A81" s="403">
        <f>A80+0.01</f>
        <v>17.020000000000003</v>
      </c>
      <c r="B81" s="404" t="s">
        <v>207</v>
      </c>
      <c r="C81" s="387" t="s">
        <v>453</v>
      </c>
      <c r="D81" s="396" t="s">
        <v>454</v>
      </c>
    </row>
    <row r="82" spans="1:4" ht="20.100000000000001" customHeight="1">
      <c r="A82" s="403">
        <f>A81+0.01</f>
        <v>17.030000000000005</v>
      </c>
      <c r="B82" s="404" t="s">
        <v>208</v>
      </c>
      <c r="C82" s="387" t="s">
        <v>455</v>
      </c>
      <c r="D82" s="396" t="s">
        <v>456</v>
      </c>
    </row>
    <row r="83" spans="1:4" ht="20.100000000000001" customHeight="1">
      <c r="A83" s="403"/>
      <c r="B83" s="404"/>
      <c r="C83" s="405"/>
      <c r="D83" s="406"/>
    </row>
    <row r="84" spans="1:4" ht="20.100000000000001" customHeight="1">
      <c r="A84" s="389">
        <f>A79+1</f>
        <v>18</v>
      </c>
      <c r="B84" s="390" t="s">
        <v>41</v>
      </c>
      <c r="C84" s="390"/>
      <c r="D84" s="391"/>
    </row>
    <row r="85" spans="1:4" ht="20.100000000000001" customHeight="1">
      <c r="A85" s="403">
        <f>A84+0.01</f>
        <v>18.010000000000002</v>
      </c>
      <c r="B85" s="404" t="s">
        <v>457</v>
      </c>
      <c r="C85" s="387" t="s">
        <v>458</v>
      </c>
      <c r="D85" s="396" t="s">
        <v>459</v>
      </c>
    </row>
    <row r="86" spans="1:4" ht="20.100000000000001" customHeight="1">
      <c r="A86" s="403">
        <f>A85+0.01</f>
        <v>18.020000000000003</v>
      </c>
      <c r="B86" s="404" t="s">
        <v>182</v>
      </c>
      <c r="C86" s="387" t="s">
        <v>404</v>
      </c>
      <c r="D86" s="396" t="s">
        <v>405</v>
      </c>
    </row>
    <row r="87" spans="1:4" ht="20.100000000000001" customHeight="1">
      <c r="A87" s="403">
        <f>A86+0.01</f>
        <v>18.030000000000005</v>
      </c>
      <c r="B87" s="404" t="s">
        <v>211</v>
      </c>
      <c r="C87" s="387">
        <v>0</v>
      </c>
      <c r="D87" s="396" t="s">
        <v>460</v>
      </c>
    </row>
    <row r="88" spans="1:4" ht="20.100000000000001" customHeight="1">
      <c r="A88" s="403"/>
      <c r="B88" s="404"/>
      <c r="C88" s="405"/>
      <c r="D88" s="406"/>
    </row>
    <row r="89" spans="1:4" ht="20.100000000000001" customHeight="1">
      <c r="A89" s="389">
        <f>A84+1</f>
        <v>19</v>
      </c>
      <c r="B89" s="390" t="s">
        <v>461</v>
      </c>
      <c r="C89" s="390"/>
      <c r="D89" s="391"/>
    </row>
    <row r="90" spans="1:4" ht="20.100000000000001" customHeight="1">
      <c r="A90" s="403">
        <f>A89+0.01</f>
        <v>19.010000000000002</v>
      </c>
      <c r="B90" s="404" t="s">
        <v>215</v>
      </c>
      <c r="C90" s="387" t="s">
        <v>462</v>
      </c>
      <c r="D90" s="396" t="s">
        <v>463</v>
      </c>
    </row>
    <row r="91" spans="1:4" ht="20.100000000000001" customHeight="1">
      <c r="A91" s="403">
        <f>A90+0.01</f>
        <v>19.020000000000003</v>
      </c>
      <c r="B91" s="404" t="s">
        <v>214</v>
      </c>
      <c r="C91" s="387" t="s">
        <v>464</v>
      </c>
      <c r="D91" s="396" t="s">
        <v>465</v>
      </c>
    </row>
    <row r="92" spans="1:4" ht="20.100000000000001" customHeight="1">
      <c r="A92" s="403"/>
      <c r="B92" s="404"/>
      <c r="C92" s="405"/>
      <c r="D92" s="406"/>
    </row>
    <row r="93" spans="1:4" ht="20.100000000000001" customHeight="1">
      <c r="A93" s="389">
        <f>A89+1</f>
        <v>20</v>
      </c>
      <c r="B93" s="390" t="s">
        <v>466</v>
      </c>
      <c r="C93" s="390"/>
      <c r="D93" s="391"/>
    </row>
    <row r="94" spans="1:4" ht="20.100000000000001" customHeight="1">
      <c r="A94" s="403">
        <f>A93+0.01</f>
        <v>20.010000000000002</v>
      </c>
      <c r="B94" s="404" t="s">
        <v>215</v>
      </c>
      <c r="C94" s="387" t="s">
        <v>462</v>
      </c>
      <c r="D94" s="396" t="s">
        <v>463</v>
      </c>
    </row>
    <row r="95" spans="1:4" ht="20.100000000000001" customHeight="1">
      <c r="A95" s="403">
        <f>A94+0.01</f>
        <v>20.020000000000003</v>
      </c>
      <c r="B95" s="404" t="s">
        <v>214</v>
      </c>
      <c r="C95" s="387" t="s">
        <v>464</v>
      </c>
      <c r="D95" s="396" t="s">
        <v>465</v>
      </c>
    </row>
    <row r="96" spans="1:4" ht="20.100000000000001" customHeight="1">
      <c r="A96" s="403"/>
      <c r="B96" s="404"/>
      <c r="C96" s="407"/>
      <c r="D96" s="406"/>
    </row>
    <row r="97" spans="1:4" ht="20.100000000000001" customHeight="1">
      <c r="A97" s="389">
        <f>A93+1</f>
        <v>21</v>
      </c>
      <c r="B97" s="390" t="s">
        <v>217</v>
      </c>
      <c r="C97" s="390"/>
      <c r="D97" s="391"/>
    </row>
    <row r="98" spans="1:4" ht="20.100000000000001" customHeight="1">
      <c r="A98" s="403">
        <f>A97+0.01</f>
        <v>21.01</v>
      </c>
      <c r="B98" s="404" t="s">
        <v>467</v>
      </c>
      <c r="C98" s="387" t="s">
        <v>468</v>
      </c>
      <c r="D98" s="396" t="s">
        <v>469</v>
      </c>
    </row>
    <row r="99" spans="1:4" ht="20.100000000000001" customHeight="1">
      <c r="A99" s="403"/>
      <c r="B99" s="404"/>
      <c r="C99" s="407"/>
      <c r="D99" s="406"/>
    </row>
    <row r="100" spans="1:4" ht="20.100000000000001" customHeight="1">
      <c r="A100" s="389">
        <f>A97+1</f>
        <v>22</v>
      </c>
      <c r="B100" s="390" t="s">
        <v>218</v>
      </c>
      <c r="C100" s="390"/>
      <c r="D100" s="391"/>
    </row>
    <row r="101" spans="1:4" ht="20.100000000000001" customHeight="1">
      <c r="A101" s="403">
        <f>A100+0.01</f>
        <v>22.01</v>
      </c>
      <c r="B101" s="404" t="s">
        <v>219</v>
      </c>
      <c r="C101" s="387" t="s">
        <v>470</v>
      </c>
      <c r="D101" s="396" t="s">
        <v>471</v>
      </c>
    </row>
    <row r="102" spans="1:4" ht="20.100000000000001" customHeight="1">
      <c r="A102" s="403"/>
      <c r="B102" s="404"/>
      <c r="C102" s="407"/>
      <c r="D102" s="406"/>
    </row>
    <row r="103" spans="1:4" ht="20.100000000000001" customHeight="1">
      <c r="A103" s="389">
        <f>A100+1</f>
        <v>23</v>
      </c>
      <c r="B103" s="390" t="s">
        <v>472</v>
      </c>
      <c r="C103" s="390"/>
      <c r="D103" s="391"/>
    </row>
    <row r="104" spans="1:4" ht="20.100000000000001" customHeight="1">
      <c r="A104" s="403">
        <f>A103+0.01</f>
        <v>23.01</v>
      </c>
      <c r="B104" s="404" t="s">
        <v>473</v>
      </c>
      <c r="C104" s="387" t="s">
        <v>474</v>
      </c>
      <c r="D104" s="396" t="s">
        <v>475</v>
      </c>
    </row>
    <row r="105" spans="1:4" ht="20.100000000000001" customHeight="1">
      <c r="A105" s="403">
        <f>A104+0.01</f>
        <v>23.020000000000003</v>
      </c>
      <c r="B105" s="404" t="s">
        <v>57</v>
      </c>
      <c r="C105" s="387" t="s">
        <v>476</v>
      </c>
      <c r="D105" s="396" t="s">
        <v>477</v>
      </c>
    </row>
    <row r="106" spans="1:4" ht="20.100000000000001" customHeight="1">
      <c r="A106" s="408"/>
      <c r="B106" s="409"/>
      <c r="C106" s="410"/>
      <c r="D106" s="411"/>
    </row>
    <row r="107" spans="1:4" ht="20.100000000000001" customHeight="1">
      <c r="A107" s="380"/>
      <c r="D107" s="381"/>
    </row>
    <row r="108" spans="1:4" ht="20.100000000000001" customHeight="1">
      <c r="A108" s="608" t="s">
        <v>478</v>
      </c>
      <c r="B108" s="609"/>
      <c r="C108" s="609"/>
      <c r="D108" s="610"/>
    </row>
    <row r="109" spans="1:4" ht="50.1" customHeight="1">
      <c r="A109" s="394">
        <v>1</v>
      </c>
      <c r="B109" s="395" t="s">
        <v>479</v>
      </c>
      <c r="C109" s="399" t="s">
        <v>480</v>
      </c>
      <c r="D109" s="412">
        <v>45443</v>
      </c>
    </row>
    <row r="110" spans="1:4" ht="50.1" customHeight="1">
      <c r="A110" s="394">
        <v>2</v>
      </c>
      <c r="B110" s="395" t="s">
        <v>481</v>
      </c>
      <c r="C110" s="399" t="s">
        <v>482</v>
      </c>
      <c r="D110" s="412"/>
    </row>
    <row r="111" spans="1:4" ht="50.1" hidden="1" customHeight="1">
      <c r="A111" s="394">
        <v>3</v>
      </c>
      <c r="B111" s="395" t="s">
        <v>483</v>
      </c>
      <c r="C111" s="399" t="s">
        <v>484</v>
      </c>
      <c r="D111" s="412">
        <v>44470</v>
      </c>
    </row>
    <row r="112" spans="1:4" ht="50.1" customHeight="1">
      <c r="A112" s="408">
        <v>3</v>
      </c>
      <c r="B112" s="409" t="s">
        <v>485</v>
      </c>
      <c r="C112" s="410" t="s">
        <v>486</v>
      </c>
      <c r="D112" s="412">
        <v>45443</v>
      </c>
    </row>
    <row r="113" spans="1:4" ht="20.100000000000001" customHeight="1">
      <c r="A113" s="380"/>
      <c r="D113" s="381"/>
    </row>
    <row r="114" spans="1:4" ht="20.100000000000001" customHeight="1">
      <c r="A114" s="413"/>
      <c r="B114" s="414"/>
      <c r="C114" s="414"/>
      <c r="D114" s="415"/>
    </row>
    <row r="115" spans="1:4" ht="50.1" customHeight="1"/>
  </sheetData>
  <mergeCells count="5">
    <mergeCell ref="A2:D2"/>
    <mergeCell ref="A4:D4"/>
    <mergeCell ref="A6:D6"/>
    <mergeCell ref="A8:D8"/>
    <mergeCell ref="A108:D108"/>
  </mergeCells>
  <hyperlinks>
    <hyperlink ref="D15" r:id="rId1" xr:uid="{2C4C0B74-00E6-44E1-B66A-EAC9A0DE9789}"/>
    <hyperlink ref="D21" r:id="rId2" display="brian.johnson@gaj-uae.com" xr:uid="{2D1BA59B-F816-4BB8-93A2-D0D25A06CA56}"/>
    <hyperlink ref="D22" r:id="rId3" display="brian.johnson@gaj-uae.com" xr:uid="{90DA34F5-C9BC-4C7B-B35D-5B325BDE4D0E}"/>
    <hyperlink ref="D23" r:id="rId4" display="brian.johnson@gaj-uae.com" xr:uid="{BA657466-E4B2-4463-BFF3-C88CB0BFFC93}"/>
    <hyperlink ref="D26" r:id="rId5" display="brian.johnson@gaj-uae.com" xr:uid="{6113863E-61A4-4C45-8791-B7C301C81873}"/>
    <hyperlink ref="D27" r:id="rId6" display="brian.johnson@gaj-uae.com" xr:uid="{FE963A90-5F09-4397-83CB-09C0A231FEC4}"/>
    <hyperlink ref="D33" r:id="rId7" display="brian.johnson@gaj-uae.com" xr:uid="{7706CF56-8EA2-4BDC-93C3-3BD0A218C626}"/>
    <hyperlink ref="D34" r:id="rId8" display="brian.johnson@gaj-uae.com" xr:uid="{AE1DBEF9-81F1-4A06-8660-1E2E34A77579}"/>
    <hyperlink ref="D35" r:id="rId9" display="brian.johnson@gaj-uae.com" xr:uid="{6F217545-3E1F-4036-A09A-45EDCDD546B4}"/>
    <hyperlink ref="D40" r:id="rId10" display="brian.johnson@gaj-uae.com" xr:uid="{563A5028-BDFC-4E33-82CF-12B68612885E}"/>
    <hyperlink ref="D41" r:id="rId11" display="brian.johnson@gaj-uae.com" xr:uid="{4E3417C8-3997-4F44-A2D0-A7EC4279EE35}"/>
    <hyperlink ref="D42" r:id="rId12" display="brian.johnson@gaj-uae.com" xr:uid="{099DE00E-552B-4446-94F9-D2291303DF99}"/>
    <hyperlink ref="D47" r:id="rId13" display="brian.johnson@gaj-uae.com" xr:uid="{E2D468CD-EBEC-4505-A3CB-4CA5EE039C01}"/>
    <hyperlink ref="D52" r:id="rId14" display="brian.johnson@gaj-uae.com" xr:uid="{C834A44A-B15E-40AE-AAF1-125F2DF868D5}"/>
    <hyperlink ref="D53" r:id="rId15" display="brian.johnson@gaj-uae.com" xr:uid="{A2C726D2-7AD7-4FE5-B3D1-0050257733E9}"/>
    <hyperlink ref="D57" r:id="rId16" display="brian.johnson@gaj-uae.com" xr:uid="{26E2585A-862E-4028-9F21-FA58E898BF6C}"/>
    <hyperlink ref="D60" r:id="rId17" display="brian.johnson@gaj-uae.com" xr:uid="{F982BDDD-7004-4B94-80EE-1569E56FA269}"/>
    <hyperlink ref="D71" r:id="rId18" display="brian.johnson@gaj-uae.com" xr:uid="{E718DF73-D8DA-4AE4-9975-A1FB12C8A43F}"/>
    <hyperlink ref="D72" r:id="rId19" display="brian.johnson@gaj-uae.com" xr:uid="{CF71A671-1328-480A-A79F-05EE57BB8055}"/>
    <hyperlink ref="D76" r:id="rId20" display="brian.johnson@gaj-uae.com" xr:uid="{5F44A31D-A54E-42B9-ACCA-4CA170FF7191}"/>
    <hyperlink ref="D80" r:id="rId21" display="brian.johnson@gaj-uae.com" xr:uid="{B9E2C664-B99D-4F1D-974D-8693B091A463}"/>
    <hyperlink ref="D81" r:id="rId22" display="brian.johnson@gaj-uae.com" xr:uid="{C82793C7-014C-4B5B-B460-7CA3E9B531B7}"/>
    <hyperlink ref="D85" r:id="rId23" display="brian.johnson@gaj-uae.com" xr:uid="{43CCA67F-8EB6-4515-915B-402B8E69229F}"/>
    <hyperlink ref="D90" r:id="rId24" display="brian.johnson@gaj-uae.com" xr:uid="{78C7445E-046E-4D3F-9002-C6C4BB7593C8}"/>
    <hyperlink ref="D91" r:id="rId25" display="brian.johnson@gaj-uae.com" xr:uid="{D9C2215E-67FA-4372-ADCA-165723B0A238}"/>
    <hyperlink ref="D98" r:id="rId26" display="brian.johnson@gaj-uae.com" xr:uid="{E9F1C410-E415-44A1-AE6F-361F4C959687}"/>
    <hyperlink ref="D101" r:id="rId27" display="brian.johnson@gaj-uae.com" xr:uid="{535E746F-0A93-4D28-A88A-87D105B4B120}"/>
    <hyperlink ref="D28" r:id="rId28" display="brian.johnson@gaj-uae.com" xr:uid="{1466EAB8-B7B3-4931-A395-2709BE56D6CF}"/>
    <hyperlink ref="D49" r:id="rId29" display="brian.johnson@gaj-uae.com" xr:uid="{306D8BE2-2E3A-415E-9C3A-5E7255FDBB2A}"/>
    <hyperlink ref="D77" r:id="rId30" display="brian.johnson@gaj-uae.com" xr:uid="{7AF158CC-B014-4E3C-9A63-0A13DAD4797C}"/>
    <hyperlink ref="D36" r:id="rId31" display="brian.johnson@gaj-uae.com" xr:uid="{0424CBDB-B833-4B07-BF99-AF9B11315A0F}"/>
    <hyperlink ref="D43" r:id="rId32" display="brian.johnson@gaj-uae.com" xr:uid="{358E8622-B356-4FB1-95C0-4F9FAF956F7E}"/>
    <hyperlink ref="D44" r:id="rId33" display="brian.johnson@gaj-uae.com" xr:uid="{1D7B9204-D1F3-45BF-AF9C-0EB861D25D06}"/>
    <hyperlink ref="D48" r:id="rId34" display="brian.johnson@gaj-uae.com" xr:uid="{1D24CB76-AF38-4107-A61D-0495DD396F2E}"/>
    <hyperlink ref="D73" r:id="rId35" display="brian.johnson@gaj-uae.com" xr:uid="{A114BA2C-A1A6-4C35-B92F-D0D62D8C346C}"/>
    <hyperlink ref="D82" r:id="rId36" display="brian.johnson@gaj-uae.com" xr:uid="{BAA1B0CC-A287-4C15-8783-73E7FC3BC1B6}"/>
    <hyperlink ref="D104" r:id="rId37" display="brian.johnson@gaj-uae.com" xr:uid="{682E68A1-D977-494A-8A1D-80ECA604DCFA}"/>
    <hyperlink ref="D105" r:id="rId38" display="brian.johnson@gaj-uae.com" xr:uid="{B306C8B3-799F-4D39-888D-A27B70D64BF0}"/>
    <hyperlink ref="D37" r:id="rId39" display="brian.johnson@gaj-uae.com" xr:uid="{51D7EE86-211C-48B2-9FDE-B48AF17A0CAA}"/>
    <hyperlink ref="D56" r:id="rId40" display="brian.johnson@gaj-uae.com" xr:uid="{8BDBEC69-036F-4455-B01A-E72DDD418F0E}"/>
    <hyperlink ref="D65" r:id="rId41" display="brian.johnson@gaj-uae.com" xr:uid="{4BECE450-099F-4FC6-B55F-29CBBD4F6413}"/>
    <hyperlink ref="D66" r:id="rId42" display="brian.johnson@gaj-uae.com" xr:uid="{7C86B2E9-4BE7-4FD3-AAEA-D77CAC3A6DC1}"/>
    <hyperlink ref="D68" r:id="rId43" display="brian.johnson@gaj-uae.com" xr:uid="{7A4B7B50-D98A-47B5-99E2-EA3FD6B993BA}"/>
    <hyperlink ref="D86" r:id="rId44" display="brian.johnson@gaj-uae.com" xr:uid="{B8DF2CF1-DB53-43C3-B107-06394FC2DC70}"/>
    <hyperlink ref="D87" r:id="rId45" display="brian.johnson@gaj-uae.com" xr:uid="{80746684-722A-4AE5-B509-77538B6E43A4}"/>
    <hyperlink ref="D94" r:id="rId46" display="brian.johnson@gaj-uae.com" xr:uid="{A7CB3A51-F6DC-43C8-8B11-E49747DDE6F5}"/>
    <hyperlink ref="D95" r:id="rId47" display="brian.johnson@gaj-uae.com" xr:uid="{AAA6BE92-91D5-459E-8C95-D5BB8E80EFDE}"/>
    <hyperlink ref="D67" r:id="rId48" display="brian.johnson@gaj-uae.com" xr:uid="{7E0AFE52-83D1-45F7-A6A4-B7CBF54868EB}"/>
  </hyperlinks>
  <pageMargins left="0.7" right="0.7" top="0.75" bottom="0.75" header="0.3" footer="0.3"/>
  <pageSetup scale="43" orientation="portrait" r:id="rId49"/>
  <drawing r:id="rId5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1FC311F83834583495EB49CE73D57" ma:contentTypeVersion="13" ma:contentTypeDescription="Create a new document." ma:contentTypeScope="" ma:versionID="d6433a781b162daee56cc67dc9e5fa60">
  <xsd:schema xmlns:xsd="http://www.w3.org/2001/XMLSchema" xmlns:xs="http://www.w3.org/2001/XMLSchema" xmlns:p="http://schemas.microsoft.com/office/2006/metadata/properties" xmlns:ns2="78539869-1d99-49bf-b19b-e5de85a65f18" xmlns:ns3="9a181ab2-5536-4b4c-9d82-88840f580869" targetNamespace="http://schemas.microsoft.com/office/2006/metadata/properties" ma:root="true" ma:fieldsID="fdfbbc1f4636c474743070419b27dd53" ns2:_="" ns3:_="">
    <xsd:import namespace="78539869-1d99-49bf-b19b-e5de85a65f18"/>
    <xsd:import namespace="9a181ab2-5536-4b4c-9d82-88840f580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9869-1d99-49bf-b19b-e5de85a65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e1d701-d3bc-4bf2-8adc-2461fa37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ab2-5536-4b4c-9d82-88840f58086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060475d-f427-425a-8c90-72e3baa78546}" ma:internalName="TaxCatchAll" ma:showField="CatchAllData" ma:web="9a181ab2-5536-4b4c-9d82-88840f580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181ab2-5536-4b4c-9d82-88840f580869" xsi:nil="true"/>
    <lcf76f155ced4ddcb4097134ff3c332f xmlns="78539869-1d99-49bf-b19b-e5de85a65f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FB722-C7BA-48B7-83C2-246756BC3482}"/>
</file>

<file path=customXml/itemProps2.xml><?xml version="1.0" encoding="utf-8"?>
<ds:datastoreItem xmlns:ds="http://schemas.openxmlformats.org/officeDocument/2006/customXml" ds:itemID="{F046DA79-E18D-4367-9DDF-A0B5D4B9156E}"/>
</file>

<file path=customXml/itemProps3.xml><?xml version="1.0" encoding="utf-8"?>
<ds:datastoreItem xmlns:ds="http://schemas.openxmlformats.org/officeDocument/2006/customXml" ds:itemID="{0BAB36CD-9061-450B-9A79-76067F032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Hisham Kaakani</dc:creator>
  <cp:keywords/>
  <dc:description/>
  <cp:lastModifiedBy>Sajjad Ahmed</cp:lastModifiedBy>
  <cp:revision/>
  <dcterms:created xsi:type="dcterms:W3CDTF">2021-10-31T05:30:26Z</dcterms:created>
  <dcterms:modified xsi:type="dcterms:W3CDTF">2026-10-14T17:44:50Z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0x0101007321FC311F83834583495EB49CE73D57</vt:lpwstr>
  </property>
</Properties>
</file>